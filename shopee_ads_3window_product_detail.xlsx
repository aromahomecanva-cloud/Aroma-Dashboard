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o nhom SP (7-30-90d)" sheetId="1" state="visible" r:id="rId3"/>
    <sheet name="Theo san pham (7-30-90d)" sheetId="2" state="visible" r:id="rId4"/>
    <sheet name="Phí sàn theo shop" sheetId="3" state="visible" r:id="rId5"/>
    <sheet name="Raw Data - Nhóm SP" sheetId="4" state="visible" r:id="rId6"/>
    <sheet name="Raw Data - Sản phẩm" sheetId="5" state="visible" r:id="rId7"/>
    <sheet name="Ghi chu ghep S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<sst xmlns="http://schemas.openxmlformats.org/spreadsheetml/2006/main" count="14001" uniqueCount="185">
  <si>
    <t xml:space="preserve">Ads Shopee theo NHOM san pham - 3 khung thoi gian (7 / 30 / 90 ngay)</t>
  </si>
  <si>
    <t xml:space="preserve">ROAS sau phi = ROAS x (1 - Phi san %) - dung de chon NEN CHAY ADS O SHOP NAO cho tung nhom san pham (COGS nhu nhau o 2 shop nen khong anh huong quyet dinh). Dong TONG cuoi moi khung = ROAS blended toan bo ads shop do, khong chi 5 nhom liet ke.</t>
  </si>
  <si>
    <t xml:space="preserve">KHUNG 7 NGÀY  (2026-07-01 -&gt; 2026-07-07)</t>
  </si>
  <si>
    <t xml:space="preserve">Nhom san pham</t>
  </si>
  <si>
    <t xml:space="preserve">GOC HUONG THOM</t>
  </si>
  <si>
    <t xml:space="preserve">THE ART OF SCENT</t>
  </si>
  <si>
    <t xml:space="preserve">Khuyen nghi</t>
  </si>
  <si>
    <t xml:space="preserve">Chi phi</t>
  </si>
  <si>
    <t xml:space="preserve">Doanh so</t>
  </si>
  <si>
    <t xml:space="preserve">ROAS</t>
  </si>
  <si>
    <t xml:space="preserve">ROAS
sau phi</t>
  </si>
  <si>
    <t xml:space="preserve">Nước Hoa</t>
  </si>
  <si>
    <t xml:space="preserve">Nến Thơm</t>
  </si>
  <si>
    <t xml:space="preserve">Tinh Dầu Khuếch Tán</t>
  </si>
  <si>
    <t xml:space="preserve">Tinh Dầu 10ml (Nguyên Chất)</t>
  </si>
  <si>
    <t xml:space="preserve">Xịt Thơm Phòng</t>
  </si>
  <si>
    <t xml:space="preserve">Set Quà / Combo</t>
  </si>
  <si>
    <t xml:space="preserve">TONG - TAT CA ADS (blended)</t>
  </si>
  <si>
    <t xml:space="preserve">KHUNG 30 NGÀY  (2026-06-08 -&gt; 2026-07-07)</t>
  </si>
  <si>
    <t xml:space="preserve">KHUNG 90 NGÀY  (2026-04-09 -&gt; 2026-07-07)</t>
  </si>
  <si>
    <t xml:space="preserve">Ads Shopee theo SAN PHAM CHI TIET (ghep cap ten gan giong nhau giua 2 shop) - 3 khung thoi gian</t>
  </si>
  <si>
    <t xml:space="preserve">Chi gom campaign quang cao 1 SAN PHAM CU THE (co Ma san pham) - khong gom campaign dang bo suu tap nhieu san pham. Ten san pham o 2 shop duoc ghep cap theo do giong ten (khong phai trung tuyet doi) - TU KIEM TRA lai sheet 'Ghi chu ghep SP' neu thay ten 2 ben khac xa nhau. San pham chi chay o 1 shop thi cot shop kia hien 0/-. Dong TONG = ROAS blended TOAN BO ads (ke ca campaign bo suu tap), khong chi tong cac san pham ben duoi.</t>
  </si>
  <si>
    <t xml:space="preserve">San pham</t>
  </si>
  <si>
    <t xml:space="preserve">Bộ Sản Phẩm Tinh Dầu Cà Phê &amp; Lọ Tán Hương Aroma Story – Hương Thơm Tự Nhiên, Giúp Tập Trung &amp; Thư Giãn</t>
  </si>
  <si>
    <t xml:space="preserve">BST Nước Hoa Nam Aroma Story EDP 30ml – Hương Thơm Nam Tính, Cuốn Hút</t>
  </si>
  <si>
    <t xml:space="preserve">BST Nước Hoa Nữ Aroma Story EDP 30ml – Hương Thơm, Nữ Tính, Thanh Lịch</t>
  </si>
  <si>
    <t xml:space="preserve">Nước Hoa Nữ Very Good Girl Aroma Story EDP 30ml – Hương Hoa Ngọt Ngào, Quyến Rũ</t>
  </si>
  <si>
    <t xml:space="preserve">Nước Hoa Tóc Aroma Story Giúp Thơm Mượt Tóc, Tránh Bết, Khử Mùi, Size 10ml/100ml</t>
  </si>
  <si>
    <t xml:space="preserve">Xịt Thơm Phòng, Quấn Áo Trà Trắng &amp; Sung Aroma Story, Nước Hoa Xịt Thơm Size 200ml</t>
  </si>
  <si>
    <t xml:space="preserve">Combo Quà Tặng Nến Thơm Aroma Story Tặng Người Yêu, Bạn Bè Dịp Sinh Nhật, Kỷ Niệm</t>
  </si>
  <si>
    <t xml:space="preserve">Nến Thơm Cao Cấp Aroma Story Nhiều Hương Cốc Gốm Sứ, Xi Măng, Thủy Tinh Size 100g - 250g</t>
  </si>
  <si>
    <t xml:space="preserve">Nến Thơm Cao Cấp Thư Giãn Dễ Ngủ Với Nhiều Hương, Cốc Thủy Tinh &amp; Xi Măng Size 200g</t>
  </si>
  <si>
    <t xml:space="preserve">Nến Thơm Quà Tặng Aroma Story Cho Bạn Bè, Người Yêu Nhân Dịp Sinh Nhật, Kỷ Niệm Và Tốt Nghiệp</t>
  </si>
  <si>
    <t xml:space="preserve">Nến Thơm Quà Tặng Aroma Story Dành Tặng Dịp Sinh Nhật, Kỷ Niệm Cho Nữ, Nam Người Thân Và Bạn Bè</t>
  </si>
  <si>
    <t xml:space="preserve">Nến Thơm Thiên Nhiên Bộ Sưu Tập Little Things Aroma Story Size 50g</t>
  </si>
  <si>
    <t xml:space="preserve">SET Quà "NẾN THƠM KHẮC TÊN THEO YÊU CẦU" Aroma Story, Dùng Làm Quà Tặng Dịp Đặc Biệt, Sinh Nhật, 20/10, Tốt Nghiệp,...</t>
  </si>
  <si>
    <t xml:space="preserve">Set Quà Nến Thơm Aroma Story Kèm Phụ Kiện - Quà Sinh Nhật, Kỷ Niệm, Tặng Người Yêu, Bạn Bè</t>
  </si>
  <si>
    <t xml:space="preserve">Set Quà Tặng Nến Thơm Aroma Story Dành Tặng Người Yêu, Sinh Nhật, Kỷ Niệm</t>
  </si>
  <si>
    <t xml:space="preserve">Tinh Dầu Thiên Nhiên Hương Trà Trắng Aroma Story Nguyên Chất – Xông Phòng, Thư Giãn, Ngủ Ngon 10ml</t>
  </si>
  <si>
    <t xml:space="preserve">Tinh Dầu Thiên Nhiên Nguyên Chất Aroma Story 10ml – Xông Phòng, Thư Giãn, Ngủ Ngon</t>
  </si>
  <si>
    <t xml:space="preserve">Tinh Dầu Thơm Xông Phòng Aroma Story 10ml – Hơn 20 Mùi Hương Thiên Nhiên, Thư Giãn &amp; Dễ Ngủ</t>
  </si>
  <si>
    <t xml:space="preserve">Tinh Dầu Khuếch Tán Aroma Story Hương Trà Trắng Và Trái Sung True Grace Size 50ml/100ml/150ml</t>
  </si>
  <si>
    <t xml:space="preserve">Tinh Dầu Khuếch Tán Thơm Phòng Aroma Story Nhiều Hương Size 50ml/100ml</t>
  </si>
  <si>
    <t xml:space="preserve">Tinh Dầu Khuếch Tán Thơm Phòng Aroma Story Phiên Bản Đặc Biệt Size 50ml/100ml/150ml</t>
  </si>
  <si>
    <t xml:space="preserve">Tinh Dầu Nước Hoa Thơm Phòng Cắm Que Khuếch Tán Aroma Story - Size 50ml/100ml</t>
  </si>
  <si>
    <t xml:space="preserve">Xịt Thơm Phòng, Quần Áo, Ô Tô Aroma Story – Khử Mùi, Lưu Hương Lâu, Nhiều Hương Size 200ml</t>
  </si>
  <si>
    <t xml:space="preserve">Shop</t>
  </si>
  <si>
    <t xml:space="preserve">Tổng phí đã ghi nhận (90 ngày)</t>
  </si>
  <si>
    <t xml:space="preserve">Doanh thu đã ghi nhận (90 ngày)</t>
  </si>
  <si>
    <t xml:space="preserve">Phí sàn %</t>
  </si>
  <si>
    <t xml:space="preserve">Aroma Story - Góc Hương Thơm</t>
  </si>
  <si>
    <t xml:space="preserve">Aroma Story - The Art Of Scent</t>
  </si>
  <si>
    <t xml:space="preserve">Phí sàn dùng CHUNG cho cả 3 khung 7/30/90 ngày — đây là đặc tính cấu trúc phí của nền tảng theo từng shop (Mall vs không Mall), không biến động theo tuần, và khung 7 ngày không đủ đơn ĐÃ GHI NHẬN PHÍ để tính riêng (phí Sapo ghi nhận sau khi đơn hoàn thành, đơn mới trong 7 ngày phần lớn chưa hoàn thành).</t>
  </si>
  <si>
    <t xml:space="preserve">Ngày</t>
  </si>
  <si>
    <t xml:space="preserve">Nhóm sản phẩm</t>
  </si>
  <si>
    <t xml:space="preserve">Campaign gốc</t>
  </si>
  <si>
    <t xml:space="preserve">Chi phí</t>
  </si>
  <si>
    <t xml:space="preserve">Doanh số</t>
  </si>
  <si>
    <t xml:space="preserve">Nến Other</t>
  </si>
  <si>
    <t xml:space="preserve">Set Quà Other 01</t>
  </si>
  <si>
    <t xml:space="preserve">Nước hoa 10ml</t>
  </si>
  <si>
    <t xml:space="preserve">Nến - Tặng túi, đế, thiệp</t>
  </si>
  <si>
    <t xml:space="preserve">10ml Other</t>
  </si>
  <si>
    <t xml:space="preserve">[HOT DEAL 10ml 39K - 100ml 149K] Nước Hoa Tóc Aroma Story Giúp Thơm Mượt Tóc, Tránh Bết, Khử Mùi, Size 10ml/100ml [20]</t>
  </si>
  <si>
    <t xml:space="preserve">[23 Hương]Tinh Dầu Nước Hoa Thơm Phòng Cắm Que Khuếch Tán Aroma Story Nhiều Hương, Size 50ml/100ml [95]</t>
  </si>
  <si>
    <t xml:space="preserve">Nến Thơm Quà Tặng Cao Cấp, Tự Nhiên Aroma Story Giúp Thư Giãn, Dễ Ngủ Với Nhiều Hương, Size Đa Dạng [77]</t>
  </si>
  <si>
    <t xml:space="preserve">[HOT] Set Quà Tặng Nến Thơm Aroma Story Dành Tặng Người Yêu, Sinh Nhật, Kỷ Niệm [50]</t>
  </si>
  <si>
    <t xml:space="preserve">Xịt Thơm Phòng, Quần Áo Aroma Story Giúp Khử Mùi, Làm Thơm Không Gian Nhiều Hương Size  200ml [17]</t>
  </si>
  <si>
    <t xml:space="preserve">[NEW ARRIVAL] Tinh Dầu Khuếch Tán Thơm Phòng Aroma Story Phiên Bản Đặc Biệt Size 50ml/100ml/150ml [14]</t>
  </si>
  <si>
    <t xml:space="preserve">Xịt Thơm Phòng, Quấn Áo Trà Trắng &amp; Sung Aroma Story, Nước Hoa Xịt Thơm Size 200ml [8]</t>
  </si>
  <si>
    <t xml:space="preserve">Khác</t>
  </si>
  <si>
    <t xml:space="preserve">Bộ Sản Phẩm Tinh Dầu Cà Phê &amp; Lọ Tán Hương Aroma Story – Hương Thơm Tự Nhiên, Giúp Tập Trung &amp; Thư Giãn [2]</t>
  </si>
  <si>
    <t xml:space="preserve">Nến Thơm - 2</t>
  </si>
  <si>
    <t xml:space="preserve">TD 10ml - 1</t>
  </si>
  <si>
    <t xml:space="preserve">TDKT - 2</t>
  </si>
  <si>
    <t xml:space="preserve">Combo Quà Tặng Nến Thơm Aroma Story Tặng Người Yêu, Bạn Bè Dịp Sinh Nhật, Kỷ Niệm [15]</t>
  </si>
  <si>
    <t xml:space="preserve">Nến Thơm Trang Trí Cao Cấp Giúp Thư Giãn Dễ Ngủ Với Nhiều Hương, Cốc Thủy Tinh &amp; Xi Măng Nhiều Size [27]</t>
  </si>
  <si>
    <t xml:space="preserve">Tinh Dầu Thiên Nhiên Hương Trà Trắng Aroma Story Nguyên Chất  – Xông Phòng, Thư Giãn, Ngủ Ngon 10ml</t>
  </si>
  <si>
    <t xml:space="preserve">[Hỏa Tốc HCM] Set Quà Nến Thơm Aroma Story Kèm Phụ Kiện - Quà Sinh Nhật, Kỷ Niệm, Tặng Người Yêu, Bạn Bè [3]</t>
  </si>
  <si>
    <t xml:space="preserve">Nến Thơm Top</t>
  </si>
  <si>
    <t xml:space="preserve">TDKT - Top</t>
  </si>
  <si>
    <t xml:space="preserve">Xịt Thơm Phòng All</t>
  </si>
  <si>
    <t xml:space="preserve">TDKT - 1</t>
  </si>
  <si>
    <t xml:space="preserve">Nến 200g</t>
  </si>
  <si>
    <t xml:space="preserve">Nến 100g</t>
  </si>
  <si>
    <t xml:space="preserve">Nến 50g</t>
  </si>
  <si>
    <t xml:space="preserve">TDKT - 3</t>
  </si>
  <si>
    <t xml:space="preserve">Nến Cảm xúc</t>
  </si>
  <si>
    <t xml:space="preserve">Nến Other 1</t>
  </si>
  <si>
    <t xml:space="preserve">TDKT- 2</t>
  </si>
  <si>
    <t xml:space="preserve">XTP - 2</t>
  </si>
  <si>
    <t xml:space="preserve">Tinh dầu - 2</t>
  </si>
  <si>
    <t xml:space="preserve">XTP - 1</t>
  </si>
  <si>
    <t xml:space="preserve">Tinh dầu - 3</t>
  </si>
  <si>
    <t xml:space="preserve">TDKT - Other</t>
  </si>
  <si>
    <t xml:space="preserve">[23 Hương]Tinh Dầu Nước Hoa Thơm Phòng Cắm Que Khuếch Tán Aroma Story Nhiều Hương, Size 50ml/100ml [97]</t>
  </si>
  <si>
    <t xml:space="preserve">[23 Hương]Tinh Dầu Nước Hoa Thơm Phòng Cắm Que Khuếch Tán Aroma Story Nhiều Hương, Size 50ml/100ml [96]</t>
  </si>
  <si>
    <t xml:space="preserve">Xịt Thơm Phòng, Quần Áo Aroma Story Giúp Khử Mùi, Làm Thơm Không Gian Nhiều Hương Size  200ml [18]</t>
  </si>
  <si>
    <t xml:space="preserve">Xịt Thơm Phòng, Quấn Áo Trà Trắng &amp; Sung Aroma Story, Nước Hoa Xịt Thơm Size 200ml [9]</t>
  </si>
  <si>
    <t xml:space="preserve">Nến Thơm Quà Tặng Cao Cấp, Tự Nhiên Aroma Story Giúp Thư Giãn, Dễ Ngủ Với Nhiều Hương, Size Đa Dạng [79]</t>
  </si>
  <si>
    <t xml:space="preserve">Nến Thơm Quà Tặng Cao Cấp, Tự Nhiên Aroma Story Giúp Thư Giãn, Dễ Ngủ Với Nhiều Hương, Size Đa Dạng [78]</t>
  </si>
  <si>
    <t xml:space="preserve">Nến Thơm Quà Tặng Cao Cấp, Tự Nhiên Aroma Story Giúp Thư Giãn, Dễ Ngủ Với Nhiều Hương, Size Đa Dạng [80]</t>
  </si>
  <si>
    <t xml:space="preserve">Tinh Dầu Khuếch Tán Aroma Story Hương Trà Trắng Và Trái Sung True Grace Size 50ml/100ml/150ml [4]</t>
  </si>
  <si>
    <t xml:space="preserve">[NEW ARRIVAL] Tinh Dầu Khuếch Tán Thơm Phòng Aroma Story Phiên Bản Đặc Biệt Size 50ml/100ml/150ml [15]</t>
  </si>
  <si>
    <t xml:space="preserve">Nước Hoa Nữ Very Good Girl Aroma Story EDP 30ml – Hương Hoa Ngọt Ngào, Quyến Rũ [12]</t>
  </si>
  <si>
    <t xml:space="preserve">BST Nước Hoa Nữ Aroma Story EDP 30ml  – Hương Thơm, Nữ Tính, Thanh Lịch [16]</t>
  </si>
  <si>
    <t xml:space="preserve">BST Nước Hoa Nam Aroma Story EDP 30ml  – Hương Thơm Nam Tính, Cuốn Hút [20]</t>
  </si>
  <si>
    <t xml:space="preserve">Nến Thơm Quà Tặng Cao Cấp, Tự Nhiên Aroma Story Giúp Thư Giãn, Dễ Ngủ Với Nhiều Hương, Size Đa Dạng [81]</t>
  </si>
  <si>
    <t xml:space="preserve">[23 Hương]Tinh Dầu Nước Hoa Thơm Phòng Cắm Que Khuếch Tán Aroma Story Nhiều Hương, Size 50ml/100ml [98]</t>
  </si>
  <si>
    <t xml:space="preserve">Nến Thơm Quà Tặng Cao Cấp, Tự Nhiên Aroma Story Giúp Thư Giãn, Dễ Ngủ Với Nhiều Hương, Size Đa Dạng [82]</t>
  </si>
  <si>
    <t xml:space="preserve">Nước Hoa All</t>
  </si>
  <si>
    <t xml:space="preserve">Tinh dầu 10ml</t>
  </si>
  <si>
    <t xml:space="preserve">Nến Thơm Thủy Tinh Cao Cấp, Tự Nhiên Giúp Dễ Ngủ, Thư Giãn Aroma Story Nhiều Hương Size 50g/100g [23]</t>
  </si>
  <si>
    <t xml:space="preserve">Nến Thơm Quà Tặng Cao Cấp, Tự Nhiên Aroma Story Giúp Thư Giãn, Dễ Ngủ Với Nhiều Hương, Size Đa Dạng [83]</t>
  </si>
  <si>
    <t xml:space="preserve">Tinh Dầu Thiên Nhiên Hương Trà Trắng Aroma Story Nguyên Chất  – Xông Phòng, Thư Giãn, Ngủ Ngon 10ml [2]</t>
  </si>
  <si>
    <t xml:space="preserve">Tinh Dầu Thiên Nhiên Hương Chanh Aroma Story Nguyên Chất 10ml – Xông Phòng, Thư Giãn, Ngủ Ngon</t>
  </si>
  <si>
    <t xml:space="preserve">[Hơn 20 Hương] Tinh Dầu Thiên Nhiên Nguyên Chất Aroma Story 10ml – Xông Phòng, Thư Giãn, Ngủ Ngon [5]</t>
  </si>
  <si>
    <t xml:space="preserve">[23 Hương]Tinh Dầu Nước Hoa Thơm Phòng Cắm Que Khuếch Tán Aroma Story Nhiều Hương, Size 50ml/100ml [99]</t>
  </si>
  <si>
    <t xml:space="preserve">Nến Thơm Quà Tặng Cao Cấp, Tự Nhiên Aroma Story Giúp Thư Giãn, Dễ Ngủ Với Nhiều Hương, Size Đa Dạng [84]</t>
  </si>
  <si>
    <t xml:space="preserve">TDKT - Other 1</t>
  </si>
  <si>
    <t xml:space="preserve">[23 Hương]Tinh Dầu Nước Hoa Thơm Phòng Cắm Que Khuếch Tán Aroma Story Nhiều Hương, Size 50ml/100ml [100]</t>
  </si>
  <si>
    <t xml:space="preserve">[HOT] Set Quà Tặng Nến Thơm Aroma Story Dành Tặng Người Yêu, Sinh Nhật, Kỷ Niệm [51]</t>
  </si>
  <si>
    <t xml:space="preserve">SET Quà "NẾN THƠM KHẮC TÊN THEO YÊU CẦU" Aroma Story, Dùng Làm Quà Tặng Dịp Đặc Biệt, Sinh Nhật, 20/10, Tốt Nghiệp,... [2]</t>
  </si>
  <si>
    <t xml:space="preserve">Set Quà Tặng Nến Thơm Cho Người Yêu, Kỷ Niệm, Sinh Nhật, Tốt Nghiệp Aroma Story [27]</t>
  </si>
  <si>
    <t xml:space="preserve">Nến Thơm Quà Tặng Aroma Story Cho Bạn Bè, Người Yêu Nhân Dịp Sinh Nhật, Kỷ Niệm Và Tốt Nghiệp [22]</t>
  </si>
  <si>
    <t xml:space="preserve">Tinh Dầu Khuếch Tán Thơm Phòng Aroma Story Nhiều Hương Size 50ml/100ml [26]</t>
  </si>
  <si>
    <t xml:space="preserve">Nến Thơm Thiên Nhiên Bộ Sưu Tập Little Things Aroma Story Size 50g [22]</t>
  </si>
  <si>
    <t xml:space="preserve">Tinh Dầu Khuếch Tán Thơm Phòng Aroma Story Dạng Cắm Que Phiên Bản Đặc Biệt Size 50ml/100ml/150ml [19]</t>
  </si>
  <si>
    <t xml:space="preserve">Nến Thơm Cao Cấp Aroma Story Nhiều Hương Cốc Gốm Sứ, Xi Măng, Thủy Tinh Size 100g - 250g [27]</t>
  </si>
  <si>
    <t xml:space="preserve">[Hỏa Tốc HCM] Set Quà Tặng Nến Thơm Aroma Story Kèm Phụ Kiện – Quà Tặng Các Dịp Lễ, Sinh Nhật, Kỷ Niệm, Giáng Sinh [3]</t>
  </si>
  <si>
    <t xml:space="preserve">Tinh Dầu Thơm Xông Phòng Aroma Story 10ml – Hơn 20 Mùi Hương Thiên Nhiên, Thư Giãn &amp; Dễ Ngủ [4]</t>
  </si>
  <si>
    <t xml:space="preserve">Nến Thơm Cao Cấp Thư Giãn Dễ Ngủ Với Nhiều Hương, Cốc Thủy Tinh &amp; Xi Măng Size 200g [18]</t>
  </si>
  <si>
    <t xml:space="preserve">[HOT] Set Quà Tặng Nến Thơm Aroma Story Dành Tặng Người Yêu, Sinh Nhật, Kỷ Niệm [12]</t>
  </si>
  <si>
    <t xml:space="preserve">XP All</t>
  </si>
  <si>
    <t xml:space="preserve">XP Other 01</t>
  </si>
  <si>
    <t xml:space="preserve">Xịt Thơm Phòng, Quần Áo, Ô Tô  Aroma Story – Khử Mùi, Lưu Hương Lâu, Nhiều Hương Size  200ml [10]</t>
  </si>
  <si>
    <t xml:space="preserve">Tinh Dầu Khuếch Tán Thơm Phòng Aroma Story Nhiều Hương Size 50ml/100ml [27]</t>
  </si>
  <si>
    <t xml:space="preserve">Nến Thơm Cao Cấp Aroma Story Nhiều Hương Cốc Gốm Sứ, Xi Măng, Thủy Tinh Size 100g - 250g [28]</t>
  </si>
  <si>
    <t xml:space="preserve">Nến</t>
  </si>
  <si>
    <t xml:space="preserve">TDKT Other</t>
  </si>
  <si>
    <t xml:space="preserve">Set Quà Other</t>
  </si>
  <si>
    <t xml:space="preserve">Nến Top</t>
  </si>
  <si>
    <t xml:space="preserve">Tinh dầu 10ml - 2</t>
  </si>
  <si>
    <t xml:space="preserve">Tinh dầu 10ml - 3</t>
  </si>
  <si>
    <t xml:space="preserve">Nước Hoa Nữ - 6 SP</t>
  </si>
  <si>
    <t xml:space="preserve">Nước Hoa Nam - 4 SP</t>
  </si>
  <si>
    <t xml:space="preserve">Tinh Dầu Khuếch Tán Thơm Phòng Aroma Story Nhiều Hương Size 50ml/100ml [30]</t>
  </si>
  <si>
    <t xml:space="preserve">Tinh Dầu Thơm Xông Phòng Aroma Story 10ml – Hơn 20 Mùi Hương Thiên Nhiên, Thư Giãn &amp; Dễ Ngủ [5]</t>
  </si>
  <si>
    <t xml:space="preserve">Tinh Dầu Khuếch Tán Thơm Phòng Aroma Story Nhiều Hương Size 50ml/100ml [32]</t>
  </si>
  <si>
    <t xml:space="preserve">Tinh Dầu Khuếch Tán Thơm Phòng Aroma Story Dạng Cắm Que Phiên Bản Đặc Biệt Size 50ml/100ml/150ml [20]</t>
  </si>
  <si>
    <t xml:space="preserve">Tinh Dầu Khuếch Tán Thơm Phòng Aroma Story Nhiều Hương Size 50ml/100ml [29]</t>
  </si>
  <si>
    <t xml:space="preserve">Set Quà Tặng Nến Thơm Cho Người Yêu, Kỷ Niệm, Sinh Nhật, Tốt Nghiệp Aroma Story [28]</t>
  </si>
  <si>
    <t xml:space="preserve">Nến Thơm Quà Tặng Aroma Story Cho Bạn Bè, Người Yêu Nhân Dịp Sinh Nhật, Kỷ Niệm Và Tốt Nghiệp [23]</t>
  </si>
  <si>
    <t xml:space="preserve">Tinh Dầu Khuếch Tán Thơm Phòng Aroma Story Dạng Cắm Que Phiên Bản Đặc Biệt Size 50ml/100ml/150ml [21]</t>
  </si>
  <si>
    <t xml:space="preserve">Tinh Dầu Khuếch Tán Thơm Phòng Aroma Story Nhiều Hương Size 50ml/100ml [31]</t>
  </si>
  <si>
    <t xml:space="preserve">Nến Thơm Cao Cấp Thư Giãn Dễ Ngủ Với Nhiều Hương, Cốc Thủy Tinh &amp; Xi Măng Size 200g [19]</t>
  </si>
  <si>
    <t xml:space="preserve">Nến Thơm Cao Cấp Aroma Story Nhiều Hương Cốc Gốm Sứ, Xi Măng, Thủy Tinh Size 100g - 250g [29]</t>
  </si>
  <si>
    <t xml:space="preserve">Tinh Dầu Khuếch Tán Thơm Phòng Aroma Story Nhiều Hương Size 50ml/100ml [33]</t>
  </si>
  <si>
    <t xml:space="preserve">[HOT] Set Quà Tặng Nến Thơm Aroma Story Dành Tặng Người Yêu, Sinh Nhật, Kỷ Niệm [13]</t>
  </si>
  <si>
    <t xml:space="preserve">Nến Thơm Quà Tặng Aroma Story Dành Tặng Dịp Sinh Nhật, Kỷ Niệm Cho Nữ, Nam Người Thân Và Bạn Bè [3]</t>
  </si>
  <si>
    <t xml:space="preserve">Tinh Dầu Khuếch Tán Thơm Phòng Aroma Story Dạng Cắm Que Phiên Bản Đặc Biệt Size 50ml/100ml/150ml [22]</t>
  </si>
  <si>
    <t xml:space="preserve">Tinh Dầu Khuếch Tán Thơm Phòng Aroma Story Nhiều Hương Size 50ml/100ml [34]</t>
  </si>
  <si>
    <t xml:space="preserve">Nến Thơm Thiên Nhiên Bộ Sưu Tập Little Things Aroma Story Size 50g [23]</t>
  </si>
  <si>
    <t xml:space="preserve">Tinh Dầu Khuếch Tán Thơm Phòng Aroma Story Nhiều Hương Size 50ml/100ml [35]</t>
  </si>
  <si>
    <t xml:space="preserve">Set quà Nến thơm</t>
  </si>
  <si>
    <t xml:space="preserve">Nến - Túi Đế Thiệp</t>
  </si>
  <si>
    <t xml:space="preserve">Tinh Dầu Khuếch Tán Thơm Phòng Aroma Story Nhiều Hương Size 50ml/100ml [36]</t>
  </si>
  <si>
    <t xml:space="preserve">Tinh Dầu Khuếch Tán Thơm Phòng Aroma Story Dạng Cắm Que Phiên Bản Đặc Biệt Size 50ml/100ml/150ml [23]</t>
  </si>
  <si>
    <t xml:space="preserve">Nến Thơm Cao Cấp Aroma Story Nhiều Hương Cốc Gốm Sứ, Xi Măng, Thủy Tinh Size 100g - 250g [30]</t>
  </si>
  <si>
    <t xml:space="preserve">Nến Thơm Cao Cấp Aroma Story Nhiều Hương Cốc Gốm Sứ, Xi Măng, Thủy Tinh Size 100g - 250g [31]</t>
  </si>
  <si>
    <t xml:space="preserve">SET Quà "NẾN THƠM KHẮC TÊN THEO YÊU CẦU" Aroma Story, Dùng Làm Quà Tặng Dịp Đặc Biệt, Sinh Nhật, 20/10, Tốt Nghiệp,... [3]</t>
  </si>
  <si>
    <t xml:space="preserve">Sản phẩm (đã ghép)</t>
  </si>
  <si>
    <t xml:space="preserve">Ten da ghep (canonical)</t>
  </si>
  <si>
    <t xml:space="preserve">Ten goc - Goc Huong Thom</t>
  </si>
  <si>
    <t xml:space="preserve">Ten goc - The Art Of Scent</t>
  </si>
  <si>
    <t xml:space="preserve">Do giong (0-1)</t>
  </si>
  <si>
    <t xml:space="preserve">Set Quà Tặng Nến Thơm Cho Người Yêu, Kỷ Niệm, Sinh Nhật, Tốt Nghiệp Aroma Story</t>
  </si>
  <si>
    <t xml:space="preserve">Nến Thơm Quà Tặng Cao Cấp, Tự Nhiên Aroma Story Giúp Thư Giãn, Dễ Ngủ Với Nhiều Hương, Size Đa Dạng</t>
  </si>
  <si>
    <t xml:space="preserve">Nến Thơm Thủy Tinh Cao Cấp, Tự Nhiên Giúp Dễ Ngủ, Thư Giãn Aroma Story Nhiều Hương Size 50g/100g</t>
  </si>
  <si>
    <t xml:space="preserve">Nến Thơm Trang Trí Cao Cấp Giúp Thư Giãn Dễ Ngủ Với Nhiều Hương, Cốc Thủy Tinh &amp; Xi Măng Nhiều Size</t>
  </si>
  <si>
    <t xml:space="preserve">Set Quà Tặng Nến Thơm Aroma Story Kèm Phụ Kiện – Quà Tặng Các Dịp Lễ, Sinh Nhật, Kỷ Niệm, Giáng Sinh</t>
  </si>
  <si>
    <t xml:space="preserve">Tinh Dầu Khuếch Tán Thơm Phòng Aroma Story Dạng Cắm Que Phiên Bản Đặc Biệt Size 50ml/100ml/150ml</t>
  </si>
  <si>
    <t xml:space="preserve">Tinh Dầu Khuếch Tán Thơm Phòng Aroma Story Dạng Cắm Que Phiên Bản Đặc Biệt Size 50ml/100ml/150ml [19</t>
  </si>
  <si>
    <t xml:space="preserve">Tinh Dầu Nước Hoa Thơm Phòng Cắm Que Khuếch Tán Aroma Story Nhiều Hương, Size 50ml/100ml</t>
  </si>
  <si>
    <t xml:space="preserve">Xịt Thơm Phòng, Quần Áo Aroma Story Giúp Khử Mùi, Làm Thơm Không Gian Nhiều Hương Size 200ml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</si>
</sst>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0\x;;\-"/>
    <numFmt numFmtId="167" formatCode="0.0%;\(0.0%\);\-"/>
    <numFmt numFmtId="168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B5B92"/>
        <bgColor rgb="FF333399"/>
      </patternFill>
    </fill>
    <fill>
      <patternFill patternType="solid">
        <fgColor rgb="FF8A5A3B"/>
        <bgColor rgb="FF777777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8A5A3B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B5B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7" min="6" style="0" width="14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3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8" hidden="false" customHeight="true" outlineLevel="0" collapsed="false">
      <c r="A5" s="4" t="s">
        <v>3</v>
      </c>
      <c r="B5" s="5" t="s">
        <v>4</v>
      </c>
      <c r="C5" s="5"/>
      <c r="D5" s="5"/>
      <c r="E5" s="5"/>
      <c r="F5" s="6" t="s">
        <v>5</v>
      </c>
      <c r="G5" s="6"/>
      <c r="H5" s="6"/>
      <c r="I5" s="6"/>
      <c r="J5" s="4" t="s">
        <v>6</v>
      </c>
    </row>
    <row r="6" customFormat="false" ht="25.5" hidden="false" customHeight="true" outlineLevel="0" collapsed="false">
      <c r="A6" s="4"/>
      <c r="B6" s="7" t="s">
        <v>7</v>
      </c>
      <c r="C6" s="7" t="s">
        <v>8</v>
      </c>
      <c r="D6" s="7" t="s">
        <v>9</v>
      </c>
      <c r="E6" s="7" t="s">
        <v>10</v>
      </c>
      <c r="F6" s="8" t="s">
        <v>7</v>
      </c>
      <c r="G6" s="8" t="s">
        <v>8</v>
      </c>
      <c r="H6" s="8" t="s">
        <v>9</v>
      </c>
      <c r="I6" s="8" t="s">
        <v>10</v>
      </c>
      <c r="J6" s="4"/>
    </row>
    <row r="7" customFormat="false" ht="25.5" hidden="false" customHeight="true" outlineLevel="0" collapsed="false">
      <c r="A7" s="9" t="s">
        <v>11</v>
      </c>
      <c r="B7" s="10" t="n">
        <f aca="false">SUMIFS('Raw Data - Nhóm SP'!$E:$E,'Raw Data - Nhóm SP'!$C:$C,"Nước Hoa",'Raw Data - Nhóm SP'!$B:$B,"Aroma Story - Góc Hương Thơm",'Raw Data - Nhóm SP'!$A:$A,"&gt;="&amp;DATE(2026,7,1),'Raw Data - Nhóm SP'!$A:$A,"&lt;="&amp;DATE(2026,7,7))</f>
        <v>782357</v>
      </c>
      <c r="C7" s="10" t="n">
        <f aca="false">SUMIFS('Raw Data - Nhóm SP'!$F:$F,'Raw Data - Nhóm SP'!$C:$C,"Nước Hoa",'Raw Data - Nhóm SP'!$B:$B,"Aroma Story - Góc Hương Thơm",'Raw Data - Nhóm SP'!$A:$A,"&gt;="&amp;DATE(2026,7,1),'Raw Data - Nhóm SP'!$A:$A,"&lt;="&amp;DATE(2026,7,7))</f>
        <v>3028989</v>
      </c>
      <c r="D7" s="11" t="n">
        <f aca="false">IF(B7=0,0,C7/B7)</f>
        <v>3.87161998933991</v>
      </c>
      <c r="E7" s="12" t="n">
        <f aca="false">IF(B7=0,0,D7*(1-'Phí sàn theo shop'!$D$2))</f>
        <v>2.95631418906475</v>
      </c>
      <c r="F7" s="10" t="n">
        <f aca="false">SUMIFS('Raw Data - Nhóm SP'!$E:$E,'Raw Data - Nhóm SP'!$C:$C,"Nước Hoa",'Raw Data - Nhóm SP'!$B:$B,"Aroma Story - The Art Of Scent",'Raw Data - Nhóm SP'!$A:$A,"&gt;="&amp;DATE(2026,7,1),'Raw Data - Nhóm SP'!$A:$A,"&lt;="&amp;DATE(2026,7,7))</f>
        <v>350698</v>
      </c>
      <c r="G7" s="10" t="n">
        <f aca="false">SUMIFS('Raw Data - Nhóm SP'!$F:$F,'Raw Data - Nhóm SP'!$C:$C,"Nước Hoa",'Raw Data - Nhóm SP'!$B:$B,"Aroma Story - The Art Of Scent",'Raw Data - Nhóm SP'!$A:$A,"&gt;="&amp;DATE(2026,7,1),'Raw Data - Nhóm SP'!$A:$A,"&lt;="&amp;DATE(2026,7,7))</f>
        <v>590000</v>
      </c>
      <c r="H7" s="11" t="n">
        <f aca="false">IF(F7=0,0,G7/F7)</f>
        <v>1.68235918083365</v>
      </c>
      <c r="I7" s="12" t="n">
        <f aca="false">IF(F7=0,0,H7*(1-'Phí sàn theo shop'!$D$3))</f>
        <v>1.15932868156998</v>
      </c>
      <c r="J7" s="13" t="str">
        <f aca="false">IF(OR(B7=0,F7=0),IF(B7=0,"Chỉ TAOS có data",IF(F7=0,"Chỉ GHT có data","-")),IF(ABS(E7-I7)/MAX(E7,I7)&lt;0.03,"Ngang nhau -&gt; uu tien GHT",IF(E7&gt;I7,"Don ve GHT","Don ve TAOS")))</f>
        <v>Don ve GHT</v>
      </c>
    </row>
    <row r="8" customFormat="false" ht="25.5" hidden="false" customHeight="true" outlineLevel="0" collapsed="false">
      <c r="A8" s="9" t="s">
        <v>12</v>
      </c>
      <c r="B8" s="10" t="n">
        <f aca="false">SUMIFS('Raw Data - Nhóm SP'!$E:$E,'Raw Data - Nhóm SP'!$C:$C,"Nến Thơm",'Raw Data - Nhóm SP'!$B:$B,"Aroma Story - Góc Hương Thơm",'Raw Data - Nhóm SP'!$A:$A,"&gt;="&amp;DATE(2026,7,1),'Raw Data - Nhóm SP'!$A:$A,"&lt;="&amp;DATE(2026,7,7))</f>
        <v>3296184</v>
      </c>
      <c r="C8" s="10" t="n">
        <f aca="false">SUMIFS('Raw Data - Nhóm SP'!$F:$F,'Raw Data - Nhóm SP'!$C:$C,"Nến Thơm",'Raw Data - Nhóm SP'!$B:$B,"Aroma Story - Góc Hương Thơm",'Raw Data - Nhóm SP'!$A:$A,"&gt;="&amp;DATE(2026,7,1),'Raw Data - Nhóm SP'!$A:$A,"&lt;="&amp;DATE(2026,7,7))</f>
        <v>14557119</v>
      </c>
      <c r="D8" s="11" t="n">
        <f aca="false">IF(B8=0,0,C8/B8)</f>
        <v>4.41635509425445</v>
      </c>
      <c r="E8" s="12" t="n">
        <f aca="false">IF(B8=0,0,D8*(1-'Phí sàn theo shop'!$D$2))</f>
        <v>3.37226619994769</v>
      </c>
      <c r="F8" s="10" t="n">
        <f aca="false">SUMIFS('Raw Data - Nhóm SP'!$E:$E,'Raw Data - Nhóm SP'!$C:$C,"Nến Thơm",'Raw Data - Nhóm SP'!$B:$B,"Aroma Story - The Art Of Scent",'Raw Data - Nhóm SP'!$A:$A,"&gt;="&amp;DATE(2026,7,1),'Raw Data - Nhóm SP'!$A:$A,"&lt;="&amp;DATE(2026,7,7))</f>
        <v>7547659</v>
      </c>
      <c r="G8" s="10" t="n">
        <f aca="false">SUMIFS('Raw Data - Nhóm SP'!$F:$F,'Raw Data - Nhóm SP'!$C:$C,"Nến Thơm",'Raw Data - Nhóm SP'!$B:$B,"Aroma Story - The Art Of Scent",'Raw Data - Nhóm SP'!$A:$A,"&gt;="&amp;DATE(2026,7,1),'Raw Data - Nhóm SP'!$A:$A,"&lt;="&amp;DATE(2026,7,7))</f>
        <v>40545860</v>
      </c>
      <c r="H8" s="11" t="n">
        <f aca="false">IF(F8=0,0,G8/F8)</f>
        <v>5.37197825179966</v>
      </c>
      <c r="I8" s="12" t="n">
        <f aca="false">IF(F8=0,0,H8*(1-'Phí sàn theo shop'!$D$3))</f>
        <v>3.70187801453638</v>
      </c>
      <c r="J8" s="13" t="str">
        <f aca="false">IF(OR(B8=0,F8=0),IF(B8=0,"Chỉ TAOS có data",IF(F8=0,"Chỉ GHT có data","-")),IF(ABS(E8-I8)/MAX(E8,I8)&lt;0.03,"Ngang nhau -&gt; uu tien GHT",IF(E8&gt;I8,"Don ve GHT","Don ve TAOS")))</f>
        <v>Don ve TAOS</v>
      </c>
    </row>
    <row r="9" customFormat="false" ht="25.5" hidden="false" customHeight="true" outlineLevel="0" collapsed="false">
      <c r="A9" s="9" t="s">
        <v>13</v>
      </c>
      <c r="B9" s="10" t="n">
        <f aca="false">SUMIFS('Raw Data - Nhóm SP'!$E:$E,'Raw Data - Nhóm SP'!$C:$C,"Tinh Dầu Khuếch Tán",'Raw Data - Nhóm SP'!$B:$B,"Aroma Story - Góc Hương Thơm",'Raw Data - Nhóm SP'!$A:$A,"&gt;="&amp;DATE(2026,7,1),'Raw Data - Nhóm SP'!$A:$A,"&lt;="&amp;DATE(2026,7,7))</f>
        <v>3466476</v>
      </c>
      <c r="C9" s="10" t="n">
        <f aca="false">SUMIFS('Raw Data - Nhóm SP'!$F:$F,'Raw Data - Nhóm SP'!$C:$C,"Tinh Dầu Khuếch Tán",'Raw Data - Nhóm SP'!$B:$B,"Aroma Story - Góc Hương Thơm",'Raw Data - Nhóm SP'!$A:$A,"&gt;="&amp;DATE(2026,7,1),'Raw Data - Nhóm SP'!$A:$A,"&lt;="&amp;DATE(2026,7,7))</f>
        <v>18822714</v>
      </c>
      <c r="D9" s="11" t="n">
        <f aca="false">IF(B9=0,0,C9/B9)</f>
        <v>5.42992768448419</v>
      </c>
      <c r="E9" s="12" t="n">
        <f aca="false">IF(B9=0,0,D9*(1-'Phí sàn theo shop'!$D$2))</f>
        <v>4.14621587434592</v>
      </c>
      <c r="F9" s="10" t="n">
        <f aca="false">SUMIFS('Raw Data - Nhóm SP'!$E:$E,'Raw Data - Nhóm SP'!$C:$C,"Tinh Dầu Khuếch Tán",'Raw Data - Nhóm SP'!$B:$B,"Aroma Story - The Art Of Scent",'Raw Data - Nhóm SP'!$A:$A,"&gt;="&amp;DATE(2026,7,1),'Raw Data - Nhóm SP'!$A:$A,"&lt;="&amp;DATE(2026,7,7))</f>
        <v>5329350</v>
      </c>
      <c r="G9" s="10" t="n">
        <f aca="false">SUMIFS('Raw Data - Nhóm SP'!$F:$F,'Raw Data - Nhóm SP'!$C:$C,"Tinh Dầu Khuếch Tán",'Raw Data - Nhóm SP'!$B:$B,"Aroma Story - The Art Of Scent",'Raw Data - Nhóm SP'!$A:$A,"&gt;="&amp;DATE(2026,7,1),'Raw Data - Nhóm SP'!$A:$A,"&lt;="&amp;DATE(2026,7,7))</f>
        <v>28523558</v>
      </c>
      <c r="H9" s="11" t="n">
        <f aca="false">IF(F9=0,0,G9/F9)</f>
        <v>5.35216452287803</v>
      </c>
      <c r="I9" s="12" t="n">
        <f aca="false">IF(F9=0,0,H9*(1-'Phí sàn theo shop'!$D$3))</f>
        <v>3.68822419762891</v>
      </c>
      <c r="J9" s="13" t="str">
        <f aca="false">IF(OR(B9=0,F9=0),IF(B9=0,"Chỉ TAOS có data",IF(F9=0,"Chỉ GHT có data","-")),IF(ABS(E9-I9)/MAX(E9,I9)&lt;0.03,"Ngang nhau -&gt; uu tien GHT",IF(E9&gt;I9,"Don ve GHT","Don ve TAOS")))</f>
        <v>Don ve GHT</v>
      </c>
    </row>
    <row r="10" customFormat="false" ht="25.5" hidden="false" customHeight="true" outlineLevel="0" collapsed="false">
      <c r="A10" s="9" t="s">
        <v>14</v>
      </c>
      <c r="B10" s="10" t="n">
        <f aca="false">SUMIFS('Raw Data - Nhóm SP'!$E:$E,'Raw Data - Nhóm SP'!$C:$C,"Tinh Dầu 10ml (Nguyên Chất)",'Raw Data - Nhóm SP'!$B:$B,"Aroma Story - Góc Hương Thơm",'Raw Data - Nhóm SP'!$A:$A,"&gt;="&amp;DATE(2026,7,1),'Raw Data - Nhóm SP'!$A:$A,"&lt;="&amp;DATE(2026,7,7))</f>
        <v>0</v>
      </c>
      <c r="C10" s="10" t="n">
        <f aca="false">SUMIFS('Raw Data - Nhóm SP'!$F:$F,'Raw Data - Nhóm SP'!$C:$C,"Tinh Dầu 10ml (Nguyên Chất)",'Raw Data - Nhóm SP'!$B:$B,"Aroma Story - Góc Hương Thơm",'Raw Data - Nhóm SP'!$A:$A,"&gt;="&amp;DATE(2026,7,1),'Raw Data - Nhóm SP'!$A:$A,"&lt;="&amp;DATE(2026,7,7))</f>
        <v>0</v>
      </c>
      <c r="D10" s="11" t="n">
        <f aca="false">IF(B10=0,0,C10/B10)</f>
        <v>0</v>
      </c>
      <c r="E10" s="12" t="n">
        <f aca="false">IF(B10=0,0,D10*(1-'Phí sàn theo shop'!$D$2))</f>
        <v>0</v>
      </c>
      <c r="F10" s="10" t="n">
        <f aca="false">SUMIFS('Raw Data - Nhóm SP'!$E:$E,'Raw Data - Nhóm SP'!$C:$C,"Tinh Dầu 10ml (Nguyên Chất)",'Raw Data - Nhóm SP'!$B:$B,"Aroma Story - The Art Of Scent",'Raw Data - Nhóm SP'!$A:$A,"&gt;="&amp;DATE(2026,7,1),'Raw Data - Nhóm SP'!$A:$A,"&lt;="&amp;DATE(2026,7,7))</f>
        <v>1499031</v>
      </c>
      <c r="G10" s="10" t="n">
        <f aca="false">SUMIFS('Raw Data - Nhóm SP'!$F:$F,'Raw Data - Nhóm SP'!$C:$C,"Tinh Dầu 10ml (Nguyên Chất)",'Raw Data - Nhóm SP'!$B:$B,"Aroma Story - The Art Of Scent",'Raw Data - Nhóm SP'!$A:$A,"&gt;="&amp;DATE(2026,7,1),'Raw Data - Nhóm SP'!$A:$A,"&lt;="&amp;DATE(2026,7,7))</f>
        <v>7882682</v>
      </c>
      <c r="H10" s="11" t="n">
        <f aca="false">IF(F10=0,0,G10/F10)</f>
        <v>5.25851833617851</v>
      </c>
      <c r="I10" s="12" t="n">
        <f aca="false">IF(F10=0,0,H10*(1-'Phí sàn theo shop'!$D$3))</f>
        <v>3.62369177708682</v>
      </c>
      <c r="J10" s="13" t="str">
        <f aca="false">IF(OR(B10=0,F10=0),IF(B10=0,"Chỉ TAOS có data",IF(F10=0,"Chỉ GHT có data","-")),IF(ABS(E10-I10)/MAX(E10,I10)&lt;0.03,"Ngang nhau -&gt; uu tien GHT",IF(E10&gt;I10,"Don ve GHT","Don ve TAOS")))</f>
        <v>Chỉ TAOS có data</v>
      </c>
    </row>
    <row r="11" customFormat="false" ht="25.5" hidden="false" customHeight="true" outlineLevel="0" collapsed="false">
      <c r="A11" s="9" t="s">
        <v>15</v>
      </c>
      <c r="B11" s="10" t="n">
        <f aca="false">SUMIFS('Raw Data - Nhóm SP'!$E:$E,'Raw Data - Nhóm SP'!$C:$C,"Xịt Thơm Phòng",'Raw Data - Nhóm SP'!$B:$B,"Aroma Story - Góc Hương Thơm",'Raw Data - Nhóm SP'!$A:$A,"&gt;="&amp;DATE(2026,7,1),'Raw Data - Nhóm SP'!$A:$A,"&lt;="&amp;DATE(2026,7,7))</f>
        <v>428046</v>
      </c>
      <c r="C11" s="10" t="n">
        <f aca="false">SUMIFS('Raw Data - Nhóm SP'!$F:$F,'Raw Data - Nhóm SP'!$C:$C,"Xịt Thơm Phòng",'Raw Data - Nhóm SP'!$B:$B,"Aroma Story - Góc Hương Thơm",'Raw Data - Nhóm SP'!$A:$A,"&gt;="&amp;DATE(2026,7,1),'Raw Data - Nhóm SP'!$A:$A,"&lt;="&amp;DATE(2026,7,7))</f>
        <v>1888743</v>
      </c>
      <c r="D11" s="11" t="n">
        <f aca="false">IF(B11=0,0,C11/B11)</f>
        <v>4.41247669642982</v>
      </c>
      <c r="E11" s="12" t="n">
        <f aca="false">IF(B11=0,0,D11*(1-'Phí sàn theo shop'!$D$2))</f>
        <v>3.3693047102996</v>
      </c>
      <c r="F11" s="10" t="n">
        <f aca="false">SUMIFS('Raw Data - Nhóm SP'!$E:$E,'Raw Data - Nhóm SP'!$C:$C,"Xịt Thơm Phòng",'Raw Data - Nhóm SP'!$B:$B,"Aroma Story - The Art Of Scent",'Raw Data - Nhóm SP'!$A:$A,"&gt;="&amp;DATE(2026,7,1),'Raw Data - Nhóm SP'!$A:$A,"&lt;="&amp;DATE(2026,7,7))</f>
        <v>0</v>
      </c>
      <c r="G11" s="10" t="n">
        <f aca="false">SUMIFS('Raw Data - Nhóm SP'!$F:$F,'Raw Data - Nhóm SP'!$C:$C,"Xịt Thơm Phòng",'Raw Data - Nhóm SP'!$B:$B,"Aroma Story - The Art Of Scent",'Raw Data - Nhóm SP'!$A:$A,"&gt;="&amp;DATE(2026,7,1),'Raw Data - Nhóm SP'!$A:$A,"&lt;="&amp;DATE(2026,7,7))</f>
        <v>0</v>
      </c>
      <c r="H11" s="11" t="n">
        <f aca="false">IF(F11=0,0,G11/F11)</f>
        <v>0</v>
      </c>
      <c r="I11" s="12" t="n">
        <f aca="false">IF(F11=0,0,H11*(1-'Phí sàn theo shop'!$D$3))</f>
        <v>0</v>
      </c>
      <c r="J11" s="13" t="str">
        <f aca="false">IF(OR(B11=0,F11=0),IF(B11=0,"Chỉ TAOS có data",IF(F11=0,"Chỉ GHT có data","-")),IF(ABS(E11-I11)/MAX(E11,I11)&lt;0.03,"Ngang nhau -&gt; uu tien GHT",IF(E11&gt;I11,"Don ve GHT","Don ve TAOS")))</f>
        <v>Chỉ GHT có data</v>
      </c>
    </row>
    <row r="12" customFormat="false" ht="25.5" hidden="false" customHeight="true" outlineLevel="0" collapsed="false">
      <c r="A12" s="9" t="s">
        <v>16</v>
      </c>
      <c r="B12" s="10" t="n">
        <f aca="false">SUMIFS('Raw Data - Nhóm SP'!$E:$E,'Raw Data - Nhóm SP'!$C:$C,"Set Quà / Combo",'Raw Data - Nhóm SP'!$B:$B,"Aroma Story - Góc Hương Thơm",'Raw Data - Nhóm SP'!$A:$A,"&gt;="&amp;DATE(2026,7,1),'Raw Data - Nhóm SP'!$A:$A,"&lt;="&amp;DATE(2026,7,7))</f>
        <v>1290203</v>
      </c>
      <c r="C12" s="10" t="n">
        <f aca="false">SUMIFS('Raw Data - Nhóm SP'!$F:$F,'Raw Data - Nhóm SP'!$C:$C,"Set Quà / Combo",'Raw Data - Nhóm SP'!$B:$B,"Aroma Story - Góc Hương Thơm",'Raw Data - Nhóm SP'!$A:$A,"&gt;="&amp;DATE(2026,7,1),'Raw Data - Nhóm SP'!$A:$A,"&lt;="&amp;DATE(2026,7,7))</f>
        <v>5940309</v>
      </c>
      <c r="D12" s="11" t="n">
        <f aca="false">IF(B12=0,0,C12/B12)</f>
        <v>4.60416616609944</v>
      </c>
      <c r="E12" s="12" t="n">
        <f aca="false">IF(B12=0,0,D12*(1-'Phí sàn theo shop'!$D$2))</f>
        <v>3.51567607438981</v>
      </c>
      <c r="F12" s="10" t="n">
        <f aca="false">SUMIFS('Raw Data - Nhóm SP'!$E:$E,'Raw Data - Nhóm SP'!$C:$C,"Set Quà / Combo",'Raw Data - Nhóm SP'!$B:$B,"Aroma Story - The Art Of Scent",'Raw Data - Nhóm SP'!$A:$A,"&gt;="&amp;DATE(2026,7,1),'Raw Data - Nhóm SP'!$A:$A,"&lt;="&amp;DATE(2026,7,7))</f>
        <v>0</v>
      </c>
      <c r="G12" s="10" t="n">
        <f aca="false">SUMIFS('Raw Data - Nhóm SP'!$F:$F,'Raw Data - Nhóm SP'!$C:$C,"Set Quà / Combo",'Raw Data - Nhóm SP'!$B:$B,"Aroma Story - The Art Of Scent",'Raw Data - Nhóm SP'!$A:$A,"&gt;="&amp;DATE(2026,7,1),'Raw Data - Nhóm SP'!$A:$A,"&lt;="&amp;DATE(2026,7,7))</f>
        <v>0</v>
      </c>
      <c r="H12" s="11" t="n">
        <f aca="false">IF(F12=0,0,G12/F12)</f>
        <v>0</v>
      </c>
      <c r="I12" s="12" t="n">
        <f aca="false">IF(F12=0,0,H12*(1-'Phí sàn theo shop'!$D$3))</f>
        <v>0</v>
      </c>
      <c r="J12" s="13" t="str">
        <f aca="false">IF(OR(B12=0,F12=0),IF(B12=0,"Chỉ TAOS có data",IF(F12=0,"Chỉ GHT có data","-")),IF(ABS(E12-I12)/MAX(E12,I12)&lt;0.03,"Ngang nhau -&gt; uu tien GHT",IF(E12&gt;I12,"Don ve GHT","Don ve TAOS")))</f>
        <v>Chỉ GHT có data</v>
      </c>
    </row>
    <row r="13" customFormat="false" ht="18" hidden="false" customHeight="true" outlineLevel="0" collapsed="false">
      <c r="A13" s="14" t="s">
        <v>17</v>
      </c>
      <c r="B13" s="15" t="n">
        <f aca="false">SUMIFS('Raw Data - Nhóm SP'!$E:$E,'Raw Data - Nhóm SP'!$B:$B,"Aroma Story - Góc Hương Thơm",'Raw Data - Nhóm SP'!$A:$A,"&gt;="&amp;DATE(2026,7,1),'Raw Data - Nhóm SP'!$A:$A,"&lt;="&amp;DATE(2026,7,7))</f>
        <v>9263266</v>
      </c>
      <c r="C13" s="15" t="n">
        <f aca="false">SUMIFS('Raw Data - Nhóm SP'!$F:$F,'Raw Data - Nhóm SP'!$B:$B,"Aroma Story - Góc Hương Thơm",'Raw Data - Nhóm SP'!$A:$A,"&gt;="&amp;DATE(2026,7,1),'Raw Data - Nhóm SP'!$A:$A,"&lt;="&amp;DATE(2026,7,7))</f>
        <v>44237874</v>
      </c>
      <c r="D13" s="16" t="n">
        <f aca="false">IF(B13=0,0,C13/B13)</f>
        <v>4.77562384584444</v>
      </c>
      <c r="E13" s="16" t="n">
        <f aca="false">IF(B13=0,0,D13*(1-'Phí sàn theo shop'!$D$2))</f>
        <v>3.64659873024185</v>
      </c>
      <c r="F13" s="15" t="n">
        <f aca="false">SUMIFS('Raw Data - Nhóm SP'!$E:$E,'Raw Data - Nhóm SP'!$B:$B,"Aroma Story - The Art Of Scent",'Raw Data - Nhóm SP'!$A:$A,"&gt;="&amp;DATE(2026,7,1),'Raw Data - Nhóm SP'!$A:$A,"&lt;="&amp;DATE(2026,7,7))</f>
        <v>14726738</v>
      </c>
      <c r="G13" s="15" t="n">
        <f aca="false">SUMIFS('Raw Data - Nhóm SP'!$F:$F,'Raw Data - Nhóm SP'!$B:$B,"Aroma Story - The Art Of Scent",'Raw Data - Nhóm SP'!$A:$A,"&gt;="&amp;DATE(2026,7,1),'Raw Data - Nhóm SP'!$A:$A,"&lt;="&amp;DATE(2026,7,7))</f>
        <v>77542100</v>
      </c>
      <c r="H13" s="16" t="n">
        <f aca="false">IF(F13=0,0,G13/F13)</f>
        <v>5.26539550034774</v>
      </c>
      <c r="I13" s="16" t="n">
        <f aca="false">IF(F13=0,0,H13*(1-'Phí sàn theo shop'!$D$3))</f>
        <v>3.62843089211058</v>
      </c>
      <c r="J13" s="17"/>
    </row>
    <row r="15" customFormat="false" ht="15" hidden="false" customHeight="false" outlineLevel="0" collapsed="false">
      <c r="A15" s="3" t="s">
        <v>18</v>
      </c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8" hidden="false" customHeight="true" outlineLevel="0" collapsed="false">
      <c r="A16" s="4" t="s">
        <v>3</v>
      </c>
      <c r="B16" s="5" t="s">
        <v>4</v>
      </c>
      <c r="C16" s="5"/>
      <c r="D16" s="5"/>
      <c r="E16" s="5"/>
      <c r="F16" s="6" t="s">
        <v>5</v>
      </c>
      <c r="G16" s="6"/>
      <c r="H16" s="6"/>
      <c r="I16" s="6"/>
      <c r="J16" s="4" t="s">
        <v>6</v>
      </c>
    </row>
    <row r="17" customFormat="false" ht="25.5" hidden="false" customHeight="true" outlineLevel="0" collapsed="false">
      <c r="A17" s="4"/>
      <c r="B17" s="7" t="s">
        <v>7</v>
      </c>
      <c r="C17" s="7" t="s">
        <v>8</v>
      </c>
      <c r="D17" s="7" t="s">
        <v>9</v>
      </c>
      <c r="E17" s="7" t="s">
        <v>10</v>
      </c>
      <c r="F17" s="8" t="s">
        <v>7</v>
      </c>
      <c r="G17" s="8" t="s">
        <v>8</v>
      </c>
      <c r="H17" s="8" t="s">
        <v>9</v>
      </c>
      <c r="I17" s="8" t="s">
        <v>10</v>
      </c>
      <c r="J17" s="4"/>
    </row>
    <row r="18" customFormat="false" ht="25.5" hidden="false" customHeight="true" outlineLevel="0" collapsed="false">
      <c r="A18" s="9" t="s">
        <v>11</v>
      </c>
      <c r="B18" s="10" t="n">
        <f aca="false">SUMIFS('Raw Data - Nhóm SP'!$E:$E,'Raw Data - Nhóm SP'!$C:$C,"Nước Hoa",'Raw Data - Nhóm SP'!$B:$B,"Aroma Story - Góc Hương Thơm",'Raw Data - Nhóm SP'!$A:$A,"&gt;="&amp;DATE(2026,6,8),'Raw Data - Nhóm SP'!$A:$A,"&lt;="&amp;DATE(2026,7,7))</f>
        <v>4018664</v>
      </c>
      <c r="C18" s="10" t="n">
        <f aca="false">SUMIFS('Raw Data - Nhóm SP'!$F:$F,'Raw Data - Nhóm SP'!$C:$C,"Nước Hoa",'Raw Data - Nhóm SP'!$B:$B,"Aroma Story - Góc Hương Thơm",'Raw Data - Nhóm SP'!$A:$A,"&gt;="&amp;DATE(2026,6,8),'Raw Data - Nhóm SP'!$A:$A,"&lt;="&amp;DATE(2026,7,7))</f>
        <v>14269230</v>
      </c>
      <c r="D18" s="11" t="n">
        <f aca="false">IF(B18=0,0,C18/B18)</f>
        <v>3.55073974833427</v>
      </c>
      <c r="E18" s="12" t="n">
        <f aca="false">IF(B18=0,0,D18*(1-'Phí sàn theo shop'!$D$2))</f>
        <v>2.71129458174601</v>
      </c>
      <c r="F18" s="10" t="n">
        <f aca="false">SUMIFS('Raw Data - Nhóm SP'!$E:$E,'Raw Data - Nhóm SP'!$C:$C,"Nước Hoa",'Raw Data - Nhóm SP'!$B:$B,"Aroma Story - The Art Of Scent",'Raw Data - Nhóm SP'!$A:$A,"&gt;="&amp;DATE(2026,6,8),'Raw Data - Nhóm SP'!$A:$A,"&lt;="&amp;DATE(2026,7,7))</f>
        <v>2036764</v>
      </c>
      <c r="G18" s="10" t="n">
        <f aca="false">SUMIFS('Raw Data - Nhóm SP'!$F:$F,'Raw Data - Nhóm SP'!$C:$C,"Nước Hoa",'Raw Data - Nhóm SP'!$B:$B,"Aroma Story - The Art Of Scent",'Raw Data - Nhóm SP'!$A:$A,"&gt;="&amp;DATE(2026,6,8),'Raw Data - Nhóm SP'!$A:$A,"&lt;="&amp;DATE(2026,7,7))</f>
        <v>8499300</v>
      </c>
      <c r="H18" s="11" t="n">
        <f aca="false">IF(F18=0,0,G18/F18)</f>
        <v>4.17294296246399</v>
      </c>
      <c r="I18" s="12" t="n">
        <f aca="false">IF(F18=0,0,H18*(1-'Phí sàn theo shop'!$D$3))</f>
        <v>2.87561212733589</v>
      </c>
      <c r="J18" s="13" t="str">
        <f aca="false">IF(OR(B18=0,F18=0),IF(B18=0,"Chỉ TAOS có data",IF(F18=0,"Chỉ GHT có data","-")),IF(ABS(E18-I18)/MAX(E18,I18)&lt;0.03,"Ngang nhau -&gt; uu tien GHT",IF(E18&gt;I18,"Don ve GHT","Don ve TAOS")))</f>
        <v>Don ve TAOS</v>
      </c>
    </row>
    <row r="19" customFormat="false" ht="25.5" hidden="false" customHeight="true" outlineLevel="0" collapsed="false">
      <c r="A19" s="9" t="s">
        <v>12</v>
      </c>
      <c r="B19" s="10" t="n">
        <f aca="false">SUMIFS('Raw Data - Nhóm SP'!$E:$E,'Raw Data - Nhóm SP'!$C:$C,"Nến Thơm",'Raw Data - Nhóm SP'!$B:$B,"Aroma Story - Góc Hương Thơm",'Raw Data - Nhóm SP'!$A:$A,"&gt;="&amp;DATE(2026,6,8),'Raw Data - Nhóm SP'!$A:$A,"&lt;="&amp;DATE(2026,7,7))</f>
        <v>13626617</v>
      </c>
      <c r="C19" s="10" t="n">
        <f aca="false">SUMIFS('Raw Data - Nhóm SP'!$F:$F,'Raw Data - Nhóm SP'!$C:$C,"Nến Thơm",'Raw Data - Nhóm SP'!$B:$B,"Aroma Story - Góc Hương Thơm",'Raw Data - Nhóm SP'!$A:$A,"&gt;="&amp;DATE(2026,6,8),'Raw Data - Nhóm SP'!$A:$A,"&lt;="&amp;DATE(2026,7,7))</f>
        <v>60305826</v>
      </c>
      <c r="D19" s="11" t="n">
        <f aca="false">IF(B19=0,0,C19/B19)</f>
        <v>4.42559044552291</v>
      </c>
      <c r="E19" s="12" t="n">
        <f aca="false">IF(B19=0,0,D19*(1-'Phí sàn theo shop'!$D$2))</f>
        <v>3.37931818337353</v>
      </c>
      <c r="F19" s="10" t="n">
        <f aca="false">SUMIFS('Raw Data - Nhóm SP'!$E:$E,'Raw Data - Nhóm SP'!$C:$C,"Nến Thơm",'Raw Data - Nhóm SP'!$B:$B,"Aroma Story - The Art Of Scent",'Raw Data - Nhóm SP'!$A:$A,"&gt;="&amp;DATE(2026,6,8),'Raw Data - Nhóm SP'!$A:$A,"&lt;="&amp;DATE(2026,7,7))</f>
        <v>35634729</v>
      </c>
      <c r="G19" s="10" t="n">
        <f aca="false">SUMIFS('Raw Data - Nhóm SP'!$F:$F,'Raw Data - Nhóm SP'!$C:$C,"Nến Thơm",'Raw Data - Nhóm SP'!$B:$B,"Aroma Story - The Art Of Scent",'Raw Data - Nhóm SP'!$A:$A,"&gt;="&amp;DATE(2026,6,8),'Raw Data - Nhóm SP'!$A:$A,"&lt;="&amp;DATE(2026,7,7))</f>
        <v>185748827</v>
      </c>
      <c r="H19" s="11" t="n">
        <f aca="false">IF(F19=0,0,G19/F19)</f>
        <v>5.21257863361329</v>
      </c>
      <c r="I19" s="12" t="n">
        <f aca="false">IF(F19=0,0,H19*(1-'Phí sàn theo shop'!$D$3))</f>
        <v>3.59203431926603</v>
      </c>
      <c r="J19" s="13" t="str">
        <f aca="false">IF(OR(B19=0,F19=0),IF(B19=0,"Chỉ TAOS có data",IF(F19=0,"Chỉ GHT có data","-")),IF(ABS(E19-I19)/MAX(E19,I19)&lt;0.03,"Ngang nhau -&gt; uu tien GHT",IF(E19&gt;I19,"Don ve GHT","Don ve TAOS")))</f>
        <v>Don ve TAOS</v>
      </c>
    </row>
    <row r="20" customFormat="false" ht="25.5" hidden="false" customHeight="true" outlineLevel="0" collapsed="false">
      <c r="A20" s="9" t="s">
        <v>13</v>
      </c>
      <c r="B20" s="10" t="n">
        <f aca="false">SUMIFS('Raw Data - Nhóm SP'!$E:$E,'Raw Data - Nhóm SP'!$C:$C,"Tinh Dầu Khuếch Tán",'Raw Data - Nhóm SP'!$B:$B,"Aroma Story - Góc Hương Thơm",'Raw Data - Nhóm SP'!$A:$A,"&gt;="&amp;DATE(2026,6,8),'Raw Data - Nhóm SP'!$A:$A,"&lt;="&amp;DATE(2026,7,7))</f>
        <v>17872737</v>
      </c>
      <c r="C20" s="10" t="n">
        <f aca="false">SUMIFS('Raw Data - Nhóm SP'!$F:$F,'Raw Data - Nhóm SP'!$C:$C,"Tinh Dầu Khuếch Tán",'Raw Data - Nhóm SP'!$B:$B,"Aroma Story - Góc Hương Thơm",'Raw Data - Nhóm SP'!$A:$A,"&gt;="&amp;DATE(2026,6,8),'Raw Data - Nhóm SP'!$A:$A,"&lt;="&amp;DATE(2026,7,7))</f>
        <v>90999268</v>
      </c>
      <c r="D20" s="11" t="n">
        <f aca="false">IF(B20=0,0,C20/B20)</f>
        <v>5.09151273249307</v>
      </c>
      <c r="E20" s="12" t="n">
        <f aca="false">IF(B20=0,0,D20*(1-'Phí sàn theo shop'!$D$2))</f>
        <v>3.88780701006749</v>
      </c>
      <c r="F20" s="10" t="n">
        <f aca="false">SUMIFS('Raw Data - Nhóm SP'!$E:$E,'Raw Data - Nhóm SP'!$C:$C,"Tinh Dầu Khuếch Tán",'Raw Data - Nhóm SP'!$B:$B,"Aroma Story - The Art Of Scent",'Raw Data - Nhóm SP'!$A:$A,"&gt;="&amp;DATE(2026,6,8),'Raw Data - Nhóm SP'!$A:$A,"&lt;="&amp;DATE(2026,7,7))</f>
        <v>21682193</v>
      </c>
      <c r="G20" s="10" t="n">
        <f aca="false">SUMIFS('Raw Data - Nhóm SP'!$F:$F,'Raw Data - Nhóm SP'!$C:$C,"Tinh Dầu Khuếch Tán",'Raw Data - Nhóm SP'!$B:$B,"Aroma Story - The Art Of Scent",'Raw Data - Nhóm SP'!$A:$A,"&gt;="&amp;DATE(2026,6,8),'Raw Data - Nhóm SP'!$A:$A,"&lt;="&amp;DATE(2026,7,7))</f>
        <v>114868057</v>
      </c>
      <c r="H20" s="11" t="n">
        <f aca="false">IF(F20=0,0,G20/F20)</f>
        <v>5.29780622282995</v>
      </c>
      <c r="I20" s="12" t="n">
        <f aca="false">IF(F20=0,0,H20*(1-'Phí sàn theo shop'!$D$3))</f>
        <v>3.65076540937188</v>
      </c>
      <c r="J20" s="13" t="str">
        <f aca="false">IF(OR(B20=0,F20=0),IF(B20=0,"Chỉ TAOS có data",IF(F20=0,"Chỉ GHT có data","-")),IF(ABS(E20-I20)/MAX(E20,I20)&lt;0.03,"Ngang nhau -&gt; uu tien GHT",IF(E20&gt;I20,"Don ve GHT","Don ve TAOS")))</f>
        <v>Don ve GHT</v>
      </c>
    </row>
    <row r="21" customFormat="false" ht="25.5" hidden="false" customHeight="true" outlineLevel="0" collapsed="false">
      <c r="A21" s="9" t="s">
        <v>14</v>
      </c>
      <c r="B21" s="10" t="n">
        <f aca="false">SUMIFS('Raw Data - Nhóm SP'!$E:$E,'Raw Data - Nhóm SP'!$C:$C,"Tinh Dầu 10ml (Nguyên Chất)",'Raw Data - Nhóm SP'!$B:$B,"Aroma Story - Góc Hương Thơm",'Raw Data - Nhóm SP'!$A:$A,"&gt;="&amp;DATE(2026,6,8),'Raw Data - Nhóm SP'!$A:$A,"&lt;="&amp;DATE(2026,7,7))</f>
        <v>565486</v>
      </c>
      <c r="C21" s="10" t="n">
        <f aca="false">SUMIFS('Raw Data - Nhóm SP'!$F:$F,'Raw Data - Nhóm SP'!$C:$C,"Tinh Dầu 10ml (Nguyên Chất)",'Raw Data - Nhóm SP'!$B:$B,"Aroma Story - Góc Hương Thơm",'Raw Data - Nhóm SP'!$A:$A,"&gt;="&amp;DATE(2026,6,8),'Raw Data - Nhóm SP'!$A:$A,"&lt;="&amp;DATE(2026,7,7))</f>
        <v>683400</v>
      </c>
      <c r="D21" s="11" t="n">
        <f aca="false">IF(B21=0,0,C21/B21)</f>
        <v>1.20851798276173</v>
      </c>
      <c r="E21" s="12" t="n">
        <f aca="false">IF(B21=0,0,D21*(1-'Phí sàn theo shop'!$D$2))</f>
        <v>0.92280721507163</v>
      </c>
      <c r="F21" s="10" t="n">
        <f aca="false">SUMIFS('Raw Data - Nhóm SP'!$E:$E,'Raw Data - Nhóm SP'!$C:$C,"Tinh Dầu 10ml (Nguyên Chất)",'Raw Data - Nhóm SP'!$B:$B,"Aroma Story - The Art Of Scent",'Raw Data - Nhóm SP'!$A:$A,"&gt;="&amp;DATE(2026,6,8),'Raw Data - Nhóm SP'!$A:$A,"&lt;="&amp;DATE(2026,7,7))</f>
        <v>4309305</v>
      </c>
      <c r="G21" s="10" t="n">
        <f aca="false">SUMIFS('Raw Data - Nhóm SP'!$F:$F,'Raw Data - Nhóm SP'!$C:$C,"Tinh Dầu 10ml (Nguyên Chất)",'Raw Data - Nhóm SP'!$B:$B,"Aroma Story - The Art Of Scent",'Raw Data - Nhóm SP'!$A:$A,"&gt;="&amp;DATE(2026,6,8),'Raw Data - Nhóm SP'!$A:$A,"&lt;="&amp;DATE(2026,7,7))</f>
        <v>19659574</v>
      </c>
      <c r="H21" s="11" t="n">
        <f aca="false">IF(F21=0,0,G21/F21)</f>
        <v>4.56212173424717</v>
      </c>
      <c r="I21" s="12" t="n">
        <f aca="false">IF(F21=0,0,H21*(1-'Phí sàn theo shop'!$D$3))</f>
        <v>3.14379868198283</v>
      </c>
      <c r="J21" s="13" t="str">
        <f aca="false">IF(OR(B21=0,F21=0),IF(B21=0,"Chỉ TAOS có data",IF(F21=0,"Chỉ GHT có data","-")),IF(ABS(E21-I21)/MAX(E21,I21)&lt;0.03,"Ngang nhau -&gt; uu tien GHT",IF(E21&gt;I21,"Don ve GHT","Don ve TAOS")))</f>
        <v>Don ve TAOS</v>
      </c>
    </row>
    <row r="22" customFormat="false" ht="25.5" hidden="false" customHeight="true" outlineLevel="0" collapsed="false">
      <c r="A22" s="9" t="s">
        <v>15</v>
      </c>
      <c r="B22" s="10" t="n">
        <f aca="false">SUMIFS('Raw Data - Nhóm SP'!$E:$E,'Raw Data - Nhóm SP'!$C:$C,"Xịt Thơm Phòng",'Raw Data - Nhóm SP'!$B:$B,"Aroma Story - Góc Hương Thơm",'Raw Data - Nhóm SP'!$A:$A,"&gt;="&amp;DATE(2026,6,8),'Raw Data - Nhóm SP'!$A:$A,"&lt;="&amp;DATE(2026,7,7))</f>
        <v>1142913</v>
      </c>
      <c r="C22" s="10" t="n">
        <f aca="false">SUMIFS('Raw Data - Nhóm SP'!$F:$F,'Raw Data - Nhóm SP'!$C:$C,"Xịt Thơm Phòng",'Raw Data - Nhóm SP'!$B:$B,"Aroma Story - Góc Hương Thơm",'Raw Data - Nhóm SP'!$A:$A,"&gt;="&amp;DATE(2026,6,8),'Raw Data - Nhóm SP'!$A:$A,"&lt;="&amp;DATE(2026,7,7))</f>
        <v>4681547</v>
      </c>
      <c r="D22" s="11" t="n">
        <f aca="false">IF(B22=0,0,C22/B22)</f>
        <v>4.09615342550133</v>
      </c>
      <c r="E22" s="12" t="n">
        <f aca="false">IF(B22=0,0,D22*(1-'Phí sàn theo shop'!$D$2))</f>
        <v>3.12776474079017</v>
      </c>
      <c r="F22" s="10" t="n">
        <f aca="false">SUMIFS('Raw Data - Nhóm SP'!$E:$E,'Raw Data - Nhóm SP'!$C:$C,"Xịt Thơm Phòng",'Raw Data - Nhóm SP'!$B:$B,"Aroma Story - The Art Of Scent",'Raw Data - Nhóm SP'!$A:$A,"&gt;="&amp;DATE(2026,6,8),'Raw Data - Nhóm SP'!$A:$A,"&lt;="&amp;DATE(2026,7,7))</f>
        <v>0</v>
      </c>
      <c r="G22" s="10" t="n">
        <f aca="false">SUMIFS('Raw Data - Nhóm SP'!$F:$F,'Raw Data - Nhóm SP'!$C:$C,"Xịt Thơm Phòng",'Raw Data - Nhóm SP'!$B:$B,"Aroma Story - The Art Of Scent",'Raw Data - Nhóm SP'!$A:$A,"&gt;="&amp;DATE(2026,6,8),'Raw Data - Nhóm SP'!$A:$A,"&lt;="&amp;DATE(2026,7,7))</f>
        <v>0</v>
      </c>
      <c r="H22" s="11" t="n">
        <f aca="false">IF(F22=0,0,G22/F22)</f>
        <v>0</v>
      </c>
      <c r="I22" s="12" t="n">
        <f aca="false">IF(F22=0,0,H22*(1-'Phí sàn theo shop'!$D$3))</f>
        <v>0</v>
      </c>
      <c r="J22" s="13" t="str">
        <f aca="false">IF(OR(B22=0,F22=0),IF(B22=0,"Chỉ TAOS có data",IF(F22=0,"Chỉ GHT có data","-")),IF(ABS(E22-I22)/MAX(E22,I22)&lt;0.03,"Ngang nhau -&gt; uu tien GHT",IF(E22&gt;I22,"Don ve GHT","Don ve TAOS")))</f>
        <v>Chỉ GHT có data</v>
      </c>
    </row>
    <row r="23" customFormat="false" ht="25.5" hidden="false" customHeight="true" outlineLevel="0" collapsed="false">
      <c r="A23" s="9" t="s">
        <v>16</v>
      </c>
      <c r="B23" s="10" t="n">
        <f aca="false">SUMIFS('Raw Data - Nhóm SP'!$E:$E,'Raw Data - Nhóm SP'!$C:$C,"Set Quà / Combo",'Raw Data - Nhóm SP'!$B:$B,"Aroma Story - Góc Hương Thơm",'Raw Data - Nhóm SP'!$A:$A,"&gt;="&amp;DATE(2026,6,8),'Raw Data - Nhóm SP'!$A:$A,"&lt;="&amp;DATE(2026,7,7))</f>
        <v>4056086</v>
      </c>
      <c r="C23" s="10" t="n">
        <f aca="false">SUMIFS('Raw Data - Nhóm SP'!$F:$F,'Raw Data - Nhóm SP'!$C:$C,"Set Quà / Combo",'Raw Data - Nhóm SP'!$B:$B,"Aroma Story - Góc Hương Thơm",'Raw Data - Nhóm SP'!$A:$A,"&gt;="&amp;DATE(2026,6,8),'Raw Data - Nhóm SP'!$A:$A,"&lt;="&amp;DATE(2026,7,7))</f>
        <v>20334669</v>
      </c>
      <c r="D23" s="11" t="n">
        <f aca="false">IF(B23=0,0,C23/B23)</f>
        <v>5.01337225098284</v>
      </c>
      <c r="E23" s="12" t="n">
        <f aca="false">IF(B23=0,0,D23*(1-'Phí sàn theo shop'!$D$2))</f>
        <v>3.82814004511094</v>
      </c>
      <c r="F23" s="10" t="n">
        <f aca="false">SUMIFS('Raw Data - Nhóm SP'!$E:$E,'Raw Data - Nhóm SP'!$C:$C,"Set Quà / Combo",'Raw Data - Nhóm SP'!$B:$B,"Aroma Story - The Art Of Scent",'Raw Data - Nhóm SP'!$A:$A,"&gt;="&amp;DATE(2026,6,8),'Raw Data - Nhóm SP'!$A:$A,"&lt;="&amp;DATE(2026,7,7))</f>
        <v>219645</v>
      </c>
      <c r="G23" s="10" t="n">
        <f aca="false">SUMIFS('Raw Data - Nhóm SP'!$F:$F,'Raw Data - Nhóm SP'!$C:$C,"Set Quà / Combo",'Raw Data - Nhóm SP'!$B:$B,"Aroma Story - The Art Of Scent",'Raw Data - Nhóm SP'!$A:$A,"&gt;="&amp;DATE(2026,6,8),'Raw Data - Nhóm SP'!$A:$A,"&lt;="&amp;DATE(2026,7,7))</f>
        <v>878100</v>
      </c>
      <c r="H23" s="11" t="n">
        <f aca="false">IF(F23=0,0,G23/F23)</f>
        <v>3.99781465546678</v>
      </c>
      <c r="I23" s="12" t="n">
        <f aca="false">IF(F23=0,0,H23*(1-'Phí sàn theo shop'!$D$3))</f>
        <v>2.75492965264814</v>
      </c>
      <c r="J23" s="13" t="str">
        <f aca="false">IF(OR(B23=0,F23=0),IF(B23=0,"Chỉ TAOS có data",IF(F23=0,"Chỉ GHT có data","-")),IF(ABS(E23-I23)/MAX(E23,I23)&lt;0.03,"Ngang nhau -&gt; uu tien GHT",IF(E23&gt;I23,"Don ve GHT","Don ve TAOS")))</f>
        <v>Don ve GHT</v>
      </c>
    </row>
    <row r="24" customFormat="false" ht="18" hidden="false" customHeight="true" outlineLevel="0" collapsed="false">
      <c r="A24" s="14" t="s">
        <v>17</v>
      </c>
      <c r="B24" s="15" t="n">
        <f aca="false">SUMIFS('Raw Data - Nhóm SP'!$E:$E,'Raw Data - Nhóm SP'!$B:$B,"Aroma Story - Góc Hương Thơm",'Raw Data - Nhóm SP'!$A:$A,"&gt;="&amp;DATE(2026,6,8),'Raw Data - Nhóm SP'!$A:$A,"&lt;="&amp;DATE(2026,7,7))</f>
        <v>41380295</v>
      </c>
      <c r="C24" s="15" t="n">
        <f aca="false">SUMIFS('Raw Data - Nhóm SP'!$F:$F,'Raw Data - Nhóm SP'!$B:$B,"Aroma Story - Góc Hương Thơm",'Raw Data - Nhóm SP'!$A:$A,"&gt;="&amp;DATE(2026,6,8),'Raw Data - Nhóm SP'!$A:$A,"&lt;="&amp;DATE(2026,7,7))</f>
        <v>191747778</v>
      </c>
      <c r="D24" s="16" t="n">
        <f aca="false">IF(B24=0,0,C24/B24)</f>
        <v>4.63379437000147</v>
      </c>
      <c r="E24" s="16" t="n">
        <f aca="false">IF(B24=0,0,D24*(1-'Phí sàn theo shop'!$D$2))</f>
        <v>3.53829975125718</v>
      </c>
      <c r="F24" s="15" t="n">
        <f aca="false">SUMIFS('Raw Data - Nhóm SP'!$E:$E,'Raw Data - Nhóm SP'!$B:$B,"Aroma Story - The Art Of Scent",'Raw Data - Nhóm SP'!$A:$A,"&gt;="&amp;DATE(2026,6,8),'Raw Data - Nhóm SP'!$A:$A,"&lt;="&amp;DATE(2026,7,7))</f>
        <v>63882636</v>
      </c>
      <c r="G24" s="15" t="n">
        <f aca="false">SUMIFS('Raw Data - Nhóm SP'!$F:$F,'Raw Data - Nhóm SP'!$B:$B,"Aroma Story - The Art Of Scent",'Raw Data - Nhóm SP'!$A:$A,"&gt;="&amp;DATE(2026,6,8),'Raw Data - Nhóm SP'!$A:$A,"&lt;="&amp;DATE(2026,7,7))</f>
        <v>329653858</v>
      </c>
      <c r="H24" s="16" t="n">
        <f aca="false">IF(F24=0,0,G24/F24)</f>
        <v>5.16030456226008</v>
      </c>
      <c r="I24" s="16" t="n">
        <f aca="false">IF(F24=0,0,H24*(1-'Phí sàn theo shop'!$D$3))</f>
        <v>3.55601179154863</v>
      </c>
      <c r="J24" s="17"/>
    </row>
    <row r="26" customFormat="false" ht="15" hidden="false" customHeight="false" outlineLevel="0" collapsed="false">
      <c r="A26" s="3" t="s">
        <v>19</v>
      </c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8" hidden="false" customHeight="true" outlineLevel="0" collapsed="false">
      <c r="A27" s="4" t="s">
        <v>3</v>
      </c>
      <c r="B27" s="5" t="s">
        <v>4</v>
      </c>
      <c r="C27" s="5"/>
      <c r="D27" s="5"/>
      <c r="E27" s="5"/>
      <c r="F27" s="6" t="s">
        <v>5</v>
      </c>
      <c r="G27" s="6"/>
      <c r="H27" s="6"/>
      <c r="I27" s="6"/>
      <c r="J27" s="4" t="s">
        <v>6</v>
      </c>
    </row>
    <row r="28" customFormat="false" ht="25.5" hidden="false" customHeight="true" outlineLevel="0" collapsed="false">
      <c r="A28" s="4"/>
      <c r="B28" s="7" t="s">
        <v>7</v>
      </c>
      <c r="C28" s="7" t="s">
        <v>8</v>
      </c>
      <c r="D28" s="7" t="s">
        <v>9</v>
      </c>
      <c r="E28" s="7" t="s">
        <v>10</v>
      </c>
      <c r="F28" s="8" t="s">
        <v>7</v>
      </c>
      <c r="G28" s="8" t="s">
        <v>8</v>
      </c>
      <c r="H28" s="8" t="s">
        <v>9</v>
      </c>
      <c r="I28" s="8" t="s">
        <v>10</v>
      </c>
      <c r="J28" s="4"/>
    </row>
    <row r="29" customFormat="false" ht="25.5" hidden="false" customHeight="true" outlineLevel="0" collapsed="false">
      <c r="A29" s="9" t="s">
        <v>11</v>
      </c>
      <c r="B29" s="10" t="n">
        <f aca="false">SUMIFS('Raw Data - Nhóm SP'!$E:$E,'Raw Data - Nhóm SP'!$C:$C,"Nước Hoa",'Raw Data - Nhóm SP'!$B:$B,"Aroma Story - Góc Hương Thơm",'Raw Data - Nhóm SP'!$A:$A,"&gt;="&amp;DATE(2026,4,9),'Raw Data - Nhóm SP'!$A:$A,"&lt;="&amp;DATE(2026,7,7))</f>
        <v>11305490</v>
      </c>
      <c r="C29" s="10" t="n">
        <f aca="false">SUMIFS('Raw Data - Nhóm SP'!$F:$F,'Raw Data - Nhóm SP'!$C:$C,"Nước Hoa",'Raw Data - Nhóm SP'!$B:$B,"Aroma Story - Góc Hương Thơm",'Raw Data - Nhóm SP'!$A:$A,"&gt;="&amp;DATE(2026,4,9),'Raw Data - Nhóm SP'!$A:$A,"&lt;="&amp;DATE(2026,7,7))</f>
        <v>48505298</v>
      </c>
      <c r="D29" s="11" t="n">
        <f aca="false">IF(B29=0,0,C29/B29)</f>
        <v>4.29041978720073</v>
      </c>
      <c r="E29" s="12" t="n">
        <f aca="false">IF(B29=0,0,D29*(1-'Phí sàn theo shop'!$D$2))</f>
        <v>3.2761037831371</v>
      </c>
      <c r="F29" s="10" t="n">
        <f aca="false">SUMIFS('Raw Data - Nhóm SP'!$E:$E,'Raw Data - Nhóm SP'!$C:$C,"Nước Hoa",'Raw Data - Nhóm SP'!$B:$B,"Aroma Story - The Art Of Scent",'Raw Data - Nhóm SP'!$A:$A,"&gt;="&amp;DATE(2026,4,9),'Raw Data - Nhóm SP'!$A:$A,"&lt;="&amp;DATE(2026,7,7))</f>
        <v>2384107</v>
      </c>
      <c r="G29" s="10" t="n">
        <f aca="false">SUMIFS('Raw Data - Nhóm SP'!$F:$F,'Raw Data - Nhóm SP'!$C:$C,"Nước Hoa",'Raw Data - Nhóm SP'!$B:$B,"Aroma Story - The Art Of Scent",'Raw Data - Nhóm SP'!$A:$A,"&gt;="&amp;DATE(2026,4,9),'Raw Data - Nhóm SP'!$A:$A,"&lt;="&amp;DATE(2026,7,7))</f>
        <v>9308400</v>
      </c>
      <c r="H29" s="11" t="n">
        <f aca="false">IF(F29=0,0,G29/F29)</f>
        <v>3.90435496393409</v>
      </c>
      <c r="I29" s="12" t="n">
        <f aca="false">IF(F29=0,0,H29*(1-'Phí sàn theo shop'!$D$3))</f>
        <v>2.69052574758499</v>
      </c>
      <c r="J29" s="13" t="str">
        <f aca="false">IF(OR(B29=0,F29=0),IF(B29=0,"Chỉ TAOS có data",IF(F29=0,"Chỉ GHT có data","-")),IF(ABS(E29-I29)/MAX(E29,I29)&lt;0.03,"Ngang nhau -&gt; uu tien GHT",IF(E29&gt;I29,"Don ve GHT","Don ve TAOS")))</f>
        <v>Don ve GHT</v>
      </c>
    </row>
    <row r="30" customFormat="false" ht="25.5" hidden="false" customHeight="true" outlineLevel="0" collapsed="false">
      <c r="A30" s="9" t="s">
        <v>12</v>
      </c>
      <c r="B30" s="10" t="n">
        <f aca="false">SUMIFS('Raw Data - Nhóm SP'!$E:$E,'Raw Data - Nhóm SP'!$C:$C,"Nến Thơm",'Raw Data - Nhóm SP'!$B:$B,"Aroma Story - Góc Hương Thơm",'Raw Data - Nhóm SP'!$A:$A,"&gt;="&amp;DATE(2026,4,9),'Raw Data - Nhóm SP'!$A:$A,"&lt;="&amp;DATE(2026,7,7))</f>
        <v>41551215</v>
      </c>
      <c r="C30" s="10" t="n">
        <f aca="false">SUMIFS('Raw Data - Nhóm SP'!$F:$F,'Raw Data - Nhóm SP'!$C:$C,"Nến Thơm",'Raw Data - Nhóm SP'!$B:$B,"Aroma Story - Góc Hương Thơm",'Raw Data - Nhóm SP'!$A:$A,"&gt;="&amp;DATE(2026,4,9),'Raw Data - Nhóm SP'!$A:$A,"&lt;="&amp;DATE(2026,7,7))</f>
        <v>185062406</v>
      </c>
      <c r="D30" s="11" t="n">
        <f aca="false">IF(B30=0,0,C30/B30)</f>
        <v>4.45383861819684</v>
      </c>
      <c r="E30" s="12" t="n">
        <f aca="false">IF(B30=0,0,D30*(1-'Phí sàn theo shop'!$D$2))</f>
        <v>3.40088808794088</v>
      </c>
      <c r="F30" s="10" t="n">
        <f aca="false">SUMIFS('Raw Data - Nhóm SP'!$E:$E,'Raw Data - Nhóm SP'!$C:$C,"Nến Thơm",'Raw Data - Nhóm SP'!$B:$B,"Aroma Story - The Art Of Scent",'Raw Data - Nhóm SP'!$A:$A,"&gt;="&amp;DATE(2026,4,9),'Raw Data - Nhóm SP'!$A:$A,"&lt;="&amp;DATE(2026,7,7))</f>
        <v>79900154</v>
      </c>
      <c r="G30" s="10" t="n">
        <f aca="false">SUMIFS('Raw Data - Nhóm SP'!$F:$F,'Raw Data - Nhóm SP'!$C:$C,"Nến Thơm",'Raw Data - Nhóm SP'!$B:$B,"Aroma Story - The Art Of Scent",'Raw Data - Nhóm SP'!$A:$A,"&gt;="&amp;DATE(2026,4,9),'Raw Data - Nhóm SP'!$A:$A,"&lt;="&amp;DATE(2026,7,7))</f>
        <v>405182799</v>
      </c>
      <c r="H30" s="11" t="n">
        <f aca="false">IF(F30=0,0,G30/F30)</f>
        <v>5.07111411825314</v>
      </c>
      <c r="I30" s="12" t="n">
        <f aca="false">IF(F30=0,0,H30*(1-'Phí sàn theo shop'!$D$3))</f>
        <v>3.49454986294431</v>
      </c>
      <c r="J30" s="13" t="str">
        <f aca="false">IF(OR(B30=0,F30=0),IF(B30=0,"Chỉ TAOS có data",IF(F30=0,"Chỉ GHT có data","-")),IF(ABS(E30-I30)/MAX(E30,I30)&lt;0.03,"Ngang nhau -&gt; uu tien GHT",IF(E30&gt;I30,"Don ve GHT","Don ve TAOS")))</f>
        <v>Ngang nhau -&gt; uu tien GHT</v>
      </c>
    </row>
    <row r="31" customFormat="false" ht="25.5" hidden="false" customHeight="true" outlineLevel="0" collapsed="false">
      <c r="A31" s="9" t="s">
        <v>13</v>
      </c>
      <c r="B31" s="10" t="n">
        <f aca="false">SUMIFS('Raw Data - Nhóm SP'!$E:$E,'Raw Data - Nhóm SP'!$C:$C,"Tinh Dầu Khuếch Tán",'Raw Data - Nhóm SP'!$B:$B,"Aroma Story - Góc Hương Thơm",'Raw Data - Nhóm SP'!$A:$A,"&gt;="&amp;DATE(2026,4,9),'Raw Data - Nhóm SP'!$A:$A,"&lt;="&amp;DATE(2026,7,7))</f>
        <v>42346979</v>
      </c>
      <c r="C31" s="10" t="n">
        <f aca="false">SUMIFS('Raw Data - Nhóm SP'!$F:$F,'Raw Data - Nhóm SP'!$C:$C,"Tinh Dầu Khuếch Tán",'Raw Data - Nhóm SP'!$B:$B,"Aroma Story - Góc Hương Thơm",'Raw Data - Nhóm SP'!$A:$A,"&gt;="&amp;DATE(2026,4,9),'Raw Data - Nhóm SP'!$A:$A,"&lt;="&amp;DATE(2026,7,7))</f>
        <v>222774683</v>
      </c>
      <c r="D31" s="11" t="n">
        <f aca="false">IF(B31=0,0,C31/B31)</f>
        <v>5.26069836056074</v>
      </c>
      <c r="E31" s="12" t="n">
        <f aca="false">IF(B31=0,0,D31*(1-'Phí sàn theo shop'!$D$2))</f>
        <v>4.01699475943841</v>
      </c>
      <c r="F31" s="10" t="n">
        <f aca="false">SUMIFS('Raw Data - Nhóm SP'!$E:$E,'Raw Data - Nhóm SP'!$C:$C,"Tinh Dầu Khuếch Tán",'Raw Data - Nhóm SP'!$B:$B,"Aroma Story - The Art Of Scent",'Raw Data - Nhóm SP'!$A:$A,"&gt;="&amp;DATE(2026,4,9),'Raw Data - Nhóm SP'!$A:$A,"&lt;="&amp;DATE(2026,7,7))</f>
        <v>45245063</v>
      </c>
      <c r="G31" s="10" t="n">
        <f aca="false">SUMIFS('Raw Data - Nhóm SP'!$F:$F,'Raw Data - Nhóm SP'!$C:$C,"Tinh Dầu Khuếch Tán",'Raw Data - Nhóm SP'!$B:$B,"Aroma Story - The Art Of Scent",'Raw Data - Nhóm SP'!$A:$A,"&gt;="&amp;DATE(2026,4,9),'Raw Data - Nhóm SP'!$A:$A,"&lt;="&amp;DATE(2026,7,7))</f>
        <v>241342967</v>
      </c>
      <c r="H31" s="11" t="n">
        <f aca="false">IF(F31=0,0,G31/F31)</f>
        <v>5.33412821195541</v>
      </c>
      <c r="I31" s="12" t="n">
        <f aca="false">IF(F31=0,0,H31*(1-'Phí sàn theo shop'!$D$3))</f>
        <v>3.67579521528048</v>
      </c>
      <c r="J31" s="13" t="str">
        <f aca="false">IF(OR(B31=0,F31=0),IF(B31=0,"Chỉ TAOS có data",IF(F31=0,"Chỉ GHT có data","-")),IF(ABS(E31-I31)/MAX(E31,I31)&lt;0.03,"Ngang nhau -&gt; uu tien GHT",IF(E31&gt;I31,"Don ve GHT","Don ve TAOS")))</f>
        <v>Don ve GHT</v>
      </c>
    </row>
    <row r="32" customFormat="false" ht="25.5" hidden="false" customHeight="true" outlineLevel="0" collapsed="false">
      <c r="A32" s="9" t="s">
        <v>14</v>
      </c>
      <c r="B32" s="10" t="n">
        <f aca="false">SUMIFS('Raw Data - Nhóm SP'!$E:$E,'Raw Data - Nhóm SP'!$C:$C,"Tinh Dầu 10ml (Nguyên Chất)",'Raw Data - Nhóm SP'!$B:$B,"Aroma Story - Góc Hương Thơm",'Raw Data - Nhóm SP'!$A:$A,"&gt;="&amp;DATE(2026,4,9),'Raw Data - Nhóm SP'!$A:$A,"&lt;="&amp;DATE(2026,7,7))</f>
        <v>1556750</v>
      </c>
      <c r="C32" s="10" t="n">
        <f aca="false">SUMIFS('Raw Data - Nhóm SP'!$F:$F,'Raw Data - Nhóm SP'!$C:$C,"Tinh Dầu 10ml (Nguyên Chất)",'Raw Data - Nhóm SP'!$B:$B,"Aroma Story - Góc Hương Thơm",'Raw Data - Nhóm SP'!$A:$A,"&gt;="&amp;DATE(2026,4,9),'Raw Data - Nhóm SP'!$A:$A,"&lt;="&amp;DATE(2026,7,7))</f>
        <v>4312632</v>
      </c>
      <c r="D32" s="11" t="n">
        <f aca="false">IF(B32=0,0,C32/B32)</f>
        <v>2.77027910711418</v>
      </c>
      <c r="E32" s="12" t="n">
        <f aca="false">IF(B32=0,0,D32*(1-'Phí sàn theo shop'!$D$2))</f>
        <v>2.11534588998431</v>
      </c>
      <c r="F32" s="10" t="n">
        <f aca="false">SUMIFS('Raw Data - Nhóm SP'!$E:$E,'Raw Data - Nhóm SP'!$C:$C,"Tinh Dầu 10ml (Nguyên Chất)",'Raw Data - Nhóm SP'!$B:$B,"Aroma Story - The Art Of Scent",'Raw Data - Nhóm SP'!$A:$A,"&gt;="&amp;DATE(2026,4,9),'Raw Data - Nhóm SP'!$A:$A,"&lt;="&amp;DATE(2026,7,7))</f>
        <v>10490274</v>
      </c>
      <c r="G32" s="10" t="n">
        <f aca="false">SUMIFS('Raw Data - Nhóm SP'!$F:$F,'Raw Data - Nhóm SP'!$C:$C,"Tinh Dầu 10ml (Nguyên Chất)",'Raw Data - Nhóm SP'!$B:$B,"Aroma Story - The Art Of Scent",'Raw Data - Nhóm SP'!$A:$A,"&gt;="&amp;DATE(2026,4,9),'Raw Data - Nhóm SP'!$A:$A,"&lt;="&amp;DATE(2026,7,7))</f>
        <v>48476426</v>
      </c>
      <c r="H32" s="11" t="n">
        <f aca="false">IF(F32=0,0,G32/F32)</f>
        <v>4.62108291928314</v>
      </c>
      <c r="I32" s="12" t="n">
        <f aca="false">IF(F32=0,0,H32*(1-'Phí sàn theo shop'!$D$3))</f>
        <v>3.18442935924265</v>
      </c>
      <c r="J32" s="13" t="str">
        <f aca="false">IF(OR(B32=0,F32=0),IF(B32=0,"Chỉ TAOS có data",IF(F32=0,"Chỉ GHT có data","-")),IF(ABS(E32-I32)/MAX(E32,I32)&lt;0.03,"Ngang nhau -&gt; uu tien GHT",IF(E32&gt;I32,"Don ve GHT","Don ve TAOS")))</f>
        <v>Don ve TAOS</v>
      </c>
    </row>
    <row r="33" customFormat="false" ht="25.5" hidden="false" customHeight="true" outlineLevel="0" collapsed="false">
      <c r="A33" s="9" t="s">
        <v>15</v>
      </c>
      <c r="B33" s="10" t="n">
        <f aca="false">SUMIFS('Raw Data - Nhóm SP'!$E:$E,'Raw Data - Nhóm SP'!$C:$C,"Xịt Thơm Phòng",'Raw Data - Nhóm SP'!$B:$B,"Aroma Story - Góc Hương Thơm",'Raw Data - Nhóm SP'!$A:$A,"&gt;="&amp;DATE(2026,4,9),'Raw Data - Nhóm SP'!$A:$A,"&lt;="&amp;DATE(2026,7,7))</f>
        <v>3340153</v>
      </c>
      <c r="C33" s="10" t="n">
        <f aca="false">SUMIFS('Raw Data - Nhóm SP'!$F:$F,'Raw Data - Nhóm SP'!$C:$C,"Xịt Thơm Phòng",'Raw Data - Nhóm SP'!$B:$B,"Aroma Story - Góc Hương Thơm",'Raw Data - Nhóm SP'!$A:$A,"&gt;="&amp;DATE(2026,4,9),'Raw Data - Nhóm SP'!$A:$A,"&lt;="&amp;DATE(2026,7,7))</f>
        <v>11619533</v>
      </c>
      <c r="D33" s="11" t="n">
        <f aca="false">IF(B33=0,0,C33/B33)</f>
        <v>3.47874274022777</v>
      </c>
      <c r="E33" s="12" t="n">
        <f aca="false">IF(B33=0,0,D33*(1-'Phí sàn theo shop'!$D$2))</f>
        <v>2.65631868606887</v>
      </c>
      <c r="F33" s="10" t="n">
        <f aca="false">SUMIFS('Raw Data - Nhóm SP'!$E:$E,'Raw Data - Nhóm SP'!$C:$C,"Xịt Thơm Phòng",'Raw Data - Nhóm SP'!$B:$B,"Aroma Story - The Art Of Scent",'Raw Data - Nhóm SP'!$A:$A,"&gt;="&amp;DATE(2026,4,9),'Raw Data - Nhóm SP'!$A:$A,"&lt;="&amp;DATE(2026,7,7))</f>
        <v>207270</v>
      </c>
      <c r="G33" s="10" t="n">
        <f aca="false">SUMIFS('Raw Data - Nhóm SP'!$F:$F,'Raw Data - Nhóm SP'!$C:$C,"Xịt Thơm Phòng",'Raw Data - Nhóm SP'!$B:$B,"Aroma Story - The Art Of Scent",'Raw Data - Nhóm SP'!$A:$A,"&gt;="&amp;DATE(2026,4,9),'Raw Data - Nhóm SP'!$A:$A,"&lt;="&amp;DATE(2026,7,7))</f>
        <v>446200</v>
      </c>
      <c r="H33" s="11" t="n">
        <f aca="false">IF(F33=0,0,G33/F33)</f>
        <v>2.15274762387224</v>
      </c>
      <c r="I33" s="12" t="n">
        <f aca="false">IF(F33=0,0,H33*(1-'Phí sàn theo shop'!$D$3))</f>
        <v>1.48347754330322</v>
      </c>
      <c r="J33" s="13" t="str">
        <f aca="false">IF(OR(B33=0,F33=0),IF(B33=0,"Chỉ TAOS có data",IF(F33=0,"Chỉ GHT có data","-")),IF(ABS(E33-I33)/MAX(E33,I33)&lt;0.03,"Ngang nhau -&gt; uu tien GHT",IF(E33&gt;I33,"Don ve GHT","Don ve TAOS")))</f>
        <v>Don ve GHT</v>
      </c>
    </row>
    <row r="34" customFormat="false" ht="25.5" hidden="false" customHeight="true" outlineLevel="0" collapsed="false">
      <c r="A34" s="9" t="s">
        <v>16</v>
      </c>
      <c r="B34" s="10" t="n">
        <f aca="false">SUMIFS('Raw Data - Nhóm SP'!$E:$E,'Raw Data - Nhóm SP'!$C:$C,"Set Quà / Combo",'Raw Data - Nhóm SP'!$B:$B,"Aroma Story - Góc Hương Thơm",'Raw Data - Nhóm SP'!$A:$A,"&gt;="&amp;DATE(2026,4,9),'Raw Data - Nhóm SP'!$A:$A,"&lt;="&amp;DATE(2026,7,7))</f>
        <v>16528621</v>
      </c>
      <c r="C34" s="10" t="n">
        <f aca="false">SUMIFS('Raw Data - Nhóm SP'!$F:$F,'Raw Data - Nhóm SP'!$C:$C,"Set Quà / Combo",'Raw Data - Nhóm SP'!$B:$B,"Aroma Story - Góc Hương Thơm",'Raw Data - Nhóm SP'!$A:$A,"&gt;="&amp;DATE(2026,4,9),'Raw Data - Nhóm SP'!$A:$A,"&lt;="&amp;DATE(2026,7,7))</f>
        <v>78483530</v>
      </c>
      <c r="D34" s="11" t="n">
        <f aca="false">IF(B34=0,0,C34/B34)</f>
        <v>4.74834107455183</v>
      </c>
      <c r="E34" s="12" t="n">
        <f aca="false">IF(B34=0,0,D34*(1-'Phí sàn theo shop'!$D$2))</f>
        <v>3.62576599249605</v>
      </c>
      <c r="F34" s="10" t="n">
        <f aca="false">SUMIFS('Raw Data - Nhóm SP'!$E:$E,'Raw Data - Nhóm SP'!$C:$C,"Set Quà / Combo",'Raw Data - Nhóm SP'!$B:$B,"Aroma Story - The Art Of Scent",'Raw Data - Nhóm SP'!$A:$A,"&gt;="&amp;DATE(2026,4,9),'Raw Data - Nhóm SP'!$A:$A,"&lt;="&amp;DATE(2026,7,7))</f>
        <v>10934239</v>
      </c>
      <c r="G34" s="10" t="n">
        <f aca="false">SUMIFS('Raw Data - Nhóm SP'!$F:$F,'Raw Data - Nhóm SP'!$C:$C,"Set Quà / Combo",'Raw Data - Nhóm SP'!$B:$B,"Aroma Story - The Art Of Scent",'Raw Data - Nhóm SP'!$A:$A,"&gt;="&amp;DATE(2026,4,9),'Raw Data - Nhóm SP'!$A:$A,"&lt;="&amp;DATE(2026,7,7))</f>
        <v>57430891</v>
      </c>
      <c r="H34" s="11" t="n">
        <f aca="false">IF(F34=0,0,G34/F34)</f>
        <v>5.25239031266831</v>
      </c>
      <c r="I34" s="12" t="n">
        <f aca="false">IF(F34=0,0,H34*(1-'Phí sàn theo shop'!$D$3))</f>
        <v>3.61946890155723</v>
      </c>
      <c r="J34" s="13" t="str">
        <f aca="false">IF(OR(B34=0,F34=0),IF(B34=0,"Chỉ TAOS có data",IF(F34=0,"Chỉ GHT có data","-")),IF(ABS(E34-I34)/MAX(E34,I34)&lt;0.03,"Ngang nhau -&gt; uu tien GHT",IF(E34&gt;I34,"Don ve GHT","Don ve TAOS")))</f>
        <v>Ngang nhau -&gt; uu tien GHT</v>
      </c>
    </row>
    <row r="35" customFormat="false" ht="18" hidden="false" customHeight="true" outlineLevel="0" collapsed="false">
      <c r="A35" s="14" t="s">
        <v>17</v>
      </c>
      <c r="B35" s="15" t="n">
        <f aca="false">SUMIFS('Raw Data - Nhóm SP'!$E:$E,'Raw Data - Nhóm SP'!$B:$B,"Aroma Story - Góc Hương Thơm",'Raw Data - Nhóm SP'!$A:$A,"&gt;="&amp;DATE(2026,4,9),'Raw Data - Nhóm SP'!$A:$A,"&lt;="&amp;DATE(2026,7,7))</f>
        <v>118172085</v>
      </c>
      <c r="C35" s="15" t="n">
        <f aca="false">SUMIFS('Raw Data - Nhóm SP'!$F:$F,'Raw Data - Nhóm SP'!$B:$B,"Aroma Story - Góc Hương Thơm",'Raw Data - Nhóm SP'!$A:$A,"&gt;="&amp;DATE(2026,4,9),'Raw Data - Nhóm SP'!$A:$A,"&lt;="&amp;DATE(2026,7,7))</f>
        <v>556092979</v>
      </c>
      <c r="D35" s="16" t="n">
        <f aca="false">IF(B35=0,0,C35/B35)</f>
        <v>4.70578968797919</v>
      </c>
      <c r="E35" s="16" t="n">
        <f aca="false">IF(B35=0,0,D35*(1-'Phí sàn theo shop'!$D$2))</f>
        <v>3.59327435637591</v>
      </c>
      <c r="F35" s="15" t="n">
        <f aca="false">SUMIFS('Raw Data - Nhóm SP'!$E:$E,'Raw Data - Nhóm SP'!$B:$B,"Aroma Story - The Art Of Scent",'Raw Data - Nhóm SP'!$A:$A,"&gt;="&amp;DATE(2026,4,9),'Raw Data - Nhóm SP'!$A:$A,"&lt;="&amp;DATE(2026,7,7))</f>
        <v>152485933</v>
      </c>
      <c r="G35" s="15" t="n">
        <f aca="false">SUMIFS('Raw Data - Nhóm SP'!$F:$F,'Raw Data - Nhóm SP'!$B:$B,"Aroma Story - The Art Of Scent",'Raw Data - Nhóm SP'!$A:$A,"&gt;="&amp;DATE(2026,4,9),'Raw Data - Nhóm SP'!$A:$A,"&lt;="&amp;DATE(2026,7,7))</f>
        <v>770597113</v>
      </c>
      <c r="H35" s="16" t="n">
        <f aca="false">IF(F35=0,0,G35/F35)</f>
        <v>5.0535619767628</v>
      </c>
      <c r="I35" s="16" t="n">
        <f aca="false">IF(F35=0,0,H35*(1-'Phí sàn theo shop'!$D$3))</f>
        <v>3.48245452605993</v>
      </c>
      <c r="J35" s="17"/>
    </row>
  </sheetData>
  <mergeCells count="17">
    <mergeCell ref="A1:J1"/>
    <mergeCell ref="A2:J2"/>
    <mergeCell ref="A4:J4"/>
    <mergeCell ref="A5:A6"/>
    <mergeCell ref="B5:E5"/>
    <mergeCell ref="F5:I5"/>
    <mergeCell ref="J5:J6"/>
    <mergeCell ref="A15:J15"/>
    <mergeCell ref="A16:A17"/>
    <mergeCell ref="B16:E16"/>
    <mergeCell ref="F16:I16"/>
    <mergeCell ref="J16:J17"/>
    <mergeCell ref="A26:J26"/>
    <mergeCell ref="A27:A28"/>
    <mergeCell ref="B27:E27"/>
    <mergeCell ref="F27:I27"/>
    <mergeCell ref="J27:J2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7" min="6" style="0" width="14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32"/>
  </cols>
  <sheetData>
    <row r="1" customFormat="false" ht="16.15" hidden="false" customHeight="fals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54" hidden="false" customHeight="tru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8" hidden="false" customHeight="true" outlineLevel="0" collapsed="false">
      <c r="A5" s="4" t="s">
        <v>22</v>
      </c>
      <c r="B5" s="5" t="s">
        <v>4</v>
      </c>
      <c r="C5" s="5"/>
      <c r="D5" s="5"/>
      <c r="E5" s="5"/>
      <c r="F5" s="6" t="s">
        <v>5</v>
      </c>
      <c r="G5" s="6"/>
      <c r="H5" s="6"/>
      <c r="I5" s="6"/>
      <c r="J5" s="4" t="s">
        <v>6</v>
      </c>
    </row>
    <row r="6" customFormat="false" ht="25.5" hidden="false" customHeight="true" outlineLevel="0" collapsed="false">
      <c r="A6" s="4"/>
      <c r="B6" s="7" t="s">
        <v>7</v>
      </c>
      <c r="C6" s="7" t="s">
        <v>8</v>
      </c>
      <c r="D6" s="7" t="s">
        <v>9</v>
      </c>
      <c r="E6" s="7" t="s">
        <v>10</v>
      </c>
      <c r="F6" s="8" t="s">
        <v>7</v>
      </c>
      <c r="G6" s="8" t="s">
        <v>8</v>
      </c>
      <c r="H6" s="8" t="s">
        <v>9</v>
      </c>
      <c r="I6" s="8" t="s">
        <v>10</v>
      </c>
      <c r="J6" s="4"/>
    </row>
    <row r="7" customFormat="false" ht="30" hidden="false" customHeight="true" outlineLevel="0" collapsed="false">
      <c r="A7" s="9" t="s">
        <v>23</v>
      </c>
      <c r="B7" s="10" t="n">
        <f aca="false">SUMIFS('Raw Data - Sản phẩm'!$F:$F,'Raw Data - Sản phẩm'!$D:$D,"Bộ Sản Phẩm Tinh Dầu Cà Phê &amp; Lọ Tán Hương Aroma Story – Hương Thơm Tự Nhiên, Giúp Tập Trung &amp; Thư Giãn",'Raw Data - Sản phẩm'!$B:$B,"Aroma Story - Góc Hương Thơm",'Raw Data - Sản phẩm'!$A:$A,"&gt;="&amp;DATE(2026,7,1),'Raw Data - Sản phẩm'!$A:$A,"&lt;="&amp;DATE(2026,7,7))</f>
        <v>0</v>
      </c>
      <c r="C7" s="10" t="n">
        <f aca="false">SUMIFS('Raw Data - Sản phẩm'!$G:$G,'Raw Data - Sản phẩm'!$D:$D,"Bộ Sản Phẩm Tinh Dầu Cà Phê &amp; Lọ Tán Hương Aroma Story – Hương Thơm Tự Nhiên, Giúp Tập Trung &amp; Thư Giãn",'Raw Data - Sản phẩm'!$B:$B,"Aroma Story - Góc Hương Thơm",'Raw Data - Sản phẩm'!$A:$A,"&gt;="&amp;DATE(2026,7,1),'Raw Data - Sản phẩm'!$A:$A,"&lt;="&amp;DATE(2026,7,7))</f>
        <v>0</v>
      </c>
      <c r="D7" s="11" t="n">
        <f aca="false">IF(B7=0,0,C7/B7)</f>
        <v>0</v>
      </c>
      <c r="E7" s="12" t="n">
        <f aca="false">IF(B7=0,0,D7*(1-'Phí sàn theo shop'!$D$2))</f>
        <v>0</v>
      </c>
      <c r="F7" s="10" t="n">
        <f aca="false">SUMIFS('Raw Data - Sản phẩm'!$F:$F,'Raw Data - Sản phẩm'!$D:$D,"Bộ Sản Phẩm Tinh Dầu Cà Phê &amp; Lọ Tán Hương Aroma Story – Hương Thơm Tự Nhiên, Giúp Tập Trung &amp; Thư Giãn",'Raw Data - Sản phẩm'!$B:$B,"Aroma Story - The Art Of Scent",'Raw Data - Sản phẩm'!$A:$A,"&gt;="&amp;DATE(2026,7,1),'Raw Data - Sản phẩm'!$A:$A,"&lt;="&amp;DATE(2026,7,7))</f>
        <v>0</v>
      </c>
      <c r="G7" s="10" t="n">
        <f aca="false">SUMIFS('Raw Data - Sản phẩm'!$G:$G,'Raw Data - Sản phẩm'!$D:$D,"Bộ Sản Phẩm Tinh Dầu Cà Phê &amp; Lọ Tán Hương Aroma Story – Hương Thơm Tự Nhiên, Giúp Tập Trung &amp; Thư Giãn",'Raw Data - Sản phẩm'!$B:$B,"Aroma Story - The Art Of Scent",'Raw Data - Sản phẩm'!$A:$A,"&gt;="&amp;DATE(2026,7,1),'Raw Data - Sản phẩm'!$A:$A,"&lt;="&amp;DATE(2026,7,7))</f>
        <v>0</v>
      </c>
      <c r="H7" s="11" t="n">
        <f aca="false">IF(F7=0,0,G7/F7)</f>
        <v>0</v>
      </c>
      <c r="I7" s="12" t="n">
        <f aca="false">IF(F7=0,0,H7*(1-'Phí sàn theo shop'!$D$3))</f>
        <v>0</v>
      </c>
      <c r="J7" s="13" t="str">
        <f aca="false">IF(OR(B7=0,F7=0),IF(B7=0,"Chỉ TAOS có data",IF(F7=0,"Chỉ GHT có data","-")),IF(ABS(E7-I7)/MAX(E7,I7)&lt;0.03,"Ngang nhau -&gt; uu tien GHT",IF(E7&gt;I7,"Don ve GHT","Don ve TAOS")))</f>
        <v>Chỉ TAOS có data</v>
      </c>
    </row>
    <row r="8" customFormat="false" ht="30" hidden="false" customHeight="true" outlineLevel="0" collapsed="false">
      <c r="A8" s="9" t="s">
        <v>24</v>
      </c>
      <c r="B8" s="10" t="n">
        <f aca="false">SUMIFS('Raw Data - Sản phẩm'!$F:$F,'Raw Data - Sản phẩm'!$D:$D,"BST Nước Hoa Nam Aroma Story EDP 30ml – Hương Thơm Nam Tính, Cuốn Hút",'Raw Data - Sản phẩm'!$B:$B,"Aroma Story - Góc Hương Thơm",'Raw Data - Sản phẩm'!$A:$A,"&gt;="&amp;DATE(2026,7,1),'Raw Data - Sản phẩm'!$A:$A,"&lt;="&amp;DATE(2026,7,7))</f>
        <v>0</v>
      </c>
      <c r="C8" s="10" t="n">
        <f aca="false">SUMIFS('Raw Data - Sản phẩm'!$G:$G,'Raw Data - Sản phẩm'!$D:$D,"BST Nước Hoa Nam Aroma Story EDP 30ml – Hương Thơm Nam Tính, Cuốn Hút",'Raw Data - Sản phẩm'!$B:$B,"Aroma Story - Góc Hương Thơm",'Raw Data - Sản phẩm'!$A:$A,"&gt;="&amp;DATE(2026,7,1),'Raw Data - Sản phẩm'!$A:$A,"&lt;="&amp;DATE(2026,7,7))</f>
        <v>0</v>
      </c>
      <c r="D8" s="11" t="n">
        <f aca="false">IF(B8=0,0,C8/B8)</f>
        <v>0</v>
      </c>
      <c r="E8" s="12" t="n">
        <f aca="false">IF(B8=0,0,D8*(1-'Phí sàn theo shop'!$D$2))</f>
        <v>0</v>
      </c>
      <c r="F8" s="10" t="n">
        <f aca="false">SUMIFS('Raw Data - Sản phẩm'!$F:$F,'Raw Data - Sản phẩm'!$D:$D,"BST Nước Hoa Nam Aroma Story EDP 30ml – Hương Thơm Nam Tính, Cuốn Hút",'Raw Data - Sản phẩm'!$B:$B,"Aroma Story - The Art Of Scent",'Raw Data - Sản phẩm'!$A:$A,"&gt;="&amp;DATE(2026,7,1),'Raw Data - Sản phẩm'!$A:$A,"&lt;="&amp;DATE(2026,7,7))</f>
        <v>0</v>
      </c>
      <c r="G8" s="10" t="n">
        <f aca="false">SUMIFS('Raw Data - Sản phẩm'!$G:$G,'Raw Data - Sản phẩm'!$D:$D,"BST Nước Hoa Nam Aroma Story EDP 30ml – Hương Thơm Nam Tính, Cuốn Hút",'Raw Data - Sản phẩm'!$B:$B,"Aroma Story - The Art Of Scent",'Raw Data - Sản phẩm'!$A:$A,"&gt;="&amp;DATE(2026,7,1),'Raw Data - Sản phẩm'!$A:$A,"&lt;="&amp;DATE(2026,7,7))</f>
        <v>0</v>
      </c>
      <c r="H8" s="11" t="n">
        <f aca="false">IF(F8=0,0,G8/F8)</f>
        <v>0</v>
      </c>
      <c r="I8" s="12" t="n">
        <f aca="false">IF(F8=0,0,H8*(1-'Phí sàn theo shop'!$D$3))</f>
        <v>0</v>
      </c>
      <c r="J8" s="13" t="str">
        <f aca="false">IF(OR(B8=0,F8=0),IF(B8=0,"Chỉ TAOS có data",IF(F8=0,"Chỉ GHT có data","-")),IF(ABS(E8-I8)/MAX(E8,I8)&lt;0.03,"Ngang nhau -&gt; uu tien GHT",IF(E8&gt;I8,"Don ve GHT","Don ve TAOS")))</f>
        <v>Chỉ TAOS có data</v>
      </c>
    </row>
    <row r="9" customFormat="false" ht="30" hidden="false" customHeight="true" outlineLevel="0" collapsed="false">
      <c r="A9" s="9" t="s">
        <v>25</v>
      </c>
      <c r="B9" s="10" t="n">
        <f aca="false">SUMIFS('Raw Data - Sản phẩm'!$F:$F,'Raw Data - Sản phẩm'!$D:$D,"BST Nước Hoa Nữ Aroma Story EDP 30ml – Hương Thơm, Nữ Tính, Thanh Lịch",'Raw Data - Sản phẩm'!$B:$B,"Aroma Story - Góc Hương Thơm",'Raw Data - Sản phẩm'!$A:$A,"&gt;="&amp;DATE(2026,7,1),'Raw Data - Sản phẩm'!$A:$A,"&lt;="&amp;DATE(2026,7,7))</f>
        <v>0</v>
      </c>
      <c r="C9" s="10" t="n">
        <f aca="false">SUMIFS('Raw Data - Sản phẩm'!$G:$G,'Raw Data - Sản phẩm'!$D:$D,"BST Nước Hoa Nữ Aroma Story EDP 30ml – Hương Thơm, Nữ Tính, Thanh Lịch",'Raw Data - Sản phẩm'!$B:$B,"Aroma Story - Góc Hương Thơm",'Raw Data - Sản phẩm'!$A:$A,"&gt;="&amp;DATE(2026,7,1),'Raw Data - Sản phẩm'!$A:$A,"&lt;="&amp;DATE(2026,7,7))</f>
        <v>0</v>
      </c>
      <c r="D9" s="11" t="n">
        <f aca="false">IF(B9=0,0,C9/B9)</f>
        <v>0</v>
      </c>
      <c r="E9" s="12" t="n">
        <f aca="false">IF(B9=0,0,D9*(1-'Phí sàn theo shop'!$D$2))</f>
        <v>0</v>
      </c>
      <c r="F9" s="10" t="n">
        <f aca="false">SUMIFS('Raw Data - Sản phẩm'!$F:$F,'Raw Data - Sản phẩm'!$D:$D,"BST Nước Hoa Nữ Aroma Story EDP 30ml – Hương Thơm, Nữ Tính, Thanh Lịch",'Raw Data - Sản phẩm'!$B:$B,"Aroma Story - The Art Of Scent",'Raw Data - Sản phẩm'!$A:$A,"&gt;="&amp;DATE(2026,7,1),'Raw Data - Sản phẩm'!$A:$A,"&lt;="&amp;DATE(2026,7,7))</f>
        <v>0</v>
      </c>
      <c r="G9" s="10" t="n">
        <f aca="false">SUMIFS('Raw Data - Sản phẩm'!$G:$G,'Raw Data - Sản phẩm'!$D:$D,"BST Nước Hoa Nữ Aroma Story EDP 30ml – Hương Thơm, Nữ Tính, Thanh Lịch",'Raw Data - Sản phẩm'!$B:$B,"Aroma Story - The Art Of Scent",'Raw Data - Sản phẩm'!$A:$A,"&gt;="&amp;DATE(2026,7,1),'Raw Data - Sản phẩm'!$A:$A,"&lt;="&amp;DATE(2026,7,7))</f>
        <v>0</v>
      </c>
      <c r="H9" s="11" t="n">
        <f aca="false">IF(F9=0,0,G9/F9)</f>
        <v>0</v>
      </c>
      <c r="I9" s="12" t="n">
        <f aca="false">IF(F9=0,0,H9*(1-'Phí sàn theo shop'!$D$3))</f>
        <v>0</v>
      </c>
      <c r="J9" s="13" t="str">
        <f aca="false">IF(OR(B9=0,F9=0),IF(B9=0,"Chỉ TAOS có data",IF(F9=0,"Chỉ GHT có data","-")),IF(ABS(E9-I9)/MAX(E9,I9)&lt;0.03,"Ngang nhau -&gt; uu tien GHT",IF(E9&gt;I9,"Don ve GHT","Don ve TAOS")))</f>
        <v>Chỉ TAOS có data</v>
      </c>
    </row>
    <row r="10" customFormat="false" ht="30" hidden="false" customHeight="true" outlineLevel="0" collapsed="false">
      <c r="A10" s="9" t="s">
        <v>26</v>
      </c>
      <c r="B10" s="10" t="n">
        <f aca="false">SUMIFS('Raw Data - Sản phẩm'!$F:$F,'Raw Data - Sản phẩm'!$D:$D,"Nước Hoa Nữ Very Good Girl Aroma Story EDP 30ml – Hương Hoa Ngọt Ngào, Quyến Rũ",'Raw Data - Sản phẩm'!$B:$B,"Aroma Story - Góc Hương Thơm",'Raw Data - Sản phẩm'!$A:$A,"&gt;="&amp;DATE(2026,7,1),'Raw Data - Sản phẩm'!$A:$A,"&lt;="&amp;DATE(2026,7,7))</f>
        <v>0</v>
      </c>
      <c r="C10" s="10" t="n">
        <f aca="false">SUMIFS('Raw Data - Sản phẩm'!$G:$G,'Raw Data - Sản phẩm'!$D:$D,"Nước Hoa Nữ Very Good Girl Aroma Story EDP 30ml – Hương Hoa Ngọt Ngào, Quyến Rũ",'Raw Data - Sản phẩm'!$B:$B,"Aroma Story - Góc Hương Thơm",'Raw Data - Sản phẩm'!$A:$A,"&gt;="&amp;DATE(2026,7,1),'Raw Data - Sản phẩm'!$A:$A,"&lt;="&amp;DATE(2026,7,7))</f>
        <v>0</v>
      </c>
      <c r="D10" s="11" t="n">
        <f aca="false">IF(B10=0,0,C10/B10)</f>
        <v>0</v>
      </c>
      <c r="E10" s="12" t="n">
        <f aca="false">IF(B10=0,0,D10*(1-'Phí sàn theo shop'!$D$2))</f>
        <v>0</v>
      </c>
      <c r="F10" s="10" t="n">
        <f aca="false">SUMIFS('Raw Data - Sản phẩm'!$F:$F,'Raw Data - Sản phẩm'!$D:$D,"Nước Hoa Nữ Very Good Girl Aroma Story EDP 30ml – Hương Hoa Ngọt Ngào, Quyến Rũ",'Raw Data - Sản phẩm'!$B:$B,"Aroma Story - The Art Of Scent",'Raw Data - Sản phẩm'!$A:$A,"&gt;="&amp;DATE(2026,7,1),'Raw Data - Sản phẩm'!$A:$A,"&lt;="&amp;DATE(2026,7,7))</f>
        <v>0</v>
      </c>
      <c r="G10" s="10" t="n">
        <f aca="false">SUMIFS('Raw Data - Sản phẩm'!$G:$G,'Raw Data - Sản phẩm'!$D:$D,"Nước Hoa Nữ Very Good Girl Aroma Story EDP 30ml – Hương Hoa Ngọt Ngào, Quyến Rũ",'Raw Data - Sản phẩm'!$B:$B,"Aroma Story - The Art Of Scent",'Raw Data - Sản phẩm'!$A:$A,"&gt;="&amp;DATE(2026,7,1),'Raw Data - Sản phẩm'!$A:$A,"&lt;="&amp;DATE(2026,7,7))</f>
        <v>0</v>
      </c>
      <c r="H10" s="11" t="n">
        <f aca="false">IF(F10=0,0,G10/F10)</f>
        <v>0</v>
      </c>
      <c r="I10" s="12" t="n">
        <f aca="false">IF(F10=0,0,H10*(1-'Phí sàn theo shop'!$D$3))</f>
        <v>0</v>
      </c>
      <c r="J10" s="13" t="str">
        <f aca="false">IF(OR(B10=0,F10=0),IF(B10=0,"Chỉ TAOS có data",IF(F10=0,"Chỉ GHT có data","-")),IF(ABS(E10-I10)/MAX(E10,I10)&lt;0.03,"Ngang nhau -&gt; uu tien GHT",IF(E10&gt;I10,"Don ve GHT","Don ve TAOS")))</f>
        <v>Chỉ TAOS có data</v>
      </c>
    </row>
    <row r="11" customFormat="false" ht="30" hidden="false" customHeight="true" outlineLevel="0" collapsed="false">
      <c r="A11" s="9" t="s">
        <v>27</v>
      </c>
      <c r="B11" s="10" t="n">
        <f aca="false">SUMIFS('Raw Data - Sản phẩm'!$F:$F,'Raw Data - Sản phẩm'!$D:$D,"Nước Hoa Tóc Aroma Story Giúp Thơm Mượt Tóc, Tránh Bết, Khử Mùi, Size 10ml/100ml",'Raw Data - Sản phẩm'!$B:$B,"Aroma Story - Góc Hương Thơm",'Raw Data - Sản phẩm'!$A:$A,"&gt;="&amp;DATE(2026,7,1),'Raw Data - Sản phẩm'!$A:$A,"&lt;="&amp;DATE(2026,7,7))</f>
        <v>40288</v>
      </c>
      <c r="C11" s="10" t="n">
        <f aca="false">SUMIFS('Raw Data - Sản phẩm'!$G:$G,'Raw Data - Sản phẩm'!$D:$D,"Nước Hoa Tóc Aroma Story Giúp Thơm Mượt Tóc, Tránh Bết, Khử Mùi, Size 10ml/100ml",'Raw Data - Sản phẩm'!$B:$B,"Aroma Story - Góc Hương Thơm",'Raw Data - Sản phẩm'!$A:$A,"&gt;="&amp;DATE(2026,7,1),'Raw Data - Sản phẩm'!$A:$A,"&lt;="&amp;DATE(2026,7,7))</f>
        <v>195000</v>
      </c>
      <c r="D11" s="11" t="n">
        <f aca="false">IF(B11=0,0,C11/B11)</f>
        <v>4.84015091342335</v>
      </c>
      <c r="E11" s="12" t="n">
        <f aca="false">IF(B11=0,0,D11*(1-'Phí sàn theo shop'!$D$2))</f>
        <v>3.6958706851309</v>
      </c>
      <c r="F11" s="10" t="n">
        <f aca="false">SUMIFS('Raw Data - Sản phẩm'!$F:$F,'Raw Data - Sản phẩm'!$D:$D,"Nước Hoa Tóc Aroma Story Giúp Thơm Mượt Tóc, Tránh Bết, Khử Mùi, Size 10ml/100ml",'Raw Data - Sản phẩm'!$B:$B,"Aroma Story - The Art Of Scent",'Raw Data - Sản phẩm'!$A:$A,"&gt;="&amp;DATE(2026,7,1),'Raw Data - Sản phẩm'!$A:$A,"&lt;="&amp;DATE(2026,7,7))</f>
        <v>0</v>
      </c>
      <c r="G11" s="10" t="n">
        <f aca="false">SUMIFS('Raw Data - Sản phẩm'!$G:$G,'Raw Data - Sản phẩm'!$D:$D,"Nước Hoa Tóc Aroma Story Giúp Thơm Mượt Tóc, Tránh Bết, Khử Mùi, Size 10ml/100ml",'Raw Data - Sản phẩm'!$B:$B,"Aroma Story - The Art Of Scent",'Raw Data - Sản phẩm'!$A:$A,"&gt;="&amp;DATE(2026,7,1),'Raw Data - Sản phẩm'!$A:$A,"&lt;="&amp;DATE(2026,7,7))</f>
        <v>0</v>
      </c>
      <c r="H11" s="11" t="n">
        <f aca="false">IF(F11=0,0,G11/F11)</f>
        <v>0</v>
      </c>
      <c r="I11" s="12" t="n">
        <f aca="false">IF(F11=0,0,H11*(1-'Phí sàn theo shop'!$D$3))</f>
        <v>0</v>
      </c>
      <c r="J11" s="13" t="str">
        <f aca="false">IF(OR(B11=0,F11=0),IF(B11=0,"Chỉ TAOS có data",IF(F11=0,"Chỉ GHT có data","-")),IF(ABS(E11-I11)/MAX(E11,I11)&lt;0.03,"Ngang nhau -&gt; uu tien GHT",IF(E11&gt;I11,"Don ve GHT","Don ve TAOS")))</f>
        <v>Chỉ GHT có data</v>
      </c>
    </row>
    <row r="12" customFormat="false" ht="30" hidden="false" customHeight="true" outlineLevel="0" collapsed="false">
      <c r="A12" s="9" t="s">
        <v>28</v>
      </c>
      <c r="B12" s="10" t="n">
        <f aca="false">SUMIFS('Raw Data - Sản phẩm'!$F:$F,'Raw Data - Sản phẩm'!$D:$D,"Xịt Thơm Phòng, Quấn Áo Trà Trắng &amp; Sung Aroma Story, Nước Hoa Xịt Thơm Size 200ml",'Raw Data - Sản phẩm'!$B:$B,"Aroma Story - Góc Hương Thơm",'Raw Data - Sản phẩm'!$A:$A,"&gt;="&amp;DATE(2026,7,1),'Raw Data - Sản phẩm'!$A:$A,"&lt;="&amp;DATE(2026,7,7))</f>
        <v>393231</v>
      </c>
      <c r="C12" s="10" t="n">
        <f aca="false">SUMIFS('Raw Data - Sản phẩm'!$G:$G,'Raw Data - Sản phẩm'!$D:$D,"Xịt Thơm Phòng, Quấn Áo Trà Trắng &amp; Sung Aroma Story, Nước Hoa Xịt Thơm Size 200ml",'Raw Data - Sản phẩm'!$B:$B,"Aroma Story - Góc Hương Thơm",'Raw Data - Sản phẩm'!$A:$A,"&gt;="&amp;DATE(2026,7,1),'Raw Data - Sản phẩm'!$A:$A,"&lt;="&amp;DATE(2026,7,7))</f>
        <v>1772757</v>
      </c>
      <c r="D12" s="11" t="n">
        <f aca="false">IF(B12=0,0,C12/B12)</f>
        <v>4.50818221350809</v>
      </c>
      <c r="E12" s="12" t="n">
        <f aca="false">IF(B12=0,0,D12*(1-'Phí sàn theo shop'!$D$2))</f>
        <v>3.44238408763759</v>
      </c>
      <c r="F12" s="10" t="n">
        <f aca="false">SUMIFS('Raw Data - Sản phẩm'!$F:$F,'Raw Data - Sản phẩm'!$D:$D,"Xịt Thơm Phòng, Quấn Áo Trà Trắng &amp; Sung Aroma Story, Nước Hoa Xịt Thơm Size 200ml",'Raw Data - Sản phẩm'!$B:$B,"Aroma Story - The Art Of Scent",'Raw Data - Sản phẩm'!$A:$A,"&gt;="&amp;DATE(2026,7,1),'Raw Data - Sản phẩm'!$A:$A,"&lt;="&amp;DATE(2026,7,7))</f>
        <v>0</v>
      </c>
      <c r="G12" s="10" t="n">
        <f aca="false">SUMIFS('Raw Data - Sản phẩm'!$G:$G,'Raw Data - Sản phẩm'!$D:$D,"Xịt Thơm Phòng, Quấn Áo Trà Trắng &amp; Sung Aroma Story, Nước Hoa Xịt Thơm Size 200ml",'Raw Data - Sản phẩm'!$B:$B,"Aroma Story - The Art Of Scent",'Raw Data - Sản phẩm'!$A:$A,"&gt;="&amp;DATE(2026,7,1),'Raw Data - Sản phẩm'!$A:$A,"&lt;="&amp;DATE(2026,7,7))</f>
        <v>0</v>
      </c>
      <c r="H12" s="11" t="n">
        <f aca="false">IF(F12=0,0,G12/F12)</f>
        <v>0</v>
      </c>
      <c r="I12" s="12" t="n">
        <f aca="false">IF(F12=0,0,H12*(1-'Phí sàn theo shop'!$D$3))</f>
        <v>0</v>
      </c>
      <c r="J12" s="13" t="str">
        <f aca="false">IF(OR(B12=0,F12=0),IF(B12=0,"Chỉ TAOS có data",IF(F12=0,"Chỉ GHT có data","-")),IF(ABS(E12-I12)/MAX(E12,I12)&lt;0.03,"Ngang nhau -&gt; uu tien GHT",IF(E12&gt;I12,"Don ve GHT","Don ve TAOS")))</f>
        <v>Chỉ GHT có data</v>
      </c>
    </row>
    <row r="13" customFormat="false" ht="30" hidden="false" customHeight="true" outlineLevel="0" collapsed="false">
      <c r="A13" s="9" t="s">
        <v>29</v>
      </c>
      <c r="B13" s="10" t="n">
        <f aca="false">SUMIFS('Raw Data - Sản phẩm'!$F:$F,'Raw Data - Sản phẩm'!$D:$D,"Combo Quà Tặng Nến Thơm Aroma Story Tặng Người Yêu, Bạn Bè Dịp Sinh Nhật, Kỷ Niệm",'Raw Data - Sản phẩm'!$B:$B,"Aroma Story - Góc Hương Thơm",'Raw Data - Sản phẩm'!$A:$A,"&gt;="&amp;DATE(2026,7,1),'Raw Data - Sản phẩm'!$A:$A,"&lt;="&amp;DATE(2026,7,7))</f>
        <v>0</v>
      </c>
      <c r="C13" s="10" t="n">
        <f aca="false">SUMIFS('Raw Data - Sản phẩm'!$G:$G,'Raw Data - Sản phẩm'!$D:$D,"Combo Quà Tặng Nến Thơm Aroma Story Tặng Người Yêu, Bạn Bè Dịp Sinh Nhật, Kỷ Niệm",'Raw Data - Sản phẩm'!$B:$B,"Aroma Story - Góc Hương Thơm",'Raw Data - Sản phẩm'!$A:$A,"&gt;="&amp;DATE(2026,7,1),'Raw Data - Sản phẩm'!$A:$A,"&lt;="&amp;DATE(2026,7,7))</f>
        <v>0</v>
      </c>
      <c r="D13" s="11" t="n">
        <f aca="false">IF(B13=0,0,C13/B13)</f>
        <v>0</v>
      </c>
      <c r="E13" s="12" t="n">
        <f aca="false">IF(B13=0,0,D13*(1-'Phí sàn theo shop'!$D$2))</f>
        <v>0</v>
      </c>
      <c r="F13" s="10" t="n">
        <f aca="false">SUMIFS('Raw Data - Sản phẩm'!$F:$F,'Raw Data - Sản phẩm'!$D:$D,"Combo Quà Tặng Nến Thơm Aroma Story Tặng Người Yêu, Bạn Bè Dịp Sinh Nhật, Kỷ Niệm",'Raw Data - Sản phẩm'!$B:$B,"Aroma Story - The Art Of Scent",'Raw Data - Sản phẩm'!$A:$A,"&gt;="&amp;DATE(2026,7,1),'Raw Data - Sản phẩm'!$A:$A,"&lt;="&amp;DATE(2026,7,7))</f>
        <v>0</v>
      </c>
      <c r="G13" s="10" t="n">
        <f aca="false">SUMIFS('Raw Data - Sản phẩm'!$G:$G,'Raw Data - Sản phẩm'!$D:$D,"Combo Quà Tặng Nến Thơm Aroma Story Tặng Người Yêu, Bạn Bè Dịp Sinh Nhật, Kỷ Niệm",'Raw Data - Sản phẩm'!$B:$B,"Aroma Story - The Art Of Scent",'Raw Data - Sản phẩm'!$A:$A,"&gt;="&amp;DATE(2026,7,1),'Raw Data - Sản phẩm'!$A:$A,"&lt;="&amp;DATE(2026,7,7))</f>
        <v>0</v>
      </c>
      <c r="H13" s="11" t="n">
        <f aca="false">IF(F13=0,0,G13/F13)</f>
        <v>0</v>
      </c>
      <c r="I13" s="12" t="n">
        <f aca="false">IF(F13=0,0,H13*(1-'Phí sàn theo shop'!$D$3))</f>
        <v>0</v>
      </c>
      <c r="J13" s="13" t="str">
        <f aca="false">IF(OR(B13=0,F13=0),IF(B13=0,"Chỉ TAOS có data",IF(F13=0,"Chỉ GHT có data","-")),IF(ABS(E13-I13)/MAX(E13,I13)&lt;0.03,"Ngang nhau -&gt; uu tien GHT",IF(E13&gt;I13,"Don ve GHT","Don ve TAOS")))</f>
        <v>Chỉ TAOS có data</v>
      </c>
    </row>
    <row r="14" customFormat="false" ht="30" hidden="false" customHeight="true" outlineLevel="0" collapsed="false">
      <c r="A14" s="9" t="s">
        <v>30</v>
      </c>
      <c r="B14" s="10" t="n">
        <f aca="false">SUMIFS('Raw Data - Sản phẩm'!$F:$F,'Raw Data - Sản phẩm'!$D:$D,"Nến Thơm Cao Cấp Aroma Story Nhiều Hương Cốc Gốm Sứ, Xi Măng, Thủy Tinh Size 100g - 250g",'Raw Data - Sản phẩm'!$B:$B,"Aroma Story - Góc Hương Thơm",'Raw Data - Sản phẩm'!$A:$A,"&gt;="&amp;DATE(2026,7,1),'Raw Data - Sản phẩm'!$A:$A,"&lt;="&amp;DATE(2026,7,7))</f>
        <v>0</v>
      </c>
      <c r="C14" s="10" t="n">
        <f aca="false">SUMIFS('Raw Data - Sản phẩm'!$G:$G,'Raw Data - Sản phẩm'!$D:$D,"Nến Thơm Cao Cấp Aroma Story Nhiều Hương Cốc Gốm Sứ, Xi Măng, Thủy Tinh Size 100g - 250g",'Raw Data - Sản phẩm'!$B:$B,"Aroma Story - Góc Hương Thơm",'Raw Data - Sản phẩm'!$A:$A,"&gt;="&amp;DATE(2026,7,1),'Raw Data - Sản phẩm'!$A:$A,"&lt;="&amp;DATE(2026,7,7))</f>
        <v>0</v>
      </c>
      <c r="D14" s="11" t="n">
        <f aca="false">IF(B14=0,0,C14/B14)</f>
        <v>0</v>
      </c>
      <c r="E14" s="12" t="n">
        <f aca="false">IF(B14=0,0,D14*(1-'Phí sàn theo shop'!$D$2))</f>
        <v>0</v>
      </c>
      <c r="F14" s="10" t="n">
        <f aca="false">SUMIFS('Raw Data - Sản phẩm'!$F:$F,'Raw Data - Sản phẩm'!$D:$D,"Nến Thơm Cao Cấp Aroma Story Nhiều Hương Cốc Gốm Sứ, Xi Măng, Thủy Tinh Size 100g - 250g",'Raw Data - Sản phẩm'!$B:$B,"Aroma Story - The Art Of Scent",'Raw Data - Sản phẩm'!$A:$A,"&gt;="&amp;DATE(2026,7,1),'Raw Data - Sản phẩm'!$A:$A,"&lt;="&amp;DATE(2026,7,7))</f>
        <v>2027726</v>
      </c>
      <c r="G14" s="10" t="n">
        <f aca="false">SUMIFS('Raw Data - Sản phẩm'!$G:$G,'Raw Data - Sản phẩm'!$D:$D,"Nến Thơm Cao Cấp Aroma Story Nhiều Hương Cốc Gốm Sứ, Xi Măng, Thủy Tinh Size 100g - 250g",'Raw Data - Sản phẩm'!$B:$B,"Aroma Story - The Art Of Scent",'Raw Data - Sản phẩm'!$A:$A,"&gt;="&amp;DATE(2026,7,1),'Raw Data - Sản phẩm'!$A:$A,"&lt;="&amp;DATE(2026,7,7))</f>
        <v>10305803</v>
      </c>
      <c r="H14" s="11" t="n">
        <f aca="false">IF(F14=0,0,G14/F14)</f>
        <v>5.08244358458687</v>
      </c>
      <c r="I14" s="12" t="n">
        <f aca="false">IF(F14=0,0,H14*(1-'Phí sàn theo shop'!$D$3))</f>
        <v>3.50235709900735</v>
      </c>
      <c r="J14" s="13" t="str">
        <f aca="false">IF(OR(B14=0,F14=0),IF(B14=0,"Chỉ TAOS có data",IF(F14=0,"Chỉ GHT có data","-")),IF(ABS(E14-I14)/MAX(E14,I14)&lt;0.03,"Ngang nhau -&gt; uu tien GHT",IF(E14&gt;I14,"Don ve GHT","Don ve TAOS")))</f>
        <v>Chỉ TAOS có data</v>
      </c>
    </row>
    <row r="15" customFormat="false" ht="30" hidden="false" customHeight="true" outlineLevel="0" collapsed="false">
      <c r="A15" s="9" t="s">
        <v>31</v>
      </c>
      <c r="B15" s="10" t="n">
        <f aca="false">SUMIFS('Raw Data - Sản phẩm'!$F:$F,'Raw Data - Sản phẩm'!$D:$D,"Nến Thơm Cao Cấp Thư Giãn Dễ Ngủ Với Nhiều Hương, Cốc Thủy Tinh &amp; Xi Măng Size 200g",'Raw Data - Sản phẩm'!$B:$B,"Aroma Story - Góc Hương Thơm",'Raw Data - Sản phẩm'!$A:$A,"&gt;="&amp;DATE(2026,7,1),'Raw Data - Sản phẩm'!$A:$A,"&lt;="&amp;DATE(2026,7,7))</f>
        <v>1618746</v>
      </c>
      <c r="C15" s="10" t="n">
        <f aca="false">SUMIFS('Raw Data - Sản phẩm'!$G:$G,'Raw Data - Sản phẩm'!$D:$D,"Nến Thơm Cao Cấp Thư Giãn Dễ Ngủ Với Nhiều Hương, Cốc Thủy Tinh &amp; Xi Măng Size 200g",'Raw Data - Sản phẩm'!$B:$B,"Aroma Story - Góc Hương Thơm",'Raw Data - Sản phẩm'!$A:$A,"&gt;="&amp;DATE(2026,7,1),'Raw Data - Sản phẩm'!$A:$A,"&lt;="&amp;DATE(2026,7,7))</f>
        <v>6601458</v>
      </c>
      <c r="D15" s="11" t="n">
        <f aca="false">IF(B15=0,0,C15/B15)</f>
        <v>4.0781308494353</v>
      </c>
      <c r="E15" s="12" t="n">
        <f aca="false">IF(B15=0,0,D15*(1-'Phí sàn theo shop'!$D$2))</f>
        <v>3.11400295696474</v>
      </c>
      <c r="F15" s="10" t="n">
        <f aca="false">SUMIFS('Raw Data - Sản phẩm'!$F:$F,'Raw Data - Sản phẩm'!$D:$D,"Nến Thơm Cao Cấp Thư Giãn Dễ Ngủ Với Nhiều Hương, Cốc Thủy Tinh &amp; Xi Măng Size 200g",'Raw Data - Sản phẩm'!$B:$B,"Aroma Story - The Art Of Scent",'Raw Data - Sản phẩm'!$A:$A,"&gt;="&amp;DATE(2026,7,1),'Raw Data - Sản phẩm'!$A:$A,"&lt;="&amp;DATE(2026,7,7))</f>
        <v>0</v>
      </c>
      <c r="G15" s="10" t="n">
        <f aca="false">SUMIFS('Raw Data - Sản phẩm'!$G:$G,'Raw Data - Sản phẩm'!$D:$D,"Nến Thơm Cao Cấp Thư Giãn Dễ Ngủ Với Nhiều Hương, Cốc Thủy Tinh &amp; Xi Măng Size 200g",'Raw Data - Sản phẩm'!$B:$B,"Aroma Story - The Art Of Scent",'Raw Data - Sản phẩm'!$A:$A,"&gt;="&amp;DATE(2026,7,1),'Raw Data - Sản phẩm'!$A:$A,"&lt;="&amp;DATE(2026,7,7))</f>
        <v>0</v>
      </c>
      <c r="H15" s="11" t="n">
        <f aca="false">IF(F15=0,0,G15/F15)</f>
        <v>0</v>
      </c>
      <c r="I15" s="12" t="n">
        <f aca="false">IF(F15=0,0,H15*(1-'Phí sàn theo shop'!$D$3))</f>
        <v>0</v>
      </c>
      <c r="J15" s="13" t="str">
        <f aca="false">IF(OR(B15=0,F15=0),IF(B15=0,"Chỉ TAOS có data",IF(F15=0,"Chỉ GHT có data","-")),IF(ABS(E15-I15)/MAX(E15,I15)&lt;0.03,"Ngang nhau -&gt; uu tien GHT",IF(E15&gt;I15,"Don ve GHT","Don ve TAOS")))</f>
        <v>Chỉ GHT có data</v>
      </c>
    </row>
    <row r="16" customFormat="false" ht="30" hidden="false" customHeight="true" outlineLevel="0" collapsed="false">
      <c r="A16" s="9" t="s">
        <v>32</v>
      </c>
      <c r="B16" s="10" t="n">
        <f aca="false">SUMIFS('Raw Data - Sản phẩm'!$F:$F,'Raw Data - Sản phẩm'!$D:$D,"Nến Thơm Quà Tặng Aroma Story Cho Bạn Bè, Người Yêu Nhân Dịp Sinh Nhật, Kỷ Niệm Và Tốt Nghiệp",'Raw Data - Sản phẩm'!$B:$B,"Aroma Story - Góc Hương Thơm",'Raw Data - Sản phẩm'!$A:$A,"&gt;="&amp;DATE(2026,7,1),'Raw Data - Sản phẩm'!$A:$A,"&lt;="&amp;DATE(2026,7,7))</f>
        <v>0</v>
      </c>
      <c r="C16" s="10" t="n">
        <f aca="false">SUMIFS('Raw Data - Sản phẩm'!$G:$G,'Raw Data - Sản phẩm'!$D:$D,"Nến Thơm Quà Tặng Aroma Story Cho Bạn Bè, Người Yêu Nhân Dịp Sinh Nhật, Kỷ Niệm Và Tốt Nghiệp",'Raw Data - Sản phẩm'!$B:$B,"Aroma Story - Góc Hương Thơm",'Raw Data - Sản phẩm'!$A:$A,"&gt;="&amp;DATE(2026,7,1),'Raw Data - Sản phẩm'!$A:$A,"&lt;="&amp;DATE(2026,7,7))</f>
        <v>0</v>
      </c>
      <c r="D16" s="11" t="n">
        <f aca="false">IF(B16=0,0,C16/B16)</f>
        <v>0</v>
      </c>
      <c r="E16" s="12" t="n">
        <f aca="false">IF(B16=0,0,D16*(1-'Phí sàn theo shop'!$D$2))</f>
        <v>0</v>
      </c>
      <c r="F16" s="10" t="n">
        <f aca="false">SUMIFS('Raw Data - Sản phẩm'!$F:$F,'Raw Data - Sản phẩm'!$D:$D,"Nến Thơm Quà Tặng Aroma Story Cho Bạn Bè, Người Yêu Nhân Dịp Sinh Nhật, Kỷ Niệm Và Tốt Nghiệp",'Raw Data - Sản phẩm'!$B:$B,"Aroma Story - The Art Of Scent",'Raw Data - Sản phẩm'!$A:$A,"&gt;="&amp;DATE(2026,7,1),'Raw Data - Sản phẩm'!$A:$A,"&lt;="&amp;DATE(2026,7,7))</f>
        <v>0</v>
      </c>
      <c r="G16" s="10" t="n">
        <f aca="false">SUMIFS('Raw Data - Sản phẩm'!$G:$G,'Raw Data - Sản phẩm'!$D:$D,"Nến Thơm Quà Tặng Aroma Story Cho Bạn Bè, Người Yêu Nhân Dịp Sinh Nhật, Kỷ Niệm Và Tốt Nghiệp",'Raw Data - Sản phẩm'!$B:$B,"Aroma Story - The Art Of Scent",'Raw Data - Sản phẩm'!$A:$A,"&gt;="&amp;DATE(2026,7,1),'Raw Data - Sản phẩm'!$A:$A,"&lt;="&amp;DATE(2026,7,7))</f>
        <v>0</v>
      </c>
      <c r="H16" s="11" t="n">
        <f aca="false">IF(F16=0,0,G16/F16)</f>
        <v>0</v>
      </c>
      <c r="I16" s="12" t="n">
        <f aca="false">IF(F16=0,0,H16*(1-'Phí sàn theo shop'!$D$3))</f>
        <v>0</v>
      </c>
      <c r="J16" s="13" t="str">
        <f aca="false">IF(OR(B16=0,F16=0),IF(B16=0,"Chỉ TAOS có data",IF(F16=0,"Chỉ GHT có data","-")),IF(ABS(E16-I16)/MAX(E16,I16)&lt;0.03,"Ngang nhau -&gt; uu tien GHT",IF(E16&gt;I16,"Don ve GHT","Don ve TAOS")))</f>
        <v>Chỉ TAOS có data</v>
      </c>
    </row>
    <row r="17" customFormat="false" ht="30" hidden="false" customHeight="true" outlineLevel="0" collapsed="false">
      <c r="A17" s="9" t="s">
        <v>33</v>
      </c>
      <c r="B17" s="10" t="n">
        <f aca="false">SUMIFS('Raw Data - Sản phẩm'!$F:$F,'Raw Data - Sản phẩm'!$D:$D,"Nến Thơm Quà Tặng Aroma Story Dành Tặng Dịp Sinh Nhật, Kỷ Niệm Cho Nữ, Nam Người Thân Và Bạn Bè",'Raw Data - Sản phẩm'!$B:$B,"Aroma Story - Góc Hương Thơm",'Raw Data - Sản phẩm'!$A:$A,"&gt;="&amp;DATE(2026,7,1),'Raw Data - Sản phẩm'!$A:$A,"&lt;="&amp;DATE(2026,7,7))</f>
        <v>0</v>
      </c>
      <c r="C17" s="10" t="n">
        <f aca="false">SUMIFS('Raw Data - Sản phẩm'!$G:$G,'Raw Data - Sản phẩm'!$D:$D,"Nến Thơm Quà Tặng Aroma Story Dành Tặng Dịp Sinh Nhật, Kỷ Niệm Cho Nữ, Nam Người Thân Và Bạn Bè",'Raw Data - Sản phẩm'!$B:$B,"Aroma Story - Góc Hương Thơm",'Raw Data - Sản phẩm'!$A:$A,"&gt;="&amp;DATE(2026,7,1),'Raw Data - Sản phẩm'!$A:$A,"&lt;="&amp;DATE(2026,7,7))</f>
        <v>0</v>
      </c>
      <c r="D17" s="11" t="n">
        <f aca="false">IF(B17=0,0,C17/B17)</f>
        <v>0</v>
      </c>
      <c r="E17" s="12" t="n">
        <f aca="false">IF(B17=0,0,D17*(1-'Phí sàn theo shop'!$D$2))</f>
        <v>0</v>
      </c>
      <c r="F17" s="10" t="n">
        <f aca="false">SUMIFS('Raw Data - Sản phẩm'!$F:$F,'Raw Data - Sản phẩm'!$D:$D,"Nến Thơm Quà Tặng Aroma Story Dành Tặng Dịp Sinh Nhật, Kỷ Niệm Cho Nữ, Nam Người Thân Và Bạn Bè",'Raw Data - Sản phẩm'!$B:$B,"Aroma Story - The Art Of Scent",'Raw Data - Sản phẩm'!$A:$A,"&gt;="&amp;DATE(2026,7,1),'Raw Data - Sản phẩm'!$A:$A,"&lt;="&amp;DATE(2026,7,7))</f>
        <v>0</v>
      </c>
      <c r="G17" s="10" t="n">
        <f aca="false">SUMIFS('Raw Data - Sản phẩm'!$G:$G,'Raw Data - Sản phẩm'!$D:$D,"Nến Thơm Quà Tặng Aroma Story Dành Tặng Dịp Sinh Nhật, Kỷ Niệm Cho Nữ, Nam Người Thân Và Bạn Bè",'Raw Data - Sản phẩm'!$B:$B,"Aroma Story - The Art Of Scent",'Raw Data - Sản phẩm'!$A:$A,"&gt;="&amp;DATE(2026,7,1),'Raw Data - Sản phẩm'!$A:$A,"&lt;="&amp;DATE(2026,7,7))</f>
        <v>0</v>
      </c>
      <c r="H17" s="11" t="n">
        <f aca="false">IF(F17=0,0,G17/F17)</f>
        <v>0</v>
      </c>
      <c r="I17" s="12" t="n">
        <f aca="false">IF(F17=0,0,H17*(1-'Phí sàn theo shop'!$D$3))</f>
        <v>0</v>
      </c>
      <c r="J17" s="13" t="str">
        <f aca="false">IF(OR(B17=0,F17=0),IF(B17=0,"Chỉ TAOS có data",IF(F17=0,"Chỉ GHT có data","-")),IF(ABS(E17-I17)/MAX(E17,I17)&lt;0.03,"Ngang nhau -&gt; uu tien GHT",IF(E17&gt;I17,"Don ve GHT","Don ve TAOS")))</f>
        <v>Chỉ TAOS có data</v>
      </c>
    </row>
    <row r="18" customFormat="false" ht="30" hidden="false" customHeight="true" outlineLevel="0" collapsed="false">
      <c r="A18" s="9" t="s">
        <v>34</v>
      </c>
      <c r="B18" s="10" t="n">
        <f aca="false">SUMIFS('Raw Data - Sản phẩm'!$F:$F,'Raw Data - Sản phẩm'!$D:$D,"Nến Thơm Thiên Nhiên Bộ Sưu Tập Little Things Aroma Story Size 50g",'Raw Data - Sản phẩm'!$B:$B,"Aroma Story - Góc Hương Thơm",'Raw Data - Sản phẩm'!$A:$A,"&gt;="&amp;DATE(2026,7,1),'Raw Data - Sản phẩm'!$A:$A,"&lt;="&amp;DATE(2026,7,7))</f>
        <v>821314</v>
      </c>
      <c r="C18" s="10" t="n">
        <f aca="false">SUMIFS('Raw Data - Sản phẩm'!$G:$G,'Raw Data - Sản phẩm'!$D:$D,"Nến Thơm Thiên Nhiên Bộ Sưu Tập Little Things Aroma Story Size 50g",'Raw Data - Sản phẩm'!$B:$B,"Aroma Story - Góc Hương Thơm",'Raw Data - Sản phẩm'!$A:$A,"&gt;="&amp;DATE(2026,7,1),'Raw Data - Sản phẩm'!$A:$A,"&lt;="&amp;DATE(2026,7,7))</f>
        <v>3721118</v>
      </c>
      <c r="D18" s="11" t="n">
        <f aca="false">IF(B18=0,0,C18/B18)</f>
        <v>4.53068862822258</v>
      </c>
      <c r="E18" s="12" t="n">
        <f aca="false">IF(B18=0,0,D18*(1-'Phí sàn theo shop'!$D$2))</f>
        <v>3.45956966714917</v>
      </c>
      <c r="F18" s="10" t="n">
        <f aca="false">SUMIFS('Raw Data - Sản phẩm'!$F:$F,'Raw Data - Sản phẩm'!$D:$D,"Nến Thơm Thiên Nhiên Bộ Sưu Tập Little Things Aroma Story Size 50g",'Raw Data - Sản phẩm'!$B:$B,"Aroma Story - The Art Of Scent",'Raw Data - Sản phẩm'!$A:$A,"&gt;="&amp;DATE(2026,7,1),'Raw Data - Sản phẩm'!$A:$A,"&lt;="&amp;DATE(2026,7,7))</f>
        <v>16061</v>
      </c>
      <c r="G18" s="10" t="n">
        <f aca="false">SUMIFS('Raw Data - Sản phẩm'!$G:$G,'Raw Data - Sản phẩm'!$D:$D,"Nến Thơm Thiên Nhiên Bộ Sưu Tập Little Things Aroma Story Size 50g",'Raw Data - Sản phẩm'!$B:$B,"Aroma Story - The Art Of Scent",'Raw Data - Sản phẩm'!$A:$A,"&gt;="&amp;DATE(2026,7,1),'Raw Data - Sản phẩm'!$A:$A,"&lt;="&amp;DATE(2026,7,7))</f>
        <v>0</v>
      </c>
      <c r="H18" s="11" t="n">
        <f aca="false">IF(F18=0,0,G18/F18)</f>
        <v>0</v>
      </c>
      <c r="I18" s="12" t="n">
        <f aca="false">IF(F18=0,0,H18*(1-'Phí sàn theo shop'!$D$3))</f>
        <v>0</v>
      </c>
      <c r="J18" s="13" t="str">
        <f aca="false">IF(OR(B18=0,F18=0),IF(B18=0,"Chỉ TAOS có data",IF(F18=0,"Chỉ GHT có data","-")),IF(ABS(E18-I18)/MAX(E18,I18)&lt;0.03,"Ngang nhau -&gt; uu tien GHT",IF(E18&gt;I18,"Don ve GHT","Don ve TAOS")))</f>
        <v>Don ve GHT</v>
      </c>
    </row>
    <row r="19" customFormat="false" ht="30" hidden="false" customHeight="true" outlineLevel="0" collapsed="false">
      <c r="A19" s="9" t="s">
        <v>35</v>
      </c>
      <c r="B19" s="10" t="n">
        <f aca="false">SUMIFS('Raw Data - Sản phẩm'!$F:$F,'Raw Data - Sản phẩm'!$D:$D,"SET Quà ""NẾN THƠM KHẮC TÊN THEO YÊU CẦU"" Aroma Story, Dùng Làm Quà Tặng Dịp Đặc Biệt, Sinh Nhật, 20/10, Tốt Nghiệp,...",'Raw Data - Sản phẩm'!$B:$B,"Aroma Story - Góc Hương Thơm",'Raw Data - Sản phẩm'!$A:$A,"&gt;="&amp;DATE(2026,7,1),'Raw Data - Sản phẩm'!$A:$A,"&lt;="&amp;DATE(2026,7,7))</f>
        <v>0</v>
      </c>
      <c r="C19" s="10" t="n">
        <f aca="false">SUMIFS('Raw Data - Sản phẩm'!$G:$G,'Raw Data - Sản phẩm'!$D:$D,"SET Quà ""NẾN THƠM KHẮC TÊN THEO YÊU CẦU"" Aroma Story, Dùng Làm Quà Tặng Dịp Đặc Biệt, Sinh Nhật, 20/10, Tốt Nghiệp,...",'Raw Data - Sản phẩm'!$B:$B,"Aroma Story - Góc Hương Thơm",'Raw Data - Sản phẩm'!$A:$A,"&gt;="&amp;DATE(2026,7,1),'Raw Data - Sản phẩm'!$A:$A,"&lt;="&amp;DATE(2026,7,7))</f>
        <v>0</v>
      </c>
      <c r="D19" s="11" t="n">
        <f aca="false">IF(B19=0,0,C19/B19)</f>
        <v>0</v>
      </c>
      <c r="E19" s="12" t="n">
        <f aca="false">IF(B19=0,0,D19*(1-'Phí sàn theo shop'!$D$2))</f>
        <v>0</v>
      </c>
      <c r="F19" s="10" t="n">
        <f aca="false">SUMIFS('Raw Data - Sản phẩm'!$F:$F,'Raw Data - Sản phẩm'!$D:$D,"SET Quà ""NẾN THƠM KHẮC TÊN THEO YÊU CẦU"" Aroma Story, Dùng Làm Quà Tặng Dịp Đặc Biệt, Sinh Nhật, 20/10, Tốt Nghiệp,...",'Raw Data - Sản phẩm'!$B:$B,"Aroma Story - The Art Of Scent",'Raw Data - Sản phẩm'!$A:$A,"&gt;="&amp;DATE(2026,7,1),'Raw Data - Sản phẩm'!$A:$A,"&lt;="&amp;DATE(2026,7,7))</f>
        <v>2153529</v>
      </c>
      <c r="G19" s="10" t="n">
        <f aca="false">SUMIFS('Raw Data - Sản phẩm'!$G:$G,'Raw Data - Sản phẩm'!$D:$D,"SET Quà ""NẾN THƠM KHẮC TÊN THEO YÊU CẦU"" Aroma Story, Dùng Làm Quà Tặng Dịp Đặc Biệt, Sinh Nhật, 20/10, Tốt Nghiệp,...",'Raw Data - Sản phẩm'!$B:$B,"Aroma Story - The Art Of Scent",'Raw Data - Sản phẩm'!$A:$A,"&gt;="&amp;DATE(2026,7,1),'Raw Data - Sản phẩm'!$A:$A,"&lt;="&amp;DATE(2026,7,7))</f>
        <v>11462040</v>
      </c>
      <c r="H19" s="11" t="n">
        <f aca="false">IF(F19=0,0,G19/F19)</f>
        <v>5.32244515862104</v>
      </c>
      <c r="I19" s="12" t="n">
        <f aca="false">IF(F19=0,0,H19*(1-'Phí sàn theo shop'!$D$3))</f>
        <v>3.667744319269</v>
      </c>
      <c r="J19" s="13" t="str">
        <f aca="false">IF(OR(B19=0,F19=0),IF(B19=0,"Chỉ TAOS có data",IF(F19=0,"Chỉ GHT có data","-")),IF(ABS(E19-I19)/MAX(E19,I19)&lt;0.03,"Ngang nhau -&gt; uu tien GHT",IF(E19&gt;I19,"Don ve GHT","Don ve TAOS")))</f>
        <v>Chỉ TAOS có data</v>
      </c>
    </row>
    <row r="20" customFormat="false" ht="30" hidden="false" customHeight="true" outlineLevel="0" collapsed="false">
      <c r="A20" s="9" t="s">
        <v>36</v>
      </c>
      <c r="B20" s="10" t="n">
        <f aca="false">SUMIFS('Raw Data - Sản phẩm'!$F:$F,'Raw Data - Sản phẩm'!$D:$D,"Set Quà Nến Thơm Aroma Story Kèm Phụ Kiện - Quà Sinh Nhật, Kỷ Niệm, Tặng Người Yêu, Bạn Bè",'Raw Data - Sản phẩm'!$B:$B,"Aroma Story - Góc Hương Thơm",'Raw Data - Sản phẩm'!$A:$A,"&gt;="&amp;DATE(2026,7,1),'Raw Data - Sản phẩm'!$A:$A,"&lt;="&amp;DATE(2026,7,7))</f>
        <v>0</v>
      </c>
      <c r="C20" s="10" t="n">
        <f aca="false">SUMIFS('Raw Data - Sản phẩm'!$G:$G,'Raw Data - Sản phẩm'!$D:$D,"Set Quà Nến Thơm Aroma Story Kèm Phụ Kiện - Quà Sinh Nhật, Kỷ Niệm, Tặng Người Yêu, Bạn Bè",'Raw Data - Sản phẩm'!$B:$B,"Aroma Story - Góc Hương Thơm",'Raw Data - Sản phẩm'!$A:$A,"&gt;="&amp;DATE(2026,7,1),'Raw Data - Sản phẩm'!$A:$A,"&lt;="&amp;DATE(2026,7,7))</f>
        <v>0</v>
      </c>
      <c r="D20" s="11" t="n">
        <f aca="false">IF(B20=0,0,C20/B20)</f>
        <v>0</v>
      </c>
      <c r="E20" s="12" t="n">
        <f aca="false">IF(B20=0,0,D20*(1-'Phí sàn theo shop'!$D$2))</f>
        <v>0</v>
      </c>
      <c r="F20" s="10" t="n">
        <f aca="false">SUMIFS('Raw Data - Sản phẩm'!$F:$F,'Raw Data - Sản phẩm'!$D:$D,"Set Quà Nến Thơm Aroma Story Kèm Phụ Kiện - Quà Sinh Nhật, Kỷ Niệm, Tặng Người Yêu, Bạn Bè",'Raw Data - Sản phẩm'!$B:$B,"Aroma Story - The Art Of Scent",'Raw Data - Sản phẩm'!$A:$A,"&gt;="&amp;DATE(2026,7,1),'Raw Data - Sản phẩm'!$A:$A,"&lt;="&amp;DATE(2026,7,7))</f>
        <v>0</v>
      </c>
      <c r="G20" s="10" t="n">
        <f aca="false">SUMIFS('Raw Data - Sản phẩm'!$G:$G,'Raw Data - Sản phẩm'!$D:$D,"Set Quà Nến Thơm Aroma Story Kèm Phụ Kiện - Quà Sinh Nhật, Kỷ Niệm, Tặng Người Yêu, Bạn Bè",'Raw Data - Sản phẩm'!$B:$B,"Aroma Story - The Art Of Scent",'Raw Data - Sản phẩm'!$A:$A,"&gt;="&amp;DATE(2026,7,1),'Raw Data - Sản phẩm'!$A:$A,"&lt;="&amp;DATE(2026,7,7))</f>
        <v>0</v>
      </c>
      <c r="H20" s="11" t="n">
        <f aca="false">IF(F20=0,0,G20/F20)</f>
        <v>0</v>
      </c>
      <c r="I20" s="12" t="n">
        <f aca="false">IF(F20=0,0,H20*(1-'Phí sàn theo shop'!$D$3))</f>
        <v>0</v>
      </c>
      <c r="J20" s="13" t="str">
        <f aca="false">IF(OR(B20=0,F20=0),IF(B20=0,"Chỉ TAOS có data",IF(F20=0,"Chỉ GHT có data","-")),IF(ABS(E20-I20)/MAX(E20,I20)&lt;0.03,"Ngang nhau -&gt; uu tien GHT",IF(E20&gt;I20,"Don ve GHT","Don ve TAOS")))</f>
        <v>Chỉ TAOS có data</v>
      </c>
    </row>
    <row r="21" customFormat="false" ht="30" hidden="false" customHeight="true" outlineLevel="0" collapsed="false">
      <c r="A21" s="9" t="s">
        <v>37</v>
      </c>
      <c r="B21" s="10" t="n">
        <f aca="false">SUMIFS('Raw Data - Sản phẩm'!$F:$F,'Raw Data - Sản phẩm'!$D:$D,"Set Quà Tặng Nến Thơm Aroma Story Dành Tặng Người Yêu, Sinh Nhật, Kỷ Niệm",'Raw Data - Sản phẩm'!$B:$B,"Aroma Story - Góc Hương Thơm",'Raw Data - Sản phẩm'!$A:$A,"&gt;="&amp;DATE(2026,7,1),'Raw Data - Sản phẩm'!$A:$A,"&lt;="&amp;DATE(2026,7,7))</f>
        <v>358850</v>
      </c>
      <c r="C21" s="10" t="n">
        <f aca="false">SUMIFS('Raw Data - Sản phẩm'!$G:$G,'Raw Data - Sản phẩm'!$D:$D,"Set Quà Tặng Nến Thơm Aroma Story Dành Tặng Người Yêu, Sinh Nhật, Kỷ Niệm",'Raw Data - Sản phẩm'!$B:$B,"Aroma Story - Góc Hương Thơm",'Raw Data - Sản phẩm'!$A:$A,"&gt;="&amp;DATE(2026,7,1),'Raw Data - Sản phẩm'!$A:$A,"&lt;="&amp;DATE(2026,7,7))</f>
        <v>1404117</v>
      </c>
      <c r="D21" s="11" t="n">
        <f aca="false">IF(B21=0,0,C21/B21)</f>
        <v>3.91282429984673</v>
      </c>
      <c r="E21" s="12" t="n">
        <f aca="false">IF(B21=0,0,D21*(1-'Phí sàn theo shop'!$D$2))</f>
        <v>2.98777721698003</v>
      </c>
      <c r="F21" s="10" t="n">
        <f aca="false">SUMIFS('Raw Data - Sản phẩm'!$F:$F,'Raw Data - Sản phẩm'!$D:$D,"Set Quà Tặng Nến Thơm Aroma Story Dành Tặng Người Yêu, Sinh Nhật, Kỷ Niệm",'Raw Data - Sản phẩm'!$B:$B,"Aroma Story - The Art Of Scent",'Raw Data - Sản phẩm'!$A:$A,"&gt;="&amp;DATE(2026,7,1),'Raw Data - Sản phẩm'!$A:$A,"&lt;="&amp;DATE(2026,7,7))</f>
        <v>0</v>
      </c>
      <c r="G21" s="10" t="n">
        <f aca="false">SUMIFS('Raw Data - Sản phẩm'!$G:$G,'Raw Data - Sản phẩm'!$D:$D,"Set Quà Tặng Nến Thơm Aroma Story Dành Tặng Người Yêu, Sinh Nhật, Kỷ Niệm",'Raw Data - Sản phẩm'!$B:$B,"Aroma Story - The Art Of Scent",'Raw Data - Sản phẩm'!$A:$A,"&gt;="&amp;DATE(2026,7,1),'Raw Data - Sản phẩm'!$A:$A,"&lt;="&amp;DATE(2026,7,7))</f>
        <v>0</v>
      </c>
      <c r="H21" s="11" t="n">
        <f aca="false">IF(F21=0,0,G21/F21)</f>
        <v>0</v>
      </c>
      <c r="I21" s="12" t="n">
        <f aca="false">IF(F21=0,0,H21*(1-'Phí sàn theo shop'!$D$3))</f>
        <v>0</v>
      </c>
      <c r="J21" s="13" t="str">
        <f aca="false">IF(OR(B21=0,F21=0),IF(B21=0,"Chỉ TAOS có data",IF(F21=0,"Chỉ GHT có data","-")),IF(ABS(E21-I21)/MAX(E21,I21)&lt;0.03,"Ngang nhau -&gt; uu tien GHT",IF(E21&gt;I21,"Don ve GHT","Don ve TAOS")))</f>
        <v>Chỉ GHT có data</v>
      </c>
    </row>
    <row r="22" customFormat="false" ht="30" hidden="false" customHeight="true" outlineLevel="0" collapsed="false">
      <c r="A22" s="9" t="s">
        <v>38</v>
      </c>
      <c r="B22" s="10" t="n">
        <f aca="false">SUMIFS('Raw Data - Sản phẩm'!$F:$F,'Raw Data - Sản phẩm'!$D:$D,"Tinh Dầu Thiên Nhiên Hương Trà Trắng Aroma Story Nguyên Chất – Xông Phòng, Thư Giãn, Ngủ Ngon 10ml",'Raw Data - Sản phẩm'!$B:$B,"Aroma Story - Góc Hương Thơm",'Raw Data - Sản phẩm'!$A:$A,"&gt;="&amp;DATE(2026,7,1),'Raw Data - Sản phẩm'!$A:$A,"&lt;="&amp;DATE(2026,7,7))</f>
        <v>0</v>
      </c>
      <c r="C22" s="10" t="n">
        <f aca="false">SUMIFS('Raw Data - Sản phẩm'!$G:$G,'Raw Data - Sản phẩm'!$D:$D,"Tinh Dầu Thiên Nhiên Hương Trà Trắng Aroma Story Nguyên Chất – Xông Phòng, Thư Giãn, Ngủ Ngon 10ml",'Raw Data - Sản phẩm'!$B:$B,"Aroma Story - Góc Hương Thơm",'Raw Data - Sản phẩm'!$A:$A,"&gt;="&amp;DATE(2026,7,1),'Raw Data - Sản phẩm'!$A:$A,"&lt;="&amp;DATE(2026,7,7))</f>
        <v>0</v>
      </c>
      <c r="D22" s="11" t="n">
        <f aca="false">IF(B22=0,0,C22/B22)</f>
        <v>0</v>
      </c>
      <c r="E22" s="12" t="n">
        <f aca="false">IF(B22=0,0,D22*(1-'Phí sàn theo shop'!$D$2))</f>
        <v>0</v>
      </c>
      <c r="F22" s="10" t="n">
        <f aca="false">SUMIFS('Raw Data - Sản phẩm'!$F:$F,'Raw Data - Sản phẩm'!$D:$D,"Tinh Dầu Thiên Nhiên Hương Trà Trắng Aroma Story Nguyên Chất – Xông Phòng, Thư Giãn, Ngủ Ngon 10ml",'Raw Data - Sản phẩm'!$B:$B,"Aroma Story - The Art Of Scent",'Raw Data - Sản phẩm'!$A:$A,"&gt;="&amp;DATE(2026,7,1),'Raw Data - Sản phẩm'!$A:$A,"&lt;="&amp;DATE(2026,7,7))</f>
        <v>0</v>
      </c>
      <c r="G22" s="10" t="n">
        <f aca="false">SUMIFS('Raw Data - Sản phẩm'!$G:$G,'Raw Data - Sản phẩm'!$D:$D,"Tinh Dầu Thiên Nhiên Hương Trà Trắng Aroma Story Nguyên Chất – Xông Phòng, Thư Giãn, Ngủ Ngon 10ml",'Raw Data - Sản phẩm'!$B:$B,"Aroma Story - The Art Of Scent",'Raw Data - Sản phẩm'!$A:$A,"&gt;="&amp;DATE(2026,7,1),'Raw Data - Sản phẩm'!$A:$A,"&lt;="&amp;DATE(2026,7,7))</f>
        <v>0</v>
      </c>
      <c r="H22" s="11" t="n">
        <f aca="false">IF(F22=0,0,G22/F22)</f>
        <v>0</v>
      </c>
      <c r="I22" s="12" t="n">
        <f aca="false">IF(F22=0,0,H22*(1-'Phí sàn theo shop'!$D$3))</f>
        <v>0</v>
      </c>
      <c r="J22" s="13" t="str">
        <f aca="false">IF(OR(B22=0,F22=0),IF(B22=0,"Chỉ TAOS có data",IF(F22=0,"Chỉ GHT có data","-")),IF(ABS(E22-I22)/MAX(E22,I22)&lt;0.03,"Ngang nhau -&gt; uu tien GHT",IF(E22&gt;I22,"Don ve GHT","Don ve TAOS")))</f>
        <v>Chỉ TAOS có data</v>
      </c>
    </row>
    <row r="23" customFormat="false" ht="30" hidden="false" customHeight="true" outlineLevel="0" collapsed="false">
      <c r="A23" s="9" t="s">
        <v>39</v>
      </c>
      <c r="B23" s="10" t="n">
        <f aca="false">SUMIFS('Raw Data - Sản phẩm'!$F:$F,'Raw Data - Sản phẩm'!$D:$D,"Tinh Dầu Thiên Nhiên Nguyên Chất Aroma Story 10ml – Xông Phòng, Thư Giãn, Ngủ Ngon",'Raw Data - Sản phẩm'!$B:$B,"Aroma Story - Góc Hương Thơm",'Raw Data - Sản phẩm'!$A:$A,"&gt;="&amp;DATE(2026,7,1),'Raw Data - Sản phẩm'!$A:$A,"&lt;="&amp;DATE(2026,7,7))</f>
        <v>0</v>
      </c>
      <c r="C23" s="10" t="n">
        <f aca="false">SUMIFS('Raw Data - Sản phẩm'!$G:$G,'Raw Data - Sản phẩm'!$D:$D,"Tinh Dầu Thiên Nhiên Nguyên Chất Aroma Story 10ml – Xông Phòng, Thư Giãn, Ngủ Ngon",'Raw Data - Sản phẩm'!$B:$B,"Aroma Story - Góc Hương Thơm",'Raw Data - Sản phẩm'!$A:$A,"&gt;="&amp;DATE(2026,7,1),'Raw Data - Sản phẩm'!$A:$A,"&lt;="&amp;DATE(2026,7,7))</f>
        <v>0</v>
      </c>
      <c r="D23" s="11" t="n">
        <f aca="false">IF(B23=0,0,C23/B23)</f>
        <v>0</v>
      </c>
      <c r="E23" s="12" t="n">
        <f aca="false">IF(B23=0,0,D23*(1-'Phí sàn theo shop'!$D$2))</f>
        <v>0</v>
      </c>
      <c r="F23" s="10" t="n">
        <f aca="false">SUMIFS('Raw Data - Sản phẩm'!$F:$F,'Raw Data - Sản phẩm'!$D:$D,"Tinh Dầu Thiên Nhiên Nguyên Chất Aroma Story 10ml – Xông Phòng, Thư Giãn, Ngủ Ngon",'Raw Data - Sản phẩm'!$B:$B,"Aroma Story - The Art Of Scent",'Raw Data - Sản phẩm'!$A:$A,"&gt;="&amp;DATE(2026,7,1),'Raw Data - Sản phẩm'!$A:$A,"&lt;="&amp;DATE(2026,7,7))</f>
        <v>0</v>
      </c>
      <c r="G23" s="10" t="n">
        <f aca="false">SUMIFS('Raw Data - Sản phẩm'!$G:$G,'Raw Data - Sản phẩm'!$D:$D,"Tinh Dầu Thiên Nhiên Nguyên Chất Aroma Story 10ml – Xông Phòng, Thư Giãn, Ngủ Ngon",'Raw Data - Sản phẩm'!$B:$B,"Aroma Story - The Art Of Scent",'Raw Data - Sản phẩm'!$A:$A,"&gt;="&amp;DATE(2026,7,1),'Raw Data - Sản phẩm'!$A:$A,"&lt;="&amp;DATE(2026,7,7))</f>
        <v>0</v>
      </c>
      <c r="H23" s="11" t="n">
        <f aca="false">IF(F23=0,0,G23/F23)</f>
        <v>0</v>
      </c>
      <c r="I23" s="12" t="n">
        <f aca="false">IF(F23=0,0,H23*(1-'Phí sàn theo shop'!$D$3))</f>
        <v>0</v>
      </c>
      <c r="J23" s="13" t="str">
        <f aca="false">IF(OR(B23=0,F23=0),IF(B23=0,"Chỉ TAOS có data",IF(F23=0,"Chỉ GHT có data","-")),IF(ABS(E23-I23)/MAX(E23,I23)&lt;0.03,"Ngang nhau -&gt; uu tien GHT",IF(E23&gt;I23,"Don ve GHT","Don ve TAOS")))</f>
        <v>Chỉ TAOS có data</v>
      </c>
    </row>
    <row r="24" customFormat="false" ht="30" hidden="false" customHeight="true" outlineLevel="0" collapsed="false">
      <c r="A24" s="9" t="s">
        <v>40</v>
      </c>
      <c r="B24" s="10" t="n">
        <f aca="false">SUMIFS('Raw Data - Sản phẩm'!$F:$F,'Raw Data - Sản phẩm'!$D:$D,"Tinh Dầu Thơm Xông Phòng Aroma Story 10ml – Hơn 20 Mùi Hương Thiên Nhiên, Thư Giãn &amp; Dễ Ngủ",'Raw Data - Sản phẩm'!$B:$B,"Aroma Story - Góc Hương Thơm",'Raw Data - Sản phẩm'!$A:$A,"&gt;="&amp;DATE(2026,7,1),'Raw Data - Sản phẩm'!$A:$A,"&lt;="&amp;DATE(2026,7,7))</f>
        <v>0</v>
      </c>
      <c r="C24" s="10" t="n">
        <f aca="false">SUMIFS('Raw Data - Sản phẩm'!$G:$G,'Raw Data - Sản phẩm'!$D:$D,"Tinh Dầu Thơm Xông Phòng Aroma Story 10ml – Hơn 20 Mùi Hương Thiên Nhiên, Thư Giãn &amp; Dễ Ngủ",'Raw Data - Sản phẩm'!$B:$B,"Aroma Story - Góc Hương Thơm",'Raw Data - Sản phẩm'!$A:$A,"&gt;="&amp;DATE(2026,7,1),'Raw Data - Sản phẩm'!$A:$A,"&lt;="&amp;DATE(2026,7,7))</f>
        <v>0</v>
      </c>
      <c r="D24" s="11" t="n">
        <f aca="false">IF(B24=0,0,C24/B24)</f>
        <v>0</v>
      </c>
      <c r="E24" s="12" t="n">
        <f aca="false">IF(B24=0,0,D24*(1-'Phí sàn theo shop'!$D$2))</f>
        <v>0</v>
      </c>
      <c r="F24" s="10" t="n">
        <f aca="false">SUMIFS('Raw Data - Sản phẩm'!$F:$F,'Raw Data - Sản phẩm'!$D:$D,"Tinh Dầu Thơm Xông Phòng Aroma Story 10ml – Hơn 20 Mùi Hương Thiên Nhiên, Thư Giãn &amp; Dễ Ngủ",'Raw Data - Sản phẩm'!$B:$B,"Aroma Story - The Art Of Scent",'Raw Data - Sản phẩm'!$A:$A,"&gt;="&amp;DATE(2026,7,1),'Raw Data - Sản phẩm'!$A:$A,"&lt;="&amp;DATE(2026,7,7))</f>
        <v>561845</v>
      </c>
      <c r="G24" s="10" t="n">
        <f aca="false">SUMIFS('Raw Data - Sản phẩm'!$G:$G,'Raw Data - Sản phẩm'!$D:$D,"Tinh Dầu Thơm Xông Phòng Aroma Story 10ml – Hơn 20 Mùi Hương Thiên Nhiên, Thư Giãn &amp; Dễ Ngủ",'Raw Data - Sản phẩm'!$B:$B,"Aroma Story - The Art Of Scent",'Raw Data - Sản phẩm'!$A:$A,"&gt;="&amp;DATE(2026,7,1),'Raw Data - Sản phẩm'!$A:$A,"&lt;="&amp;DATE(2026,7,7))</f>
        <v>2692740</v>
      </c>
      <c r="H24" s="11" t="n">
        <f aca="false">IF(F24=0,0,G24/F24)</f>
        <v>4.79267413610515</v>
      </c>
      <c r="I24" s="12" t="n">
        <f aca="false">IF(F24=0,0,H24*(1-'Phí sàn theo shop'!$D$3))</f>
        <v>3.30267439361675</v>
      </c>
      <c r="J24" s="13" t="str">
        <f aca="false">IF(OR(B24=0,F24=0),IF(B24=0,"Chỉ TAOS có data",IF(F24=0,"Chỉ GHT có data","-")),IF(ABS(E24-I24)/MAX(E24,I24)&lt;0.03,"Ngang nhau -&gt; uu tien GHT",IF(E24&gt;I24,"Don ve GHT","Don ve TAOS")))</f>
        <v>Chỉ TAOS có data</v>
      </c>
    </row>
    <row r="25" customFormat="false" ht="30" hidden="false" customHeight="true" outlineLevel="0" collapsed="false">
      <c r="A25" s="9" t="s">
        <v>41</v>
      </c>
      <c r="B25" s="10" t="n">
        <f aca="false">SUMIFS('Raw Data - Sản phẩm'!$F:$F,'Raw Data - Sản phẩm'!$D:$D,"Tinh Dầu Khuếch Tán Aroma Story Hương Trà Trắng Và Trái Sung True Grace Size 50ml/100ml/150ml",'Raw Data - Sản phẩm'!$B:$B,"Aroma Story - Góc Hương Thơm",'Raw Data - Sản phẩm'!$A:$A,"&gt;="&amp;DATE(2026,7,1),'Raw Data - Sản phẩm'!$A:$A,"&lt;="&amp;DATE(2026,7,7))</f>
        <v>0</v>
      </c>
      <c r="C25" s="10" t="n">
        <f aca="false">SUMIFS('Raw Data - Sản phẩm'!$G:$G,'Raw Data - Sản phẩm'!$D:$D,"Tinh Dầu Khuếch Tán Aroma Story Hương Trà Trắng Và Trái Sung True Grace Size 50ml/100ml/150ml",'Raw Data - Sản phẩm'!$B:$B,"Aroma Story - Góc Hương Thơm",'Raw Data - Sản phẩm'!$A:$A,"&gt;="&amp;DATE(2026,7,1),'Raw Data - Sản phẩm'!$A:$A,"&lt;="&amp;DATE(2026,7,7))</f>
        <v>0</v>
      </c>
      <c r="D25" s="11" t="n">
        <f aca="false">IF(B25=0,0,C25/B25)</f>
        <v>0</v>
      </c>
      <c r="E25" s="12" t="n">
        <f aca="false">IF(B25=0,0,D25*(1-'Phí sàn theo shop'!$D$2))</f>
        <v>0</v>
      </c>
      <c r="F25" s="10" t="n">
        <f aca="false">SUMIFS('Raw Data - Sản phẩm'!$F:$F,'Raw Data - Sản phẩm'!$D:$D,"Tinh Dầu Khuếch Tán Aroma Story Hương Trà Trắng Và Trái Sung True Grace Size 50ml/100ml/150ml",'Raw Data - Sản phẩm'!$B:$B,"Aroma Story - The Art Of Scent",'Raw Data - Sản phẩm'!$A:$A,"&gt;="&amp;DATE(2026,7,1),'Raw Data - Sản phẩm'!$A:$A,"&lt;="&amp;DATE(2026,7,7))</f>
        <v>615144</v>
      </c>
      <c r="G25" s="10" t="n">
        <f aca="false">SUMIFS('Raw Data - Sản phẩm'!$G:$G,'Raw Data - Sản phẩm'!$D:$D,"Tinh Dầu Khuếch Tán Aroma Story Hương Trà Trắng Và Trái Sung True Grace Size 50ml/100ml/150ml",'Raw Data - Sản phẩm'!$B:$B,"Aroma Story - The Art Of Scent",'Raw Data - Sản phẩm'!$A:$A,"&gt;="&amp;DATE(2026,7,1),'Raw Data - Sản phẩm'!$A:$A,"&lt;="&amp;DATE(2026,7,7))</f>
        <v>3253498</v>
      </c>
      <c r="H25" s="11" t="n">
        <f aca="false">IF(F25=0,0,G25/F25)</f>
        <v>5.2890022498797</v>
      </c>
      <c r="I25" s="12" t="n">
        <f aca="false">IF(F25=0,0,H25*(1-'Phí sàn theo shop'!$D$3))</f>
        <v>3.64469851327188</v>
      </c>
      <c r="J25" s="13" t="str">
        <f aca="false">IF(OR(B25=0,F25=0),IF(B25=0,"Chỉ TAOS có data",IF(F25=0,"Chỉ GHT có data","-")),IF(ABS(E25-I25)/MAX(E25,I25)&lt;0.03,"Ngang nhau -&gt; uu tien GHT",IF(E25&gt;I25,"Don ve GHT","Don ve TAOS")))</f>
        <v>Chỉ TAOS có data</v>
      </c>
    </row>
    <row r="26" customFormat="false" ht="30" hidden="false" customHeight="true" outlineLevel="0" collapsed="false">
      <c r="A26" s="9" t="s">
        <v>42</v>
      </c>
      <c r="B26" s="10" t="n">
        <f aca="false">SUMIFS('Raw Data - Sản phẩm'!$F:$F,'Raw Data - Sản phẩm'!$D:$D,"Tinh Dầu Khuếch Tán Thơm Phòng Aroma Story Nhiều Hương Size 50ml/100ml",'Raw Data - Sản phẩm'!$B:$B,"Aroma Story - Góc Hương Thơm",'Raw Data - Sản phẩm'!$A:$A,"&gt;="&amp;DATE(2026,7,1),'Raw Data - Sản phẩm'!$A:$A,"&lt;="&amp;DATE(2026,7,7))</f>
        <v>0</v>
      </c>
      <c r="C26" s="10" t="n">
        <f aca="false">SUMIFS('Raw Data - Sản phẩm'!$G:$G,'Raw Data - Sản phẩm'!$D:$D,"Tinh Dầu Khuếch Tán Thơm Phòng Aroma Story Nhiều Hương Size 50ml/100ml",'Raw Data - Sản phẩm'!$B:$B,"Aroma Story - Góc Hương Thơm",'Raw Data - Sản phẩm'!$A:$A,"&gt;="&amp;DATE(2026,7,1),'Raw Data - Sản phẩm'!$A:$A,"&lt;="&amp;DATE(2026,7,7))</f>
        <v>0</v>
      </c>
      <c r="D26" s="11" t="n">
        <f aca="false">IF(B26=0,0,C26/B26)</f>
        <v>0</v>
      </c>
      <c r="E26" s="12" t="n">
        <f aca="false">IF(B26=0,0,D26*(1-'Phí sàn theo shop'!$D$2))</f>
        <v>0</v>
      </c>
      <c r="F26" s="10" t="n">
        <f aca="false">SUMIFS('Raw Data - Sản phẩm'!$F:$F,'Raw Data - Sản phẩm'!$D:$D,"Tinh Dầu Khuếch Tán Thơm Phòng Aroma Story Nhiều Hương Size 50ml/100ml",'Raw Data - Sản phẩm'!$B:$B,"Aroma Story - The Art Of Scent",'Raw Data - Sản phẩm'!$A:$A,"&gt;="&amp;DATE(2026,7,1),'Raw Data - Sản phẩm'!$A:$A,"&lt;="&amp;DATE(2026,7,7))</f>
        <v>4714206</v>
      </c>
      <c r="G26" s="10" t="n">
        <f aca="false">SUMIFS('Raw Data - Sản phẩm'!$G:$G,'Raw Data - Sản phẩm'!$D:$D,"Tinh Dầu Khuếch Tán Thơm Phòng Aroma Story Nhiều Hương Size 50ml/100ml",'Raw Data - Sản phẩm'!$B:$B,"Aroma Story - The Art Of Scent",'Raw Data - Sản phẩm'!$A:$A,"&gt;="&amp;DATE(2026,7,1),'Raw Data - Sản phẩm'!$A:$A,"&lt;="&amp;DATE(2026,7,7))</f>
        <v>25270060</v>
      </c>
      <c r="H26" s="11" t="n">
        <f aca="false">IF(F26=0,0,G26/F26)</f>
        <v>5.36040639717484</v>
      </c>
      <c r="I26" s="12" t="n">
        <f aca="false">IF(F26=0,0,H26*(1-'Phí sàn theo shop'!$D$3))</f>
        <v>3.69390374654513</v>
      </c>
      <c r="J26" s="13" t="str">
        <f aca="false">IF(OR(B26=0,F26=0),IF(B26=0,"Chỉ TAOS có data",IF(F26=0,"Chỉ GHT có data","-")),IF(ABS(E26-I26)/MAX(E26,I26)&lt;0.03,"Ngang nhau -&gt; uu tien GHT",IF(E26&gt;I26,"Don ve GHT","Don ve TAOS")))</f>
        <v>Chỉ TAOS có data</v>
      </c>
    </row>
    <row r="27" customFormat="false" ht="30" hidden="false" customHeight="true" outlineLevel="0" collapsed="false">
      <c r="A27" s="9" t="s">
        <v>43</v>
      </c>
      <c r="B27" s="10" t="n">
        <f aca="false">SUMIFS('Raw Data - Sản phẩm'!$F:$F,'Raw Data - Sản phẩm'!$D:$D,"Tinh Dầu Khuếch Tán Thơm Phòng Aroma Story Phiên Bản Đặc Biệt Size 50ml/100ml/150ml",'Raw Data - Sản phẩm'!$B:$B,"Aroma Story - Góc Hương Thơm",'Raw Data - Sản phẩm'!$A:$A,"&gt;="&amp;DATE(2026,7,1),'Raw Data - Sản phẩm'!$A:$A,"&lt;="&amp;DATE(2026,7,7))</f>
        <v>0</v>
      </c>
      <c r="C27" s="10" t="n">
        <f aca="false">SUMIFS('Raw Data - Sản phẩm'!$G:$G,'Raw Data - Sản phẩm'!$D:$D,"Tinh Dầu Khuếch Tán Thơm Phòng Aroma Story Phiên Bản Đặc Biệt Size 50ml/100ml/150ml",'Raw Data - Sản phẩm'!$B:$B,"Aroma Story - Góc Hương Thơm",'Raw Data - Sản phẩm'!$A:$A,"&gt;="&amp;DATE(2026,7,1),'Raw Data - Sản phẩm'!$A:$A,"&lt;="&amp;DATE(2026,7,7))</f>
        <v>0</v>
      </c>
      <c r="D27" s="11" t="n">
        <f aca="false">IF(B27=0,0,C27/B27)</f>
        <v>0</v>
      </c>
      <c r="E27" s="12" t="n">
        <f aca="false">IF(B27=0,0,D27*(1-'Phí sàn theo shop'!$D$2))</f>
        <v>0</v>
      </c>
      <c r="F27" s="10" t="n">
        <f aca="false">SUMIFS('Raw Data - Sản phẩm'!$F:$F,'Raw Data - Sản phẩm'!$D:$D,"Tinh Dầu Khuếch Tán Thơm Phòng Aroma Story Phiên Bản Đặc Biệt Size 50ml/100ml/150ml",'Raw Data - Sản phẩm'!$B:$B,"Aroma Story - The Art Of Scent",'Raw Data - Sản phẩm'!$A:$A,"&gt;="&amp;DATE(2026,7,1),'Raw Data - Sản phẩm'!$A:$A,"&lt;="&amp;DATE(2026,7,7))</f>
        <v>0</v>
      </c>
      <c r="G27" s="10" t="n">
        <f aca="false">SUMIFS('Raw Data - Sản phẩm'!$G:$G,'Raw Data - Sản phẩm'!$D:$D,"Tinh Dầu Khuếch Tán Thơm Phòng Aroma Story Phiên Bản Đặc Biệt Size 50ml/100ml/150ml",'Raw Data - Sản phẩm'!$B:$B,"Aroma Story - The Art Of Scent",'Raw Data - Sản phẩm'!$A:$A,"&gt;="&amp;DATE(2026,7,1),'Raw Data - Sản phẩm'!$A:$A,"&lt;="&amp;DATE(2026,7,7))</f>
        <v>0</v>
      </c>
      <c r="H27" s="11" t="n">
        <f aca="false">IF(F27=0,0,G27/F27)</f>
        <v>0</v>
      </c>
      <c r="I27" s="12" t="n">
        <f aca="false">IF(F27=0,0,H27*(1-'Phí sàn theo shop'!$D$3))</f>
        <v>0</v>
      </c>
      <c r="J27" s="13" t="str">
        <f aca="false">IF(OR(B27=0,F27=0),IF(B27=0,"Chỉ TAOS có data",IF(F27=0,"Chỉ GHT có data","-")),IF(ABS(E27-I27)/MAX(E27,I27)&lt;0.03,"Ngang nhau -&gt; uu tien GHT",IF(E27&gt;I27,"Don ve GHT","Don ve TAOS")))</f>
        <v>Chỉ TAOS có data</v>
      </c>
    </row>
    <row r="28" customFormat="false" ht="30" hidden="false" customHeight="true" outlineLevel="0" collapsed="false">
      <c r="A28" s="9" t="s">
        <v>44</v>
      </c>
      <c r="B28" s="10" t="n">
        <f aca="false">SUMIFS('Raw Data - Sản phẩm'!$F:$F,'Raw Data - Sản phẩm'!$D:$D,"Tinh Dầu Nước Hoa Thơm Phòng Cắm Que Khuếch Tán Aroma Story - Size 50ml/100ml",'Raw Data - Sản phẩm'!$B:$B,"Aroma Story - Góc Hương Thơm",'Raw Data - Sản phẩm'!$A:$A,"&gt;="&amp;DATE(2026,7,1),'Raw Data - Sản phẩm'!$A:$A,"&lt;="&amp;DATE(2026,7,7))</f>
        <v>3466476</v>
      </c>
      <c r="C28" s="10" t="n">
        <f aca="false">SUMIFS('Raw Data - Sản phẩm'!$G:$G,'Raw Data - Sản phẩm'!$D:$D,"Tinh Dầu Nước Hoa Thơm Phòng Cắm Que Khuếch Tán Aroma Story - Size 50ml/100ml",'Raw Data - Sản phẩm'!$B:$B,"Aroma Story - Góc Hương Thơm",'Raw Data - Sản phẩm'!$A:$A,"&gt;="&amp;DATE(2026,7,1),'Raw Data - Sản phẩm'!$A:$A,"&lt;="&amp;DATE(2026,7,7))</f>
        <v>18822714</v>
      </c>
      <c r="D28" s="11" t="n">
        <f aca="false">IF(B28=0,0,C28/B28)</f>
        <v>5.42992768448419</v>
      </c>
      <c r="E28" s="12" t="n">
        <f aca="false">IF(B28=0,0,D28*(1-'Phí sàn theo shop'!$D$2))</f>
        <v>4.14621587434592</v>
      </c>
      <c r="F28" s="10" t="n">
        <f aca="false">SUMIFS('Raw Data - Sản phẩm'!$F:$F,'Raw Data - Sản phẩm'!$D:$D,"Tinh Dầu Nước Hoa Thơm Phòng Cắm Que Khuếch Tán Aroma Story - Size 50ml/100ml",'Raw Data - Sản phẩm'!$B:$B,"Aroma Story - The Art Of Scent",'Raw Data - Sản phẩm'!$A:$A,"&gt;="&amp;DATE(2026,7,1),'Raw Data - Sản phẩm'!$A:$A,"&lt;="&amp;DATE(2026,7,7))</f>
        <v>0</v>
      </c>
      <c r="G28" s="10" t="n">
        <f aca="false">SUMIFS('Raw Data - Sản phẩm'!$G:$G,'Raw Data - Sản phẩm'!$D:$D,"Tinh Dầu Nước Hoa Thơm Phòng Cắm Que Khuếch Tán Aroma Story - Size 50ml/100ml",'Raw Data - Sản phẩm'!$B:$B,"Aroma Story - The Art Of Scent",'Raw Data - Sản phẩm'!$A:$A,"&gt;="&amp;DATE(2026,7,1),'Raw Data - Sản phẩm'!$A:$A,"&lt;="&amp;DATE(2026,7,7))</f>
        <v>0</v>
      </c>
      <c r="H28" s="11" t="n">
        <f aca="false">IF(F28=0,0,G28/F28)</f>
        <v>0</v>
      </c>
      <c r="I28" s="12" t="n">
        <f aca="false">IF(F28=0,0,H28*(1-'Phí sàn theo shop'!$D$3))</f>
        <v>0</v>
      </c>
      <c r="J28" s="13" t="str">
        <f aca="false">IF(OR(B28=0,F28=0),IF(B28=0,"Chỉ TAOS có data",IF(F28=0,"Chỉ GHT có data","-")),IF(ABS(E28-I28)/MAX(E28,I28)&lt;0.03,"Ngang nhau -&gt; uu tien GHT",IF(E28&gt;I28,"Don ve GHT","Don ve TAOS")))</f>
        <v>Chỉ GHT có data</v>
      </c>
    </row>
    <row r="29" customFormat="false" ht="30" hidden="false" customHeight="true" outlineLevel="0" collapsed="false">
      <c r="A29" s="9" t="s">
        <v>45</v>
      </c>
      <c r="B29" s="10" t="n">
        <f aca="false">SUMIFS('Raw Data - Sản phẩm'!$F:$F,'Raw Data - Sản phẩm'!$D:$D,"Xịt Thơm Phòng, Quần Áo, Ô Tô Aroma Story – Khử Mùi, Lưu Hương Lâu, Nhiều Hương Size 200ml",'Raw Data - Sản phẩm'!$B:$B,"Aroma Story - Góc Hương Thơm",'Raw Data - Sản phẩm'!$A:$A,"&gt;="&amp;DATE(2026,7,1),'Raw Data - Sản phẩm'!$A:$A,"&lt;="&amp;DATE(2026,7,7))</f>
        <v>428046</v>
      </c>
      <c r="C29" s="10" t="n">
        <f aca="false">SUMIFS('Raw Data - Sản phẩm'!$G:$G,'Raw Data - Sản phẩm'!$D:$D,"Xịt Thơm Phòng, Quần Áo, Ô Tô Aroma Story – Khử Mùi, Lưu Hương Lâu, Nhiều Hương Size 200ml",'Raw Data - Sản phẩm'!$B:$B,"Aroma Story - Góc Hương Thơm",'Raw Data - Sản phẩm'!$A:$A,"&gt;="&amp;DATE(2026,7,1),'Raw Data - Sản phẩm'!$A:$A,"&lt;="&amp;DATE(2026,7,7))</f>
        <v>1888743</v>
      </c>
      <c r="D29" s="11" t="n">
        <f aca="false">IF(B29=0,0,C29/B29)</f>
        <v>4.41247669642982</v>
      </c>
      <c r="E29" s="12" t="n">
        <f aca="false">IF(B29=0,0,D29*(1-'Phí sàn theo shop'!$D$2))</f>
        <v>3.3693047102996</v>
      </c>
      <c r="F29" s="10" t="n">
        <f aca="false">SUMIFS('Raw Data - Sản phẩm'!$F:$F,'Raw Data - Sản phẩm'!$D:$D,"Xịt Thơm Phòng, Quần Áo, Ô Tô Aroma Story – Khử Mùi, Lưu Hương Lâu, Nhiều Hương Size 200ml",'Raw Data - Sản phẩm'!$B:$B,"Aroma Story - The Art Of Scent",'Raw Data - Sản phẩm'!$A:$A,"&gt;="&amp;DATE(2026,7,1),'Raw Data - Sản phẩm'!$A:$A,"&lt;="&amp;DATE(2026,7,7))</f>
        <v>0</v>
      </c>
      <c r="G29" s="10" t="n">
        <f aca="false">SUMIFS('Raw Data - Sản phẩm'!$G:$G,'Raw Data - Sản phẩm'!$D:$D,"Xịt Thơm Phòng, Quần Áo, Ô Tô Aroma Story – Khử Mùi, Lưu Hương Lâu, Nhiều Hương Size 200ml",'Raw Data - Sản phẩm'!$B:$B,"Aroma Story - The Art Of Scent",'Raw Data - Sản phẩm'!$A:$A,"&gt;="&amp;DATE(2026,7,1),'Raw Data - Sản phẩm'!$A:$A,"&lt;="&amp;DATE(2026,7,7))</f>
        <v>0</v>
      </c>
      <c r="H29" s="11" t="n">
        <f aca="false">IF(F29=0,0,G29/F29)</f>
        <v>0</v>
      </c>
      <c r="I29" s="12" t="n">
        <f aca="false">IF(F29=0,0,H29*(1-'Phí sàn theo shop'!$D$3))</f>
        <v>0</v>
      </c>
      <c r="J29" s="13" t="str">
        <f aca="false">IF(OR(B29=0,F29=0),IF(B29=0,"Chỉ TAOS có data",IF(F29=0,"Chỉ GHT có data","-")),IF(ABS(E29-I29)/MAX(E29,I29)&lt;0.03,"Ngang nhau -&gt; uu tien GHT",IF(E29&gt;I29,"Don ve GHT","Don ve TAOS")))</f>
        <v>Chỉ GHT có data</v>
      </c>
    </row>
    <row r="30" customFormat="false" ht="18" hidden="false" customHeight="true" outlineLevel="0" collapsed="false">
      <c r="A30" s="14" t="s">
        <v>17</v>
      </c>
      <c r="B30" s="15" t="n">
        <f aca="false">SUMIFS('Raw Data - Sản phẩm'!$F:$F,'Raw Data - Sản phẩm'!$B:$B,"Aroma Story - Góc Hương Thơm",'Raw Data - Sản phẩm'!$A:$A,"&gt;="&amp;DATE(2026,7,1),'Raw Data - Sản phẩm'!$A:$A,"&lt;="&amp;DATE(2026,7,7))</f>
        <v>7126951</v>
      </c>
      <c r="C30" s="15" t="n">
        <f aca="false">SUMIFS('Raw Data - Sản phẩm'!$G:$G,'Raw Data - Sản phẩm'!$B:$B,"Aroma Story - Góc Hương Thơm",'Raw Data - Sản phẩm'!$A:$A,"&gt;="&amp;DATE(2026,7,1),'Raw Data - Sản phẩm'!$A:$A,"&lt;="&amp;DATE(2026,7,7))</f>
        <v>34405907</v>
      </c>
      <c r="D30" s="16" t="n">
        <f aca="false">IF(B30=0,0,C30/B30)</f>
        <v>4.82757731882821</v>
      </c>
      <c r="E30" s="16" t="n">
        <f aca="false">IF(B30=0,0,D30*(1-'Phí sàn theo shop'!$D$2))</f>
        <v>3.68626966638125</v>
      </c>
      <c r="F30" s="15" t="n">
        <f aca="false">SUMIFS('Raw Data - Sản phẩm'!$F:$F,'Raw Data - Sản phẩm'!$B:$B,"Aroma Story - The Art Of Scent",'Raw Data - Sản phẩm'!$A:$A,"&gt;="&amp;DATE(2026,7,1),'Raw Data - Sản phẩm'!$A:$A,"&lt;="&amp;DATE(2026,7,7))</f>
        <v>10088511</v>
      </c>
      <c r="G30" s="15" t="n">
        <f aca="false">SUMIFS('Raw Data - Sản phẩm'!$G:$G,'Raw Data - Sản phẩm'!$B:$B,"Aroma Story - The Art Of Scent",'Raw Data - Sản phẩm'!$A:$A,"&gt;="&amp;DATE(2026,7,1),'Raw Data - Sản phẩm'!$A:$A,"&lt;="&amp;DATE(2026,7,7))</f>
        <v>52984141</v>
      </c>
      <c r="H30" s="16" t="n">
        <f aca="false">IF(F30=0,0,G30/F30)</f>
        <v>5.25192875341069</v>
      </c>
      <c r="I30" s="16" t="n">
        <f aca="false">IF(F30=0,0,H30*(1-'Phí sàn theo shop'!$D$3))</f>
        <v>3.61915083696574</v>
      </c>
      <c r="J30" s="17"/>
    </row>
    <row r="32" customFormat="false" ht="15" hidden="false" customHeight="false" outlineLevel="0" collapsed="false">
      <c r="A32" s="3" t="s">
        <v>18</v>
      </c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8" hidden="false" customHeight="true" outlineLevel="0" collapsed="false">
      <c r="A33" s="4" t="s">
        <v>22</v>
      </c>
      <c r="B33" s="5" t="s">
        <v>4</v>
      </c>
      <c r="C33" s="5"/>
      <c r="D33" s="5"/>
      <c r="E33" s="5"/>
      <c r="F33" s="6" t="s">
        <v>5</v>
      </c>
      <c r="G33" s="6"/>
      <c r="H33" s="6"/>
      <c r="I33" s="6"/>
      <c r="J33" s="4" t="s">
        <v>6</v>
      </c>
    </row>
    <row r="34" customFormat="false" ht="25.5" hidden="false" customHeight="true" outlineLevel="0" collapsed="false">
      <c r="A34" s="4"/>
      <c r="B34" s="7" t="s">
        <v>7</v>
      </c>
      <c r="C34" s="7" t="s">
        <v>8</v>
      </c>
      <c r="D34" s="7" t="s">
        <v>9</v>
      </c>
      <c r="E34" s="7" t="s">
        <v>10</v>
      </c>
      <c r="F34" s="8" t="s">
        <v>7</v>
      </c>
      <c r="G34" s="8" t="s">
        <v>8</v>
      </c>
      <c r="H34" s="8" t="s">
        <v>9</v>
      </c>
      <c r="I34" s="8" t="s">
        <v>10</v>
      </c>
      <c r="J34" s="4"/>
    </row>
    <row r="35" customFormat="false" ht="30" hidden="false" customHeight="true" outlineLevel="0" collapsed="false">
      <c r="A35" s="9" t="s">
        <v>23</v>
      </c>
      <c r="B35" s="10" t="n">
        <f aca="false">SUMIFS('Raw Data - Sản phẩm'!$F:$F,'Raw Data - Sản phẩm'!$D:$D,"Bộ Sản Phẩm Tinh Dầu Cà Phê &amp; Lọ Tán Hương Aroma Story – Hương Thơm Tự Nhiên, Giúp Tập Trung &amp; Thư Giãn",'Raw Data - Sản phẩm'!$B:$B,"Aroma Story - Góc Hương Thơm",'Raw Data - Sản phẩm'!$A:$A,"&gt;="&amp;DATE(2026,6,8),'Raw Data - Sản phẩm'!$A:$A,"&lt;="&amp;DATE(2026,7,7))</f>
        <v>0</v>
      </c>
      <c r="C35" s="10" t="n">
        <f aca="false">SUMIFS('Raw Data - Sản phẩm'!$G:$G,'Raw Data - Sản phẩm'!$D:$D,"Bộ Sản Phẩm Tinh Dầu Cà Phê &amp; Lọ Tán Hương Aroma Story – Hương Thơm Tự Nhiên, Giúp Tập Trung &amp; Thư Giãn",'Raw Data - Sản phẩm'!$B:$B,"Aroma Story - Góc Hương Thơm",'Raw Data - Sản phẩm'!$A:$A,"&gt;="&amp;DATE(2026,6,8),'Raw Data - Sản phẩm'!$A:$A,"&lt;="&amp;DATE(2026,7,7))</f>
        <v>0</v>
      </c>
      <c r="D35" s="11" t="n">
        <f aca="false">IF(B35=0,0,C35/B35)</f>
        <v>0</v>
      </c>
      <c r="E35" s="12" t="n">
        <f aca="false">IF(B35=0,0,D35*(1-'Phí sàn theo shop'!$D$2))</f>
        <v>0</v>
      </c>
      <c r="F35" s="10" t="n">
        <f aca="false">SUMIFS('Raw Data - Sản phẩm'!$F:$F,'Raw Data - Sản phẩm'!$D:$D,"Bộ Sản Phẩm Tinh Dầu Cà Phê &amp; Lọ Tán Hương Aroma Story – Hương Thơm Tự Nhiên, Giúp Tập Trung &amp; Thư Giãn",'Raw Data - Sản phẩm'!$B:$B,"Aroma Story - The Art Of Scent",'Raw Data - Sản phẩm'!$A:$A,"&gt;="&amp;DATE(2026,6,8),'Raw Data - Sản phẩm'!$A:$A,"&lt;="&amp;DATE(2026,7,7))</f>
        <v>0</v>
      </c>
      <c r="G35" s="10" t="n">
        <f aca="false">SUMIFS('Raw Data - Sản phẩm'!$G:$G,'Raw Data - Sản phẩm'!$D:$D,"Bộ Sản Phẩm Tinh Dầu Cà Phê &amp; Lọ Tán Hương Aroma Story – Hương Thơm Tự Nhiên, Giúp Tập Trung &amp; Thư Giãn",'Raw Data - Sản phẩm'!$B:$B,"Aroma Story - The Art Of Scent",'Raw Data - Sản phẩm'!$A:$A,"&gt;="&amp;DATE(2026,6,8),'Raw Data - Sản phẩm'!$A:$A,"&lt;="&amp;DATE(2026,7,7))</f>
        <v>0</v>
      </c>
      <c r="H35" s="11" t="n">
        <f aca="false">IF(F35=0,0,G35/F35)</f>
        <v>0</v>
      </c>
      <c r="I35" s="12" t="n">
        <f aca="false">IF(F35=0,0,H35*(1-'Phí sàn theo shop'!$D$3))</f>
        <v>0</v>
      </c>
      <c r="J35" s="13" t="str">
        <f aca="false">IF(OR(B35=0,F35=0),IF(B35=0,"Chỉ TAOS có data",IF(F35=0,"Chỉ GHT có data","-")),IF(ABS(E35-I35)/MAX(E35,I35)&lt;0.03,"Ngang nhau -&gt; uu tien GHT",IF(E35&gt;I35,"Don ve GHT","Don ve TAOS")))</f>
        <v>Chỉ TAOS có data</v>
      </c>
    </row>
    <row r="36" customFormat="false" ht="30" hidden="false" customHeight="true" outlineLevel="0" collapsed="false">
      <c r="A36" s="9" t="s">
        <v>24</v>
      </c>
      <c r="B36" s="10" t="n">
        <f aca="false">SUMIFS('Raw Data - Sản phẩm'!$F:$F,'Raw Data - Sản phẩm'!$D:$D,"BST Nước Hoa Nam Aroma Story EDP 30ml – Hương Thơm Nam Tính, Cuốn Hút",'Raw Data - Sản phẩm'!$B:$B,"Aroma Story - Góc Hương Thơm",'Raw Data - Sản phẩm'!$A:$A,"&gt;="&amp;DATE(2026,6,8),'Raw Data - Sản phẩm'!$A:$A,"&lt;="&amp;DATE(2026,7,7))</f>
        <v>509866</v>
      </c>
      <c r="C36" s="10" t="n">
        <f aca="false">SUMIFS('Raw Data - Sản phẩm'!$G:$G,'Raw Data - Sản phẩm'!$D:$D,"BST Nước Hoa Nam Aroma Story EDP 30ml – Hương Thơm Nam Tính, Cuốn Hút",'Raw Data - Sản phẩm'!$B:$B,"Aroma Story - Góc Hương Thơm",'Raw Data - Sản phẩm'!$A:$A,"&gt;="&amp;DATE(2026,6,8),'Raw Data - Sản phẩm'!$A:$A,"&lt;="&amp;DATE(2026,7,7))</f>
        <v>1092284</v>
      </c>
      <c r="D36" s="11" t="n">
        <f aca="false">IF(B36=0,0,C36/B36)</f>
        <v>2.14229621116136</v>
      </c>
      <c r="E36" s="12" t="n">
        <f aca="false">IF(B36=0,0,D36*(1-'Phí sàn theo shop'!$D$2))</f>
        <v>1.6358270449254</v>
      </c>
      <c r="F36" s="10" t="n">
        <f aca="false">SUMIFS('Raw Data - Sản phẩm'!$F:$F,'Raw Data - Sản phẩm'!$D:$D,"BST Nước Hoa Nam Aroma Story EDP 30ml – Hương Thơm Nam Tính, Cuốn Hút",'Raw Data - Sản phẩm'!$B:$B,"Aroma Story - The Art Of Scent",'Raw Data - Sản phẩm'!$A:$A,"&gt;="&amp;DATE(2026,6,8),'Raw Data - Sản phẩm'!$A:$A,"&lt;="&amp;DATE(2026,7,7))</f>
        <v>0</v>
      </c>
      <c r="G36" s="10" t="n">
        <f aca="false">SUMIFS('Raw Data - Sản phẩm'!$G:$G,'Raw Data - Sản phẩm'!$D:$D,"BST Nước Hoa Nam Aroma Story EDP 30ml – Hương Thơm Nam Tính, Cuốn Hút",'Raw Data - Sản phẩm'!$B:$B,"Aroma Story - The Art Of Scent",'Raw Data - Sản phẩm'!$A:$A,"&gt;="&amp;DATE(2026,6,8),'Raw Data - Sản phẩm'!$A:$A,"&lt;="&amp;DATE(2026,7,7))</f>
        <v>0</v>
      </c>
      <c r="H36" s="11" t="n">
        <f aca="false">IF(F36=0,0,G36/F36)</f>
        <v>0</v>
      </c>
      <c r="I36" s="12" t="n">
        <f aca="false">IF(F36=0,0,H36*(1-'Phí sàn theo shop'!$D$3))</f>
        <v>0</v>
      </c>
      <c r="J36" s="13" t="str">
        <f aca="false">IF(OR(B36=0,F36=0),IF(B36=0,"Chỉ TAOS có data",IF(F36=0,"Chỉ GHT có data","-")),IF(ABS(E36-I36)/MAX(E36,I36)&lt;0.03,"Ngang nhau -&gt; uu tien GHT",IF(E36&gt;I36,"Don ve GHT","Don ve TAOS")))</f>
        <v>Chỉ GHT có data</v>
      </c>
    </row>
    <row r="37" customFormat="false" ht="30" hidden="false" customHeight="true" outlineLevel="0" collapsed="false">
      <c r="A37" s="9" t="s">
        <v>25</v>
      </c>
      <c r="B37" s="10" t="n">
        <f aca="false">SUMIFS('Raw Data - Sản phẩm'!$F:$F,'Raw Data - Sản phẩm'!$D:$D,"BST Nước Hoa Nữ Aroma Story EDP 30ml – Hương Thơm, Nữ Tính, Thanh Lịch",'Raw Data - Sản phẩm'!$B:$B,"Aroma Story - Góc Hương Thơm",'Raw Data - Sản phẩm'!$A:$A,"&gt;="&amp;DATE(2026,6,8),'Raw Data - Sản phẩm'!$A:$A,"&lt;="&amp;DATE(2026,7,7))</f>
        <v>387361</v>
      </c>
      <c r="C37" s="10" t="n">
        <f aca="false">SUMIFS('Raw Data - Sản phẩm'!$G:$G,'Raw Data - Sản phẩm'!$D:$D,"BST Nước Hoa Nữ Aroma Story EDP 30ml – Hương Thơm, Nữ Tính, Thanh Lịch",'Raw Data - Sản phẩm'!$B:$B,"Aroma Story - Góc Hương Thơm",'Raw Data - Sản phẩm'!$A:$A,"&gt;="&amp;DATE(2026,6,8),'Raw Data - Sản phẩm'!$A:$A,"&lt;="&amp;DATE(2026,7,7))</f>
        <v>1145800</v>
      </c>
      <c r="D37" s="11" t="n">
        <f aca="false">IF(B37=0,0,C37/B37)</f>
        <v>2.95796427621779</v>
      </c>
      <c r="E37" s="12" t="n">
        <f aca="false">IF(B37=0,0,D37*(1-'Phí sàn theo shop'!$D$2))</f>
        <v>2.2586596268763</v>
      </c>
      <c r="F37" s="10" t="n">
        <f aca="false">SUMIFS('Raw Data - Sản phẩm'!$F:$F,'Raw Data - Sản phẩm'!$D:$D,"BST Nước Hoa Nữ Aroma Story EDP 30ml – Hương Thơm, Nữ Tính, Thanh Lịch",'Raw Data - Sản phẩm'!$B:$B,"Aroma Story - The Art Of Scent",'Raw Data - Sản phẩm'!$A:$A,"&gt;="&amp;DATE(2026,6,8),'Raw Data - Sản phẩm'!$A:$A,"&lt;="&amp;DATE(2026,7,7))</f>
        <v>0</v>
      </c>
      <c r="G37" s="10" t="n">
        <f aca="false">SUMIFS('Raw Data - Sản phẩm'!$G:$G,'Raw Data - Sản phẩm'!$D:$D,"BST Nước Hoa Nữ Aroma Story EDP 30ml – Hương Thơm, Nữ Tính, Thanh Lịch",'Raw Data - Sản phẩm'!$B:$B,"Aroma Story - The Art Of Scent",'Raw Data - Sản phẩm'!$A:$A,"&gt;="&amp;DATE(2026,6,8),'Raw Data - Sản phẩm'!$A:$A,"&lt;="&amp;DATE(2026,7,7))</f>
        <v>0</v>
      </c>
      <c r="H37" s="11" t="n">
        <f aca="false">IF(F37=0,0,G37/F37)</f>
        <v>0</v>
      </c>
      <c r="I37" s="12" t="n">
        <f aca="false">IF(F37=0,0,H37*(1-'Phí sàn theo shop'!$D$3))</f>
        <v>0</v>
      </c>
      <c r="J37" s="13" t="str">
        <f aca="false">IF(OR(B37=0,F37=0),IF(B37=0,"Chỉ TAOS có data",IF(F37=0,"Chỉ GHT có data","-")),IF(ABS(E37-I37)/MAX(E37,I37)&lt;0.03,"Ngang nhau -&gt; uu tien GHT",IF(E37&gt;I37,"Don ve GHT","Don ve TAOS")))</f>
        <v>Chỉ GHT có data</v>
      </c>
    </row>
    <row r="38" customFormat="false" ht="30" hidden="false" customHeight="true" outlineLevel="0" collapsed="false">
      <c r="A38" s="9" t="s">
        <v>26</v>
      </c>
      <c r="B38" s="10" t="n">
        <f aca="false">SUMIFS('Raw Data - Sản phẩm'!$F:$F,'Raw Data - Sản phẩm'!$D:$D,"Nước Hoa Nữ Very Good Girl Aroma Story EDP 30ml – Hương Hoa Ngọt Ngào, Quyến Rũ",'Raw Data - Sản phẩm'!$B:$B,"Aroma Story - Góc Hương Thơm",'Raw Data - Sản phẩm'!$A:$A,"&gt;="&amp;DATE(2026,6,8),'Raw Data - Sản phẩm'!$A:$A,"&lt;="&amp;DATE(2026,7,7))</f>
        <v>177712</v>
      </c>
      <c r="C38" s="10" t="n">
        <f aca="false">SUMIFS('Raw Data - Sản phẩm'!$G:$G,'Raw Data - Sản phẩm'!$D:$D,"Nước Hoa Nữ Very Good Girl Aroma Story EDP 30ml – Hương Hoa Ngọt Ngào, Quyến Rũ",'Raw Data - Sản phẩm'!$B:$B,"Aroma Story - Góc Hương Thơm",'Raw Data - Sản phẩm'!$A:$A,"&gt;="&amp;DATE(2026,6,8),'Raw Data - Sản phẩm'!$A:$A,"&lt;="&amp;DATE(2026,7,7))</f>
        <v>269441</v>
      </c>
      <c r="D38" s="11" t="n">
        <f aca="false">IF(B38=0,0,C38/B38)</f>
        <v>1.51616660664446</v>
      </c>
      <c r="E38" s="12" t="n">
        <f aca="false">IF(B38=0,0,D38*(1-'Phí sàn theo shop'!$D$2))</f>
        <v>1.15772334695828</v>
      </c>
      <c r="F38" s="10" t="n">
        <f aca="false">SUMIFS('Raw Data - Sản phẩm'!$F:$F,'Raw Data - Sản phẩm'!$D:$D,"Nước Hoa Nữ Very Good Girl Aroma Story EDP 30ml – Hương Hoa Ngọt Ngào, Quyến Rũ",'Raw Data - Sản phẩm'!$B:$B,"Aroma Story - The Art Of Scent",'Raw Data - Sản phẩm'!$A:$A,"&gt;="&amp;DATE(2026,6,8),'Raw Data - Sản phẩm'!$A:$A,"&lt;="&amp;DATE(2026,7,7))</f>
        <v>0</v>
      </c>
      <c r="G38" s="10" t="n">
        <f aca="false">SUMIFS('Raw Data - Sản phẩm'!$G:$G,'Raw Data - Sản phẩm'!$D:$D,"Nước Hoa Nữ Very Good Girl Aroma Story EDP 30ml – Hương Hoa Ngọt Ngào, Quyến Rũ",'Raw Data - Sản phẩm'!$B:$B,"Aroma Story - The Art Of Scent",'Raw Data - Sản phẩm'!$A:$A,"&gt;="&amp;DATE(2026,6,8),'Raw Data - Sản phẩm'!$A:$A,"&lt;="&amp;DATE(2026,7,7))</f>
        <v>0</v>
      </c>
      <c r="H38" s="11" t="n">
        <f aca="false">IF(F38=0,0,G38/F38)</f>
        <v>0</v>
      </c>
      <c r="I38" s="12" t="n">
        <f aca="false">IF(F38=0,0,H38*(1-'Phí sàn theo shop'!$D$3))</f>
        <v>0</v>
      </c>
      <c r="J38" s="13" t="str">
        <f aca="false">IF(OR(B38=0,F38=0),IF(B38=0,"Chỉ TAOS có data",IF(F38=0,"Chỉ GHT có data","-")),IF(ABS(E38-I38)/MAX(E38,I38)&lt;0.03,"Ngang nhau -&gt; uu tien GHT",IF(E38&gt;I38,"Don ve GHT","Don ve TAOS")))</f>
        <v>Chỉ GHT có data</v>
      </c>
    </row>
    <row r="39" customFormat="false" ht="30" hidden="false" customHeight="true" outlineLevel="0" collapsed="false">
      <c r="A39" s="9" t="s">
        <v>27</v>
      </c>
      <c r="B39" s="10" t="n">
        <f aca="false">SUMIFS('Raw Data - Sản phẩm'!$F:$F,'Raw Data - Sản phẩm'!$D:$D,"Nước Hoa Tóc Aroma Story Giúp Thơm Mượt Tóc, Tránh Bết, Khử Mùi, Size 10ml/100ml",'Raw Data - Sản phẩm'!$B:$B,"Aroma Story - Góc Hương Thơm",'Raw Data - Sản phẩm'!$A:$A,"&gt;="&amp;DATE(2026,6,8),'Raw Data - Sản phẩm'!$A:$A,"&lt;="&amp;DATE(2026,7,7))</f>
        <v>624672</v>
      </c>
      <c r="C39" s="10" t="n">
        <f aca="false">SUMIFS('Raw Data - Sản phẩm'!$G:$G,'Raw Data - Sản phẩm'!$D:$D,"Nước Hoa Tóc Aroma Story Giúp Thơm Mượt Tóc, Tránh Bết, Khử Mùi, Size 10ml/100ml",'Raw Data - Sản phẩm'!$B:$B,"Aroma Story - Góc Hương Thơm",'Raw Data - Sản phẩm'!$A:$A,"&gt;="&amp;DATE(2026,6,8),'Raw Data - Sản phẩm'!$A:$A,"&lt;="&amp;DATE(2026,7,7))</f>
        <v>3098224</v>
      </c>
      <c r="D39" s="11" t="n">
        <f aca="false">IF(B39=0,0,C39/B39)</f>
        <v>4.95976128272117</v>
      </c>
      <c r="E39" s="12" t="n">
        <f aca="false">IF(B39=0,0,D39*(1-'Phí sàn theo shop'!$D$2))</f>
        <v>3.78720346905289</v>
      </c>
      <c r="F39" s="10" t="n">
        <f aca="false">SUMIFS('Raw Data - Sản phẩm'!$F:$F,'Raw Data - Sản phẩm'!$D:$D,"Nước Hoa Tóc Aroma Story Giúp Thơm Mượt Tóc, Tránh Bết, Khử Mùi, Size 10ml/100ml",'Raw Data - Sản phẩm'!$B:$B,"Aroma Story - The Art Of Scent",'Raw Data - Sản phẩm'!$A:$A,"&gt;="&amp;DATE(2026,6,8),'Raw Data - Sản phẩm'!$A:$A,"&lt;="&amp;DATE(2026,7,7))</f>
        <v>0</v>
      </c>
      <c r="G39" s="10" t="n">
        <f aca="false">SUMIFS('Raw Data - Sản phẩm'!$G:$G,'Raw Data - Sản phẩm'!$D:$D,"Nước Hoa Tóc Aroma Story Giúp Thơm Mượt Tóc, Tránh Bết, Khử Mùi, Size 10ml/100ml",'Raw Data - Sản phẩm'!$B:$B,"Aroma Story - The Art Of Scent",'Raw Data - Sản phẩm'!$A:$A,"&gt;="&amp;DATE(2026,6,8),'Raw Data - Sản phẩm'!$A:$A,"&lt;="&amp;DATE(2026,7,7))</f>
        <v>0</v>
      </c>
      <c r="H39" s="11" t="n">
        <f aca="false">IF(F39=0,0,G39/F39)</f>
        <v>0</v>
      </c>
      <c r="I39" s="12" t="n">
        <f aca="false">IF(F39=0,0,H39*(1-'Phí sàn theo shop'!$D$3))</f>
        <v>0</v>
      </c>
      <c r="J39" s="13" t="str">
        <f aca="false">IF(OR(B39=0,F39=0),IF(B39=0,"Chỉ TAOS có data",IF(F39=0,"Chỉ GHT có data","-")),IF(ABS(E39-I39)/MAX(E39,I39)&lt;0.03,"Ngang nhau -&gt; uu tien GHT",IF(E39&gt;I39,"Don ve GHT","Don ve TAOS")))</f>
        <v>Chỉ GHT có data</v>
      </c>
    </row>
    <row r="40" customFormat="false" ht="30" hidden="false" customHeight="true" outlineLevel="0" collapsed="false">
      <c r="A40" s="9" t="s">
        <v>28</v>
      </c>
      <c r="B40" s="10" t="n">
        <f aca="false">SUMIFS('Raw Data - Sản phẩm'!$F:$F,'Raw Data - Sản phẩm'!$D:$D,"Xịt Thơm Phòng, Quấn Áo Trà Trắng &amp; Sung Aroma Story, Nước Hoa Xịt Thơm Size 200ml",'Raw Data - Sản phẩm'!$B:$B,"Aroma Story - Góc Hương Thơm",'Raw Data - Sản phẩm'!$A:$A,"&gt;="&amp;DATE(2026,6,8),'Raw Data - Sản phẩm'!$A:$A,"&lt;="&amp;DATE(2026,7,7))</f>
        <v>1210697</v>
      </c>
      <c r="C40" s="10" t="n">
        <f aca="false">SUMIFS('Raw Data - Sản phẩm'!$G:$G,'Raw Data - Sản phẩm'!$D:$D,"Xịt Thơm Phòng, Quấn Áo Trà Trắng &amp; Sung Aroma Story, Nước Hoa Xịt Thơm Size 200ml",'Raw Data - Sản phẩm'!$B:$B,"Aroma Story - Góc Hương Thơm",'Raw Data - Sản phẩm'!$A:$A,"&gt;="&amp;DATE(2026,6,8),'Raw Data - Sản phẩm'!$A:$A,"&lt;="&amp;DATE(2026,7,7))</f>
        <v>4834596</v>
      </c>
      <c r="D40" s="11" t="n">
        <f aca="false">IF(B40=0,0,C40/B40)</f>
        <v>3.99323364970757</v>
      </c>
      <c r="E40" s="12" t="n">
        <f aca="false">IF(B40=0,0,D40*(1-'Phí sàn theo shop'!$D$2))</f>
        <v>3.04917665767451</v>
      </c>
      <c r="F40" s="10" t="n">
        <f aca="false">SUMIFS('Raw Data - Sản phẩm'!$F:$F,'Raw Data - Sản phẩm'!$D:$D,"Xịt Thơm Phòng, Quấn Áo Trà Trắng &amp; Sung Aroma Story, Nước Hoa Xịt Thơm Size 200ml",'Raw Data - Sản phẩm'!$B:$B,"Aroma Story - The Art Of Scent",'Raw Data - Sản phẩm'!$A:$A,"&gt;="&amp;DATE(2026,6,8),'Raw Data - Sản phẩm'!$A:$A,"&lt;="&amp;DATE(2026,7,7))</f>
        <v>0</v>
      </c>
      <c r="G40" s="10" t="n">
        <f aca="false">SUMIFS('Raw Data - Sản phẩm'!$G:$G,'Raw Data - Sản phẩm'!$D:$D,"Xịt Thơm Phòng, Quấn Áo Trà Trắng &amp; Sung Aroma Story, Nước Hoa Xịt Thơm Size 200ml",'Raw Data - Sản phẩm'!$B:$B,"Aroma Story - The Art Of Scent",'Raw Data - Sản phẩm'!$A:$A,"&gt;="&amp;DATE(2026,6,8),'Raw Data - Sản phẩm'!$A:$A,"&lt;="&amp;DATE(2026,7,7))</f>
        <v>0</v>
      </c>
      <c r="H40" s="11" t="n">
        <f aca="false">IF(F40=0,0,G40/F40)</f>
        <v>0</v>
      </c>
      <c r="I40" s="12" t="n">
        <f aca="false">IF(F40=0,0,H40*(1-'Phí sàn theo shop'!$D$3))</f>
        <v>0</v>
      </c>
      <c r="J40" s="13" t="str">
        <f aca="false">IF(OR(B40=0,F40=0),IF(B40=0,"Chỉ TAOS có data",IF(F40=0,"Chỉ GHT có data","-")),IF(ABS(E40-I40)/MAX(E40,I40)&lt;0.03,"Ngang nhau -&gt; uu tien GHT",IF(E40&gt;I40,"Don ve GHT","Don ve TAOS")))</f>
        <v>Chỉ GHT có data</v>
      </c>
    </row>
    <row r="41" customFormat="false" ht="30" hidden="false" customHeight="true" outlineLevel="0" collapsed="false">
      <c r="A41" s="9" t="s">
        <v>29</v>
      </c>
      <c r="B41" s="10" t="n">
        <f aca="false">SUMIFS('Raw Data - Sản phẩm'!$F:$F,'Raw Data - Sản phẩm'!$D:$D,"Combo Quà Tặng Nến Thơm Aroma Story Tặng Người Yêu, Bạn Bè Dịp Sinh Nhật, Kỷ Niệm",'Raw Data - Sản phẩm'!$B:$B,"Aroma Story - Góc Hương Thơm",'Raw Data - Sản phẩm'!$A:$A,"&gt;="&amp;DATE(2026,6,8),'Raw Data - Sản phẩm'!$A:$A,"&lt;="&amp;DATE(2026,7,7))</f>
        <v>0</v>
      </c>
      <c r="C41" s="10" t="n">
        <f aca="false">SUMIFS('Raw Data - Sản phẩm'!$G:$G,'Raw Data - Sản phẩm'!$D:$D,"Combo Quà Tặng Nến Thơm Aroma Story Tặng Người Yêu, Bạn Bè Dịp Sinh Nhật, Kỷ Niệm",'Raw Data - Sản phẩm'!$B:$B,"Aroma Story - Góc Hương Thơm",'Raw Data - Sản phẩm'!$A:$A,"&gt;="&amp;DATE(2026,6,8),'Raw Data - Sản phẩm'!$A:$A,"&lt;="&amp;DATE(2026,7,7))</f>
        <v>0</v>
      </c>
      <c r="D41" s="11" t="n">
        <f aca="false">IF(B41=0,0,C41/B41)</f>
        <v>0</v>
      </c>
      <c r="E41" s="12" t="n">
        <f aca="false">IF(B41=0,0,D41*(1-'Phí sàn theo shop'!$D$2))</f>
        <v>0</v>
      </c>
      <c r="F41" s="10" t="n">
        <f aca="false">SUMIFS('Raw Data - Sản phẩm'!$F:$F,'Raw Data - Sản phẩm'!$D:$D,"Combo Quà Tặng Nến Thơm Aroma Story Tặng Người Yêu, Bạn Bè Dịp Sinh Nhật, Kỷ Niệm",'Raw Data - Sản phẩm'!$B:$B,"Aroma Story - The Art Of Scent",'Raw Data - Sản phẩm'!$A:$A,"&gt;="&amp;DATE(2026,6,8),'Raw Data - Sản phẩm'!$A:$A,"&lt;="&amp;DATE(2026,7,7))</f>
        <v>0</v>
      </c>
      <c r="G41" s="10" t="n">
        <f aca="false">SUMIFS('Raw Data - Sản phẩm'!$G:$G,'Raw Data - Sản phẩm'!$D:$D,"Combo Quà Tặng Nến Thơm Aroma Story Tặng Người Yêu, Bạn Bè Dịp Sinh Nhật, Kỷ Niệm",'Raw Data - Sản phẩm'!$B:$B,"Aroma Story - The Art Of Scent",'Raw Data - Sản phẩm'!$A:$A,"&gt;="&amp;DATE(2026,6,8),'Raw Data - Sản phẩm'!$A:$A,"&lt;="&amp;DATE(2026,7,7))</f>
        <v>0</v>
      </c>
      <c r="H41" s="11" t="n">
        <f aca="false">IF(F41=0,0,G41/F41)</f>
        <v>0</v>
      </c>
      <c r="I41" s="12" t="n">
        <f aca="false">IF(F41=0,0,H41*(1-'Phí sàn theo shop'!$D$3))</f>
        <v>0</v>
      </c>
      <c r="J41" s="13" t="str">
        <f aca="false">IF(OR(B41=0,F41=0),IF(B41=0,"Chỉ TAOS có data",IF(F41=0,"Chỉ GHT có data","-")),IF(ABS(E41-I41)/MAX(E41,I41)&lt;0.03,"Ngang nhau -&gt; uu tien GHT",IF(E41&gt;I41,"Don ve GHT","Don ve TAOS")))</f>
        <v>Chỉ TAOS có data</v>
      </c>
    </row>
    <row r="42" customFormat="false" ht="30" hidden="false" customHeight="true" outlineLevel="0" collapsed="false">
      <c r="A42" s="9" t="s">
        <v>30</v>
      </c>
      <c r="B42" s="10" t="n">
        <f aca="false">SUMIFS('Raw Data - Sản phẩm'!$F:$F,'Raw Data - Sản phẩm'!$D:$D,"Nến Thơm Cao Cấp Aroma Story Nhiều Hương Cốc Gốm Sứ, Xi Măng, Thủy Tinh Size 100g - 250g",'Raw Data - Sản phẩm'!$B:$B,"Aroma Story - Góc Hương Thơm",'Raw Data - Sản phẩm'!$A:$A,"&gt;="&amp;DATE(2026,6,8),'Raw Data - Sản phẩm'!$A:$A,"&lt;="&amp;DATE(2026,7,7))</f>
        <v>0</v>
      </c>
      <c r="C42" s="10" t="n">
        <f aca="false">SUMIFS('Raw Data - Sản phẩm'!$G:$G,'Raw Data - Sản phẩm'!$D:$D,"Nến Thơm Cao Cấp Aroma Story Nhiều Hương Cốc Gốm Sứ, Xi Măng, Thủy Tinh Size 100g - 250g",'Raw Data - Sản phẩm'!$B:$B,"Aroma Story - Góc Hương Thơm",'Raw Data - Sản phẩm'!$A:$A,"&gt;="&amp;DATE(2026,6,8),'Raw Data - Sản phẩm'!$A:$A,"&lt;="&amp;DATE(2026,7,7))</f>
        <v>0</v>
      </c>
      <c r="D42" s="11" t="n">
        <f aca="false">IF(B42=0,0,C42/B42)</f>
        <v>0</v>
      </c>
      <c r="E42" s="12" t="n">
        <f aca="false">IF(B42=0,0,D42*(1-'Phí sàn theo shop'!$D$2))</f>
        <v>0</v>
      </c>
      <c r="F42" s="10" t="n">
        <f aca="false">SUMIFS('Raw Data - Sản phẩm'!$F:$F,'Raw Data - Sản phẩm'!$D:$D,"Nến Thơm Cao Cấp Aroma Story Nhiều Hương Cốc Gốm Sứ, Xi Măng, Thủy Tinh Size 100g - 250g",'Raw Data - Sản phẩm'!$B:$B,"Aroma Story - The Art Of Scent",'Raw Data - Sản phẩm'!$A:$A,"&gt;="&amp;DATE(2026,6,8),'Raw Data - Sản phẩm'!$A:$A,"&lt;="&amp;DATE(2026,7,7))</f>
        <v>7526325</v>
      </c>
      <c r="G42" s="10" t="n">
        <f aca="false">SUMIFS('Raw Data - Sản phẩm'!$G:$G,'Raw Data - Sản phẩm'!$D:$D,"Nến Thơm Cao Cấp Aroma Story Nhiều Hương Cốc Gốm Sứ, Xi Măng, Thủy Tinh Size 100g - 250g",'Raw Data - Sản phẩm'!$B:$B,"Aroma Story - The Art Of Scent",'Raw Data - Sản phẩm'!$A:$A,"&gt;="&amp;DATE(2026,6,8),'Raw Data - Sản phẩm'!$A:$A,"&lt;="&amp;DATE(2026,7,7))</f>
        <v>39895072</v>
      </c>
      <c r="H42" s="11" t="n">
        <f aca="false">IF(F42=0,0,G42/F42)</f>
        <v>5.3007373452515</v>
      </c>
      <c r="I42" s="12" t="n">
        <f aca="false">IF(F42=0,0,H42*(1-'Phí sàn theo shop'!$D$3))</f>
        <v>3.65278527191444</v>
      </c>
      <c r="J42" s="13" t="str">
        <f aca="false">IF(OR(B42=0,F42=0),IF(B42=0,"Chỉ TAOS có data",IF(F42=0,"Chỉ GHT có data","-")),IF(ABS(E42-I42)/MAX(E42,I42)&lt;0.03,"Ngang nhau -&gt; uu tien GHT",IF(E42&gt;I42,"Don ve GHT","Don ve TAOS")))</f>
        <v>Chỉ TAOS có data</v>
      </c>
    </row>
    <row r="43" customFormat="false" ht="30" hidden="false" customHeight="true" outlineLevel="0" collapsed="false">
      <c r="A43" s="9" t="s">
        <v>31</v>
      </c>
      <c r="B43" s="10" t="n">
        <f aca="false">SUMIFS('Raw Data - Sản phẩm'!$F:$F,'Raw Data - Sản phẩm'!$D:$D,"Nến Thơm Cao Cấp Thư Giãn Dễ Ngủ Với Nhiều Hương, Cốc Thủy Tinh &amp; Xi Măng Size 200g",'Raw Data - Sản phẩm'!$B:$B,"Aroma Story - Góc Hương Thơm",'Raw Data - Sản phẩm'!$A:$A,"&gt;="&amp;DATE(2026,6,8),'Raw Data - Sản phẩm'!$A:$A,"&lt;="&amp;DATE(2026,7,7))</f>
        <v>8429798</v>
      </c>
      <c r="C43" s="10" t="n">
        <f aca="false">SUMIFS('Raw Data - Sản phẩm'!$G:$G,'Raw Data - Sản phẩm'!$D:$D,"Nến Thơm Cao Cấp Thư Giãn Dễ Ngủ Với Nhiều Hương, Cốc Thủy Tinh &amp; Xi Măng Size 200g",'Raw Data - Sản phẩm'!$B:$B,"Aroma Story - Góc Hương Thơm",'Raw Data - Sản phẩm'!$A:$A,"&gt;="&amp;DATE(2026,6,8),'Raw Data - Sản phẩm'!$A:$A,"&lt;="&amp;DATE(2026,7,7))</f>
        <v>36426166</v>
      </c>
      <c r="D43" s="11" t="n">
        <f aca="false">IF(B43=0,0,C43/B43)</f>
        <v>4.32111967570279</v>
      </c>
      <c r="E43" s="12" t="n">
        <f aca="false">IF(B43=0,0,D43*(1-'Phí sàn theo shop'!$D$2))</f>
        <v>3.29954578318649</v>
      </c>
      <c r="F43" s="10" t="n">
        <f aca="false">SUMIFS('Raw Data - Sản phẩm'!$F:$F,'Raw Data - Sản phẩm'!$D:$D,"Nến Thơm Cao Cấp Thư Giãn Dễ Ngủ Với Nhiều Hương, Cốc Thủy Tinh &amp; Xi Măng Size 200g",'Raw Data - Sản phẩm'!$B:$B,"Aroma Story - The Art Of Scent",'Raw Data - Sản phẩm'!$A:$A,"&gt;="&amp;DATE(2026,6,8),'Raw Data - Sản phẩm'!$A:$A,"&lt;="&amp;DATE(2026,7,7))</f>
        <v>107382</v>
      </c>
      <c r="G43" s="10" t="n">
        <f aca="false">SUMIFS('Raw Data - Sản phẩm'!$G:$G,'Raw Data - Sản phẩm'!$D:$D,"Nến Thơm Cao Cấp Thư Giãn Dễ Ngủ Với Nhiều Hương, Cốc Thủy Tinh &amp; Xi Măng Size 200g",'Raw Data - Sản phẩm'!$B:$B,"Aroma Story - The Art Of Scent",'Raw Data - Sản phẩm'!$A:$A,"&gt;="&amp;DATE(2026,6,8),'Raw Data - Sản phẩm'!$A:$A,"&lt;="&amp;DATE(2026,7,7))</f>
        <v>0</v>
      </c>
      <c r="H43" s="11" t="n">
        <f aca="false">IF(F43=0,0,G43/F43)</f>
        <v>0</v>
      </c>
      <c r="I43" s="12" t="n">
        <f aca="false">IF(F43=0,0,H43*(1-'Phí sàn theo shop'!$D$3))</f>
        <v>0</v>
      </c>
      <c r="J43" s="13" t="str">
        <f aca="false">IF(OR(B43=0,F43=0),IF(B43=0,"Chỉ TAOS có data",IF(F43=0,"Chỉ GHT có data","-")),IF(ABS(E43-I43)/MAX(E43,I43)&lt;0.03,"Ngang nhau -&gt; uu tien GHT",IF(E43&gt;I43,"Don ve GHT","Don ve TAOS")))</f>
        <v>Don ve GHT</v>
      </c>
    </row>
    <row r="44" customFormat="false" ht="30" hidden="false" customHeight="true" outlineLevel="0" collapsed="false">
      <c r="A44" s="9" t="s">
        <v>32</v>
      </c>
      <c r="B44" s="10" t="n">
        <f aca="false">SUMIFS('Raw Data - Sản phẩm'!$F:$F,'Raw Data - Sản phẩm'!$D:$D,"Nến Thơm Quà Tặng Aroma Story Cho Bạn Bè, Người Yêu Nhân Dịp Sinh Nhật, Kỷ Niệm Và Tốt Nghiệp",'Raw Data - Sản phẩm'!$B:$B,"Aroma Story - Góc Hương Thơm",'Raw Data - Sản phẩm'!$A:$A,"&gt;="&amp;DATE(2026,6,8),'Raw Data - Sản phẩm'!$A:$A,"&lt;="&amp;DATE(2026,7,7))</f>
        <v>0</v>
      </c>
      <c r="C44" s="10" t="n">
        <f aca="false">SUMIFS('Raw Data - Sản phẩm'!$G:$G,'Raw Data - Sản phẩm'!$D:$D,"Nến Thơm Quà Tặng Aroma Story Cho Bạn Bè, Người Yêu Nhân Dịp Sinh Nhật, Kỷ Niệm Và Tốt Nghiệp",'Raw Data - Sản phẩm'!$B:$B,"Aroma Story - Góc Hương Thơm",'Raw Data - Sản phẩm'!$A:$A,"&gt;="&amp;DATE(2026,6,8),'Raw Data - Sản phẩm'!$A:$A,"&lt;="&amp;DATE(2026,7,7))</f>
        <v>0</v>
      </c>
      <c r="D44" s="11" t="n">
        <f aca="false">IF(B44=0,0,C44/B44)</f>
        <v>0</v>
      </c>
      <c r="E44" s="12" t="n">
        <f aca="false">IF(B44=0,0,D44*(1-'Phí sàn theo shop'!$D$2))</f>
        <v>0</v>
      </c>
      <c r="F44" s="10" t="n">
        <f aca="false">SUMIFS('Raw Data - Sản phẩm'!$F:$F,'Raw Data - Sản phẩm'!$D:$D,"Nến Thơm Quà Tặng Aroma Story Cho Bạn Bè, Người Yêu Nhân Dịp Sinh Nhật, Kỷ Niệm Và Tốt Nghiệp",'Raw Data - Sản phẩm'!$B:$B,"Aroma Story - The Art Of Scent",'Raw Data - Sản phẩm'!$A:$A,"&gt;="&amp;DATE(2026,6,8),'Raw Data - Sản phẩm'!$A:$A,"&lt;="&amp;DATE(2026,7,7))</f>
        <v>336341</v>
      </c>
      <c r="G44" s="10" t="n">
        <f aca="false">SUMIFS('Raw Data - Sản phẩm'!$G:$G,'Raw Data - Sản phẩm'!$D:$D,"Nến Thơm Quà Tặng Aroma Story Cho Bạn Bè, Người Yêu Nhân Dịp Sinh Nhật, Kỷ Niệm Và Tốt Nghiệp",'Raw Data - Sản phẩm'!$B:$B,"Aroma Story - The Art Of Scent",'Raw Data - Sản phẩm'!$A:$A,"&gt;="&amp;DATE(2026,6,8),'Raw Data - Sản phẩm'!$A:$A,"&lt;="&amp;DATE(2026,7,7))</f>
        <v>1454160</v>
      </c>
      <c r="H44" s="11" t="n">
        <f aca="false">IF(F44=0,0,G44/F44)</f>
        <v>4.32346933617965</v>
      </c>
      <c r="I44" s="12" t="n">
        <f aca="false">IF(F44=0,0,H44*(1-'Phí sàn theo shop'!$D$3))</f>
        <v>2.9793411908851</v>
      </c>
      <c r="J44" s="13" t="str">
        <f aca="false">IF(OR(B44=0,F44=0),IF(B44=0,"Chỉ TAOS có data",IF(F44=0,"Chỉ GHT có data","-")),IF(ABS(E44-I44)/MAX(E44,I44)&lt;0.03,"Ngang nhau -&gt; uu tien GHT",IF(E44&gt;I44,"Don ve GHT","Don ve TAOS")))</f>
        <v>Chỉ TAOS có data</v>
      </c>
    </row>
    <row r="45" customFormat="false" ht="30" hidden="false" customHeight="true" outlineLevel="0" collapsed="false">
      <c r="A45" s="9" t="s">
        <v>33</v>
      </c>
      <c r="B45" s="10" t="n">
        <f aca="false">SUMIFS('Raw Data - Sản phẩm'!$F:$F,'Raw Data - Sản phẩm'!$D:$D,"Nến Thơm Quà Tặng Aroma Story Dành Tặng Dịp Sinh Nhật, Kỷ Niệm Cho Nữ, Nam Người Thân Và Bạn Bè",'Raw Data - Sản phẩm'!$B:$B,"Aroma Story - Góc Hương Thơm",'Raw Data - Sản phẩm'!$A:$A,"&gt;="&amp;DATE(2026,6,8),'Raw Data - Sản phẩm'!$A:$A,"&lt;="&amp;DATE(2026,7,7))</f>
        <v>0</v>
      </c>
      <c r="C45" s="10" t="n">
        <f aca="false">SUMIFS('Raw Data - Sản phẩm'!$G:$G,'Raw Data - Sản phẩm'!$D:$D,"Nến Thơm Quà Tặng Aroma Story Dành Tặng Dịp Sinh Nhật, Kỷ Niệm Cho Nữ, Nam Người Thân Và Bạn Bè",'Raw Data - Sản phẩm'!$B:$B,"Aroma Story - Góc Hương Thơm",'Raw Data - Sản phẩm'!$A:$A,"&gt;="&amp;DATE(2026,6,8),'Raw Data - Sản phẩm'!$A:$A,"&lt;="&amp;DATE(2026,7,7))</f>
        <v>0</v>
      </c>
      <c r="D45" s="11" t="n">
        <f aca="false">IF(B45=0,0,C45/B45)</f>
        <v>0</v>
      </c>
      <c r="E45" s="12" t="n">
        <f aca="false">IF(B45=0,0,D45*(1-'Phí sàn theo shop'!$D$2))</f>
        <v>0</v>
      </c>
      <c r="F45" s="10" t="n">
        <f aca="false">SUMIFS('Raw Data - Sản phẩm'!$F:$F,'Raw Data - Sản phẩm'!$D:$D,"Nến Thơm Quà Tặng Aroma Story Dành Tặng Dịp Sinh Nhật, Kỷ Niệm Cho Nữ, Nam Người Thân Và Bạn Bè",'Raw Data - Sản phẩm'!$B:$B,"Aroma Story - The Art Of Scent",'Raw Data - Sản phẩm'!$A:$A,"&gt;="&amp;DATE(2026,6,8),'Raw Data - Sản phẩm'!$A:$A,"&lt;="&amp;DATE(2026,7,7))</f>
        <v>793332</v>
      </c>
      <c r="G45" s="10" t="n">
        <f aca="false">SUMIFS('Raw Data - Sản phẩm'!$G:$G,'Raw Data - Sản phẩm'!$D:$D,"Nến Thơm Quà Tặng Aroma Story Dành Tặng Dịp Sinh Nhật, Kỷ Niệm Cho Nữ, Nam Người Thân Và Bạn Bè",'Raw Data - Sản phẩm'!$B:$B,"Aroma Story - The Art Of Scent",'Raw Data - Sản phẩm'!$A:$A,"&gt;="&amp;DATE(2026,6,8),'Raw Data - Sản phẩm'!$A:$A,"&lt;="&amp;DATE(2026,7,7))</f>
        <v>3761300</v>
      </c>
      <c r="H45" s="11" t="n">
        <f aca="false">IF(F45=0,0,G45/F45)</f>
        <v>4.7411424220881</v>
      </c>
      <c r="I45" s="12" t="n">
        <f aca="false">IF(F45=0,0,H45*(1-'Phí sàn theo shop'!$D$3))</f>
        <v>3.26716343094537</v>
      </c>
      <c r="J45" s="13" t="str">
        <f aca="false">IF(OR(B45=0,F45=0),IF(B45=0,"Chỉ TAOS có data",IF(F45=0,"Chỉ GHT có data","-")),IF(ABS(E45-I45)/MAX(E45,I45)&lt;0.03,"Ngang nhau -&gt; uu tien GHT",IF(E45&gt;I45,"Don ve GHT","Don ve TAOS")))</f>
        <v>Chỉ TAOS có data</v>
      </c>
    </row>
    <row r="46" customFormat="false" ht="30" hidden="false" customHeight="true" outlineLevel="0" collapsed="false">
      <c r="A46" s="9" t="s">
        <v>34</v>
      </c>
      <c r="B46" s="10" t="n">
        <f aca="false">SUMIFS('Raw Data - Sản phẩm'!$F:$F,'Raw Data - Sản phẩm'!$D:$D,"Nến Thơm Thiên Nhiên Bộ Sưu Tập Little Things Aroma Story Size 50g",'Raw Data - Sản phẩm'!$B:$B,"Aroma Story - Góc Hương Thơm",'Raw Data - Sản phẩm'!$A:$A,"&gt;="&amp;DATE(2026,6,8),'Raw Data - Sản phẩm'!$A:$A,"&lt;="&amp;DATE(2026,7,7))</f>
        <v>2235981</v>
      </c>
      <c r="C46" s="10" t="n">
        <f aca="false">SUMIFS('Raw Data - Sản phẩm'!$G:$G,'Raw Data - Sản phẩm'!$D:$D,"Nến Thơm Thiên Nhiên Bộ Sưu Tập Little Things Aroma Story Size 50g",'Raw Data - Sản phẩm'!$B:$B,"Aroma Story - Góc Hương Thơm",'Raw Data - Sản phẩm'!$A:$A,"&gt;="&amp;DATE(2026,6,8),'Raw Data - Sản phẩm'!$A:$A,"&lt;="&amp;DATE(2026,7,7))</f>
        <v>10515442</v>
      </c>
      <c r="D46" s="11" t="n">
        <f aca="false">IF(B46=0,0,C46/B46)</f>
        <v>4.7028315535776</v>
      </c>
      <c r="E46" s="12" t="n">
        <f aca="false">IF(B46=0,0,D46*(1-'Phí sàn theo shop'!$D$2))</f>
        <v>3.59101556684371</v>
      </c>
      <c r="F46" s="10" t="n">
        <f aca="false">SUMIFS('Raw Data - Sản phẩm'!$F:$F,'Raw Data - Sản phẩm'!$D:$D,"Nến Thơm Thiên Nhiên Bộ Sưu Tập Little Things Aroma Story Size 50g",'Raw Data - Sản phẩm'!$B:$B,"Aroma Story - The Art Of Scent",'Raw Data - Sản phẩm'!$A:$A,"&gt;="&amp;DATE(2026,6,8),'Raw Data - Sản phẩm'!$A:$A,"&lt;="&amp;DATE(2026,7,7))</f>
        <v>3096300</v>
      </c>
      <c r="G46" s="10" t="n">
        <f aca="false">SUMIFS('Raw Data - Sản phẩm'!$G:$G,'Raw Data - Sản phẩm'!$D:$D,"Nến Thơm Thiên Nhiên Bộ Sưu Tập Little Things Aroma Story Size 50g",'Raw Data - Sản phẩm'!$B:$B,"Aroma Story - The Art Of Scent",'Raw Data - Sản phẩm'!$A:$A,"&gt;="&amp;DATE(2026,6,8),'Raw Data - Sản phẩm'!$A:$A,"&lt;="&amp;DATE(2026,7,7))</f>
        <v>15102504</v>
      </c>
      <c r="H46" s="11" t="n">
        <f aca="false">IF(F46=0,0,G46/F46)</f>
        <v>4.87759713206085</v>
      </c>
      <c r="I46" s="12" t="n">
        <f aca="false">IF(F46=0,0,H46*(1-'Phí sàn theo shop'!$D$3))</f>
        <v>3.36119558579611</v>
      </c>
      <c r="J46" s="13" t="str">
        <f aca="false">IF(OR(B46=0,F46=0),IF(B46=0,"Chỉ TAOS có data",IF(F46=0,"Chỉ GHT có data","-")),IF(ABS(E46-I46)/MAX(E46,I46)&lt;0.03,"Ngang nhau -&gt; uu tien GHT",IF(E46&gt;I46,"Don ve GHT","Don ve TAOS")))</f>
        <v>Don ve GHT</v>
      </c>
    </row>
    <row r="47" customFormat="false" ht="30" hidden="false" customHeight="true" outlineLevel="0" collapsed="false">
      <c r="A47" s="9" t="s">
        <v>35</v>
      </c>
      <c r="B47" s="10" t="n">
        <f aca="false">SUMIFS('Raw Data - Sản phẩm'!$F:$F,'Raw Data - Sản phẩm'!$D:$D,"SET Quà ""NẾN THƠM KHẮC TÊN THEO YÊU CẦU"" Aroma Story, Dùng Làm Quà Tặng Dịp Đặc Biệt, Sinh Nhật, 20/10, Tốt Nghiệp,...",'Raw Data - Sản phẩm'!$B:$B,"Aroma Story - Góc Hương Thơm",'Raw Data - Sản phẩm'!$A:$A,"&gt;="&amp;DATE(2026,6,8),'Raw Data - Sản phẩm'!$A:$A,"&lt;="&amp;DATE(2026,7,7))</f>
        <v>0</v>
      </c>
      <c r="C47" s="10" t="n">
        <f aca="false">SUMIFS('Raw Data - Sản phẩm'!$G:$G,'Raw Data - Sản phẩm'!$D:$D,"SET Quà ""NẾN THƠM KHẮC TÊN THEO YÊU CẦU"" Aroma Story, Dùng Làm Quà Tặng Dịp Đặc Biệt, Sinh Nhật, 20/10, Tốt Nghiệp,...",'Raw Data - Sản phẩm'!$B:$B,"Aroma Story - Góc Hương Thơm",'Raw Data - Sản phẩm'!$A:$A,"&gt;="&amp;DATE(2026,6,8),'Raw Data - Sản phẩm'!$A:$A,"&lt;="&amp;DATE(2026,7,7))</f>
        <v>0</v>
      </c>
      <c r="D47" s="11" t="n">
        <f aca="false">IF(B47=0,0,C47/B47)</f>
        <v>0</v>
      </c>
      <c r="E47" s="12" t="n">
        <f aca="false">IF(B47=0,0,D47*(1-'Phí sàn theo shop'!$D$2))</f>
        <v>0</v>
      </c>
      <c r="F47" s="10" t="n">
        <f aca="false">SUMIFS('Raw Data - Sản phẩm'!$F:$F,'Raw Data - Sản phẩm'!$D:$D,"SET Quà ""NẾN THƠM KHẮC TÊN THEO YÊU CẦU"" Aroma Story, Dùng Làm Quà Tặng Dịp Đặc Biệt, Sinh Nhật, 20/10, Tốt Nghiệp,...",'Raw Data - Sản phẩm'!$B:$B,"Aroma Story - The Art Of Scent",'Raw Data - Sản phẩm'!$A:$A,"&gt;="&amp;DATE(2026,6,8),'Raw Data - Sản phẩm'!$A:$A,"&lt;="&amp;DATE(2026,7,7))</f>
        <v>8168740</v>
      </c>
      <c r="G47" s="10" t="n">
        <f aca="false">SUMIFS('Raw Data - Sản phẩm'!$G:$G,'Raw Data - Sản phẩm'!$D:$D,"SET Quà ""NẾN THƠM KHẮC TÊN THEO YÊU CẦU"" Aroma Story, Dùng Làm Quà Tặng Dịp Đặc Biệt, Sinh Nhật, 20/10, Tốt Nghiệp,...",'Raw Data - Sản phẩm'!$B:$B,"Aroma Story - The Art Of Scent",'Raw Data - Sản phẩm'!$A:$A,"&gt;="&amp;DATE(2026,6,8),'Raw Data - Sản phẩm'!$A:$A,"&lt;="&amp;DATE(2026,7,7))</f>
        <v>38132300</v>
      </c>
      <c r="H47" s="11" t="n">
        <f aca="false">IF(F47=0,0,G47/F47)</f>
        <v>4.66807610476034</v>
      </c>
      <c r="I47" s="12" t="n">
        <f aca="false">IF(F47=0,0,H47*(1-'Phí sàn theo shop'!$D$3))</f>
        <v>3.21681278151224</v>
      </c>
      <c r="J47" s="13" t="str">
        <f aca="false">IF(OR(B47=0,F47=0),IF(B47=0,"Chỉ TAOS có data",IF(F47=0,"Chỉ GHT có data","-")),IF(ABS(E47-I47)/MAX(E47,I47)&lt;0.03,"Ngang nhau -&gt; uu tien GHT",IF(E47&gt;I47,"Don ve GHT","Don ve TAOS")))</f>
        <v>Chỉ TAOS có data</v>
      </c>
    </row>
    <row r="48" customFormat="false" ht="30" hidden="false" customHeight="true" outlineLevel="0" collapsed="false">
      <c r="A48" s="9" t="s">
        <v>36</v>
      </c>
      <c r="B48" s="10" t="n">
        <f aca="false">SUMIFS('Raw Data - Sản phẩm'!$F:$F,'Raw Data - Sản phẩm'!$D:$D,"Set Quà Nến Thơm Aroma Story Kèm Phụ Kiện - Quà Sinh Nhật, Kỷ Niệm, Tặng Người Yêu, Bạn Bè",'Raw Data - Sản phẩm'!$B:$B,"Aroma Story - Góc Hương Thơm",'Raw Data - Sản phẩm'!$A:$A,"&gt;="&amp;DATE(2026,6,8),'Raw Data - Sản phẩm'!$A:$A,"&lt;="&amp;DATE(2026,7,7))</f>
        <v>0</v>
      </c>
      <c r="C48" s="10" t="n">
        <f aca="false">SUMIFS('Raw Data - Sản phẩm'!$G:$G,'Raw Data - Sản phẩm'!$D:$D,"Set Quà Nến Thơm Aroma Story Kèm Phụ Kiện - Quà Sinh Nhật, Kỷ Niệm, Tặng Người Yêu, Bạn Bè",'Raw Data - Sản phẩm'!$B:$B,"Aroma Story - Góc Hương Thơm",'Raw Data - Sản phẩm'!$A:$A,"&gt;="&amp;DATE(2026,6,8),'Raw Data - Sản phẩm'!$A:$A,"&lt;="&amp;DATE(2026,7,7))</f>
        <v>0</v>
      </c>
      <c r="D48" s="11" t="n">
        <f aca="false">IF(B48=0,0,C48/B48)</f>
        <v>0</v>
      </c>
      <c r="E48" s="12" t="n">
        <f aca="false">IF(B48=0,0,D48*(1-'Phí sàn theo shop'!$D$2))</f>
        <v>0</v>
      </c>
      <c r="F48" s="10" t="n">
        <f aca="false">SUMIFS('Raw Data - Sản phẩm'!$F:$F,'Raw Data - Sản phẩm'!$D:$D,"Set Quà Nến Thơm Aroma Story Kèm Phụ Kiện - Quà Sinh Nhật, Kỷ Niệm, Tặng Người Yêu, Bạn Bè",'Raw Data - Sản phẩm'!$B:$B,"Aroma Story - The Art Of Scent",'Raw Data - Sản phẩm'!$A:$A,"&gt;="&amp;DATE(2026,6,8),'Raw Data - Sản phẩm'!$A:$A,"&lt;="&amp;DATE(2026,7,7))</f>
        <v>0</v>
      </c>
      <c r="G48" s="10" t="n">
        <f aca="false">SUMIFS('Raw Data - Sản phẩm'!$G:$G,'Raw Data - Sản phẩm'!$D:$D,"Set Quà Nến Thơm Aroma Story Kèm Phụ Kiện - Quà Sinh Nhật, Kỷ Niệm, Tặng Người Yêu, Bạn Bè",'Raw Data - Sản phẩm'!$B:$B,"Aroma Story - The Art Of Scent",'Raw Data - Sản phẩm'!$A:$A,"&gt;="&amp;DATE(2026,6,8),'Raw Data - Sản phẩm'!$A:$A,"&lt;="&amp;DATE(2026,7,7))</f>
        <v>0</v>
      </c>
      <c r="H48" s="11" t="n">
        <f aca="false">IF(F48=0,0,G48/F48)</f>
        <v>0</v>
      </c>
      <c r="I48" s="12" t="n">
        <f aca="false">IF(F48=0,0,H48*(1-'Phí sàn theo shop'!$D$3))</f>
        <v>0</v>
      </c>
      <c r="J48" s="13" t="str">
        <f aca="false">IF(OR(B48=0,F48=0),IF(B48=0,"Chỉ TAOS có data",IF(F48=0,"Chỉ GHT có data","-")),IF(ABS(E48-I48)/MAX(E48,I48)&lt;0.03,"Ngang nhau -&gt; uu tien GHT",IF(E48&gt;I48,"Don ve GHT","Don ve TAOS")))</f>
        <v>Chỉ TAOS có data</v>
      </c>
    </row>
    <row r="49" customFormat="false" ht="30" hidden="false" customHeight="true" outlineLevel="0" collapsed="false">
      <c r="A49" s="9" t="s">
        <v>37</v>
      </c>
      <c r="B49" s="10" t="n">
        <f aca="false">SUMIFS('Raw Data - Sản phẩm'!$F:$F,'Raw Data - Sản phẩm'!$D:$D,"Set Quà Tặng Nến Thơm Aroma Story Dành Tặng Người Yêu, Sinh Nhật, Kỷ Niệm",'Raw Data - Sản phẩm'!$B:$B,"Aroma Story - Góc Hương Thơm",'Raw Data - Sản phẩm'!$A:$A,"&gt;="&amp;DATE(2026,6,8),'Raw Data - Sản phẩm'!$A:$A,"&lt;="&amp;DATE(2026,7,7))</f>
        <v>649824</v>
      </c>
      <c r="C49" s="10" t="n">
        <f aca="false">SUMIFS('Raw Data - Sản phẩm'!$G:$G,'Raw Data - Sản phẩm'!$D:$D,"Set Quà Tặng Nến Thơm Aroma Story Dành Tặng Người Yêu, Sinh Nhật, Kỷ Niệm",'Raw Data - Sản phẩm'!$B:$B,"Aroma Story - Góc Hương Thơm",'Raw Data - Sản phẩm'!$A:$A,"&gt;="&amp;DATE(2026,6,8),'Raw Data - Sản phẩm'!$A:$A,"&lt;="&amp;DATE(2026,7,7))</f>
        <v>2815920</v>
      </c>
      <c r="D49" s="11" t="n">
        <f aca="false">IF(B49=0,0,C49/B49)</f>
        <v>4.33335795538484</v>
      </c>
      <c r="E49" s="12" t="n">
        <f aca="false">IF(B49=0,0,D49*(1-'Phí sàn theo shop'!$D$2))</f>
        <v>3.30889076021766</v>
      </c>
      <c r="F49" s="10" t="n">
        <f aca="false">SUMIFS('Raw Data - Sản phẩm'!$F:$F,'Raw Data - Sản phẩm'!$D:$D,"Set Quà Tặng Nến Thơm Aroma Story Dành Tặng Người Yêu, Sinh Nhật, Kỷ Niệm",'Raw Data - Sản phẩm'!$B:$B,"Aroma Story - The Art Of Scent",'Raw Data - Sản phẩm'!$A:$A,"&gt;="&amp;DATE(2026,6,8),'Raw Data - Sản phẩm'!$A:$A,"&lt;="&amp;DATE(2026,7,7))</f>
        <v>1548083</v>
      </c>
      <c r="G49" s="10" t="n">
        <f aca="false">SUMIFS('Raw Data - Sản phẩm'!$G:$G,'Raw Data - Sản phẩm'!$D:$D,"Set Quà Tặng Nến Thơm Aroma Story Dành Tặng Người Yêu, Sinh Nhật, Kỷ Niệm",'Raw Data - Sản phẩm'!$B:$B,"Aroma Story - The Art Of Scent",'Raw Data - Sản phẩm'!$A:$A,"&gt;="&amp;DATE(2026,6,8),'Raw Data - Sản phẩm'!$A:$A,"&lt;="&amp;DATE(2026,7,7))</f>
        <v>6888600</v>
      </c>
      <c r="H49" s="11" t="n">
        <f aca="false">IF(F49=0,0,G49/F49)</f>
        <v>4.44976141460116</v>
      </c>
      <c r="I49" s="12" t="n">
        <f aca="false">IF(F49=0,0,H49*(1-'Phí sàn theo shop'!$D$3))</f>
        <v>3.06637018590421</v>
      </c>
      <c r="J49" s="13" t="str">
        <f aca="false">IF(OR(B49=0,F49=0),IF(B49=0,"Chỉ TAOS có data",IF(F49=0,"Chỉ GHT có data","-")),IF(ABS(E49-I49)/MAX(E49,I49)&lt;0.03,"Ngang nhau -&gt; uu tien GHT",IF(E49&gt;I49,"Don ve GHT","Don ve TAOS")))</f>
        <v>Don ve GHT</v>
      </c>
    </row>
    <row r="50" customFormat="false" ht="30" hidden="false" customHeight="true" outlineLevel="0" collapsed="false">
      <c r="A50" s="9" t="s">
        <v>38</v>
      </c>
      <c r="B50" s="10" t="n">
        <f aca="false">SUMIFS('Raw Data - Sản phẩm'!$F:$F,'Raw Data - Sản phẩm'!$D:$D,"Tinh Dầu Thiên Nhiên Hương Trà Trắng Aroma Story Nguyên Chất – Xông Phòng, Thư Giãn, Ngủ Ngon 10ml",'Raw Data - Sản phẩm'!$B:$B,"Aroma Story - Góc Hương Thơm",'Raw Data - Sản phẩm'!$A:$A,"&gt;="&amp;DATE(2026,6,8),'Raw Data - Sản phẩm'!$A:$A,"&lt;="&amp;DATE(2026,7,7))</f>
        <v>116346</v>
      </c>
      <c r="C50" s="10" t="n">
        <f aca="false">SUMIFS('Raw Data - Sản phẩm'!$G:$G,'Raw Data - Sản phẩm'!$D:$D,"Tinh Dầu Thiên Nhiên Hương Trà Trắng Aroma Story Nguyên Chất – Xông Phòng, Thư Giãn, Ngủ Ngon 10ml",'Raw Data - Sản phẩm'!$B:$B,"Aroma Story - Góc Hương Thơm",'Raw Data - Sản phẩm'!$A:$A,"&gt;="&amp;DATE(2026,6,8),'Raw Data - Sản phẩm'!$A:$A,"&lt;="&amp;DATE(2026,7,7))</f>
        <v>158000</v>
      </c>
      <c r="D50" s="11" t="n">
        <f aca="false">IF(B50=0,0,C50/B50)</f>
        <v>1.35801832465233</v>
      </c>
      <c r="E50" s="12" t="n">
        <f aca="false">IF(B50=0,0,D50*(1-'Phí sàn theo shop'!$D$2))</f>
        <v>1.03696355872574</v>
      </c>
      <c r="F50" s="10" t="n">
        <f aca="false">SUMIFS('Raw Data - Sản phẩm'!$F:$F,'Raw Data - Sản phẩm'!$D:$D,"Tinh Dầu Thiên Nhiên Hương Trà Trắng Aroma Story Nguyên Chất – Xông Phòng, Thư Giãn, Ngủ Ngon 10ml",'Raw Data - Sản phẩm'!$B:$B,"Aroma Story - The Art Of Scent",'Raw Data - Sản phẩm'!$A:$A,"&gt;="&amp;DATE(2026,6,8),'Raw Data - Sản phẩm'!$A:$A,"&lt;="&amp;DATE(2026,7,7))</f>
        <v>0</v>
      </c>
      <c r="G50" s="10" t="n">
        <f aca="false">SUMIFS('Raw Data - Sản phẩm'!$G:$G,'Raw Data - Sản phẩm'!$D:$D,"Tinh Dầu Thiên Nhiên Hương Trà Trắng Aroma Story Nguyên Chất – Xông Phòng, Thư Giãn, Ngủ Ngon 10ml",'Raw Data - Sản phẩm'!$B:$B,"Aroma Story - The Art Of Scent",'Raw Data - Sản phẩm'!$A:$A,"&gt;="&amp;DATE(2026,6,8),'Raw Data - Sản phẩm'!$A:$A,"&lt;="&amp;DATE(2026,7,7))</f>
        <v>0</v>
      </c>
      <c r="H50" s="11" t="n">
        <f aca="false">IF(F50=0,0,G50/F50)</f>
        <v>0</v>
      </c>
      <c r="I50" s="12" t="n">
        <f aca="false">IF(F50=0,0,H50*(1-'Phí sàn theo shop'!$D$3))</f>
        <v>0</v>
      </c>
      <c r="J50" s="13" t="str">
        <f aca="false">IF(OR(B50=0,F50=0),IF(B50=0,"Chỉ TAOS có data",IF(F50=0,"Chỉ GHT có data","-")),IF(ABS(E50-I50)/MAX(E50,I50)&lt;0.03,"Ngang nhau -&gt; uu tien GHT",IF(E50&gt;I50,"Don ve GHT","Don ve TAOS")))</f>
        <v>Chỉ GHT có data</v>
      </c>
    </row>
    <row r="51" customFormat="false" ht="30" hidden="false" customHeight="true" outlineLevel="0" collapsed="false">
      <c r="A51" s="9" t="s">
        <v>39</v>
      </c>
      <c r="B51" s="10" t="n">
        <f aca="false">SUMIFS('Raw Data - Sản phẩm'!$F:$F,'Raw Data - Sản phẩm'!$D:$D,"Tinh Dầu Thiên Nhiên Nguyên Chất Aroma Story 10ml – Xông Phòng, Thư Giãn, Ngủ Ngon",'Raw Data - Sản phẩm'!$B:$B,"Aroma Story - Góc Hương Thơm",'Raw Data - Sản phẩm'!$A:$A,"&gt;="&amp;DATE(2026,6,8),'Raw Data - Sản phẩm'!$A:$A,"&lt;="&amp;DATE(2026,7,7))</f>
        <v>30508</v>
      </c>
      <c r="C51" s="10" t="n">
        <f aca="false">SUMIFS('Raw Data - Sản phẩm'!$G:$G,'Raw Data - Sản phẩm'!$D:$D,"Tinh Dầu Thiên Nhiên Nguyên Chất Aroma Story 10ml – Xông Phòng, Thư Giãn, Ngủ Ngon",'Raw Data - Sản phẩm'!$B:$B,"Aroma Story - Góc Hương Thơm",'Raw Data - Sản phẩm'!$A:$A,"&gt;="&amp;DATE(2026,6,8),'Raw Data - Sản phẩm'!$A:$A,"&lt;="&amp;DATE(2026,7,7))</f>
        <v>79000</v>
      </c>
      <c r="D51" s="11" t="n">
        <f aca="false">IF(B51=0,0,C51/B51)</f>
        <v>2.58948472531795</v>
      </c>
      <c r="E51" s="12" t="n">
        <f aca="false">IF(B51=0,0,D51*(1-'Phí sàn theo shop'!$D$2))</f>
        <v>1.97729386068417</v>
      </c>
      <c r="F51" s="10" t="n">
        <f aca="false">SUMIFS('Raw Data - Sản phẩm'!$F:$F,'Raw Data - Sản phẩm'!$D:$D,"Tinh Dầu Thiên Nhiên Nguyên Chất Aroma Story 10ml – Xông Phòng, Thư Giãn, Ngủ Ngon",'Raw Data - Sản phẩm'!$B:$B,"Aroma Story - The Art Of Scent",'Raw Data - Sản phẩm'!$A:$A,"&gt;="&amp;DATE(2026,6,8),'Raw Data - Sản phẩm'!$A:$A,"&lt;="&amp;DATE(2026,7,7))</f>
        <v>0</v>
      </c>
      <c r="G51" s="10" t="n">
        <f aca="false">SUMIFS('Raw Data - Sản phẩm'!$G:$G,'Raw Data - Sản phẩm'!$D:$D,"Tinh Dầu Thiên Nhiên Nguyên Chất Aroma Story 10ml – Xông Phòng, Thư Giãn, Ngủ Ngon",'Raw Data - Sản phẩm'!$B:$B,"Aroma Story - The Art Of Scent",'Raw Data - Sản phẩm'!$A:$A,"&gt;="&amp;DATE(2026,6,8),'Raw Data - Sản phẩm'!$A:$A,"&lt;="&amp;DATE(2026,7,7))</f>
        <v>0</v>
      </c>
      <c r="H51" s="11" t="n">
        <f aca="false">IF(F51=0,0,G51/F51)</f>
        <v>0</v>
      </c>
      <c r="I51" s="12" t="n">
        <f aca="false">IF(F51=0,0,H51*(1-'Phí sàn theo shop'!$D$3))</f>
        <v>0</v>
      </c>
      <c r="J51" s="13" t="str">
        <f aca="false">IF(OR(B51=0,F51=0),IF(B51=0,"Chỉ TAOS có data",IF(F51=0,"Chỉ GHT có data","-")),IF(ABS(E51-I51)/MAX(E51,I51)&lt;0.03,"Ngang nhau -&gt; uu tien GHT",IF(E51&gt;I51,"Don ve GHT","Don ve TAOS")))</f>
        <v>Chỉ GHT có data</v>
      </c>
    </row>
    <row r="52" customFormat="false" ht="30" hidden="false" customHeight="true" outlineLevel="0" collapsed="false">
      <c r="A52" s="9" t="s">
        <v>40</v>
      </c>
      <c r="B52" s="10" t="n">
        <f aca="false">SUMIFS('Raw Data - Sản phẩm'!$F:$F,'Raw Data - Sản phẩm'!$D:$D,"Tinh Dầu Thơm Xông Phòng Aroma Story 10ml – Hơn 20 Mùi Hương Thiên Nhiên, Thư Giãn &amp; Dễ Ngủ",'Raw Data - Sản phẩm'!$B:$B,"Aroma Story - Góc Hương Thơm",'Raw Data - Sản phẩm'!$A:$A,"&gt;="&amp;DATE(2026,6,8),'Raw Data - Sản phẩm'!$A:$A,"&lt;="&amp;DATE(2026,7,7))</f>
        <v>50424</v>
      </c>
      <c r="C52" s="10" t="n">
        <f aca="false">SUMIFS('Raw Data - Sản phẩm'!$G:$G,'Raw Data - Sản phẩm'!$D:$D,"Tinh Dầu Thơm Xông Phòng Aroma Story 10ml – Hơn 20 Mùi Hương Thiên Nhiên, Thư Giãn &amp; Dễ Ngủ",'Raw Data - Sản phẩm'!$B:$B,"Aroma Story - Góc Hương Thơm",'Raw Data - Sản phẩm'!$A:$A,"&gt;="&amp;DATE(2026,6,8),'Raw Data - Sản phẩm'!$A:$A,"&lt;="&amp;DATE(2026,7,7))</f>
        <v>79000</v>
      </c>
      <c r="D52" s="11" t="n">
        <f aca="false">IF(B52=0,0,C52/B52)</f>
        <v>1.56671426304934</v>
      </c>
      <c r="E52" s="12" t="n">
        <f aca="false">IF(B52=0,0,D52*(1-'Phí sàn theo shop'!$D$2))</f>
        <v>1.19632082146899</v>
      </c>
      <c r="F52" s="10" t="n">
        <f aca="false">SUMIFS('Raw Data - Sản phẩm'!$F:$F,'Raw Data - Sản phẩm'!$D:$D,"Tinh Dầu Thơm Xông Phòng Aroma Story 10ml – Hơn 20 Mùi Hương Thiên Nhiên, Thư Giãn &amp; Dễ Ngủ",'Raw Data - Sản phẩm'!$B:$B,"Aroma Story - The Art Of Scent",'Raw Data - Sản phẩm'!$A:$A,"&gt;="&amp;DATE(2026,6,8),'Raw Data - Sản phẩm'!$A:$A,"&lt;="&amp;DATE(2026,7,7))</f>
        <v>2772748</v>
      </c>
      <c r="G52" s="10" t="n">
        <f aca="false">SUMIFS('Raw Data - Sản phẩm'!$G:$G,'Raw Data - Sản phẩm'!$D:$D,"Tinh Dầu Thơm Xông Phòng Aroma Story 10ml – Hơn 20 Mùi Hương Thiên Nhiên, Thư Giãn &amp; Dễ Ngủ",'Raw Data - Sản phẩm'!$B:$B,"Aroma Story - The Art Of Scent",'Raw Data - Sản phẩm'!$A:$A,"&gt;="&amp;DATE(2026,6,8),'Raw Data - Sản phẩm'!$A:$A,"&lt;="&amp;DATE(2026,7,7))</f>
        <v>11769220</v>
      </c>
      <c r="H52" s="11" t="n">
        <f aca="false">IF(F52=0,0,G52/F52)</f>
        <v>4.24460499114958</v>
      </c>
      <c r="I52" s="12" t="n">
        <f aca="false">IF(F52=0,0,H52*(1-'Phí sàn theo shop'!$D$3))</f>
        <v>2.92499506896998</v>
      </c>
      <c r="J52" s="13" t="str">
        <f aca="false">IF(OR(B52=0,F52=0),IF(B52=0,"Chỉ TAOS có data",IF(F52=0,"Chỉ GHT có data","-")),IF(ABS(E52-I52)/MAX(E52,I52)&lt;0.03,"Ngang nhau -&gt; uu tien GHT",IF(E52&gt;I52,"Don ve GHT","Don ve TAOS")))</f>
        <v>Don ve TAOS</v>
      </c>
    </row>
    <row r="53" customFormat="false" ht="30" hidden="false" customHeight="true" outlineLevel="0" collapsed="false">
      <c r="A53" s="9" t="s">
        <v>41</v>
      </c>
      <c r="B53" s="10" t="n">
        <f aca="false">SUMIFS('Raw Data - Sản phẩm'!$F:$F,'Raw Data - Sản phẩm'!$D:$D,"Tinh Dầu Khuếch Tán Aroma Story Hương Trà Trắng Và Trái Sung True Grace Size 50ml/100ml/150ml",'Raw Data - Sản phẩm'!$B:$B,"Aroma Story - Góc Hương Thơm",'Raw Data - Sản phẩm'!$A:$A,"&gt;="&amp;DATE(2026,6,8),'Raw Data - Sản phẩm'!$A:$A,"&lt;="&amp;DATE(2026,7,7))</f>
        <v>989506</v>
      </c>
      <c r="C53" s="10" t="n">
        <f aca="false">SUMIFS('Raw Data - Sản phẩm'!$G:$G,'Raw Data - Sản phẩm'!$D:$D,"Tinh Dầu Khuếch Tán Aroma Story Hương Trà Trắng Và Trái Sung True Grace Size 50ml/100ml/150ml",'Raw Data - Sản phẩm'!$B:$B,"Aroma Story - Góc Hương Thơm",'Raw Data - Sản phẩm'!$A:$A,"&gt;="&amp;DATE(2026,6,8),'Raw Data - Sản phẩm'!$A:$A,"&lt;="&amp;DATE(2026,7,7))</f>
        <v>4811249</v>
      </c>
      <c r="D53" s="11" t="n">
        <f aca="false">IF(B53=0,0,C53/B53)</f>
        <v>4.86227370021</v>
      </c>
      <c r="E53" s="12" t="n">
        <f aca="false">IF(B53=0,0,D53*(1-'Phí sàn theo shop'!$D$2))</f>
        <v>3.71276333179021</v>
      </c>
      <c r="F53" s="10" t="n">
        <f aca="false">SUMIFS('Raw Data - Sản phẩm'!$F:$F,'Raw Data - Sản phẩm'!$D:$D,"Tinh Dầu Khuếch Tán Aroma Story Hương Trà Trắng Và Trái Sung True Grace Size 50ml/100ml/150ml",'Raw Data - Sản phẩm'!$B:$B,"Aroma Story - The Art Of Scent",'Raw Data - Sản phẩm'!$A:$A,"&gt;="&amp;DATE(2026,6,8),'Raw Data - Sản phẩm'!$A:$A,"&lt;="&amp;DATE(2026,7,7))</f>
        <v>3891613</v>
      </c>
      <c r="G53" s="10" t="n">
        <f aca="false">SUMIFS('Raw Data - Sản phẩm'!$G:$G,'Raw Data - Sản phẩm'!$D:$D,"Tinh Dầu Khuếch Tán Aroma Story Hương Trà Trắng Và Trái Sung True Grace Size 50ml/100ml/150ml",'Raw Data - Sản phẩm'!$B:$B,"Aroma Story - The Art Of Scent",'Raw Data - Sản phẩm'!$A:$A,"&gt;="&amp;DATE(2026,6,8),'Raw Data - Sản phẩm'!$A:$A,"&lt;="&amp;DATE(2026,7,7))</f>
        <v>21048718</v>
      </c>
      <c r="H53" s="11" t="n">
        <f aca="false">IF(F53=0,0,G53/F53)</f>
        <v>5.40873874149357</v>
      </c>
      <c r="I53" s="12" t="n">
        <f aca="false">IF(F53=0,0,H53*(1-'Phí sàn theo shop'!$D$3))</f>
        <v>3.72720999508859</v>
      </c>
      <c r="J53" s="13" t="str">
        <f aca="false">IF(OR(B53=0,F53=0),IF(B53=0,"Chỉ TAOS có data",IF(F53=0,"Chỉ GHT có data","-")),IF(ABS(E53-I53)/MAX(E53,I53)&lt;0.03,"Ngang nhau -&gt; uu tien GHT",IF(E53&gt;I53,"Don ve GHT","Don ve TAOS")))</f>
        <v>Ngang nhau -&gt; uu tien GHT</v>
      </c>
    </row>
    <row r="54" customFormat="false" ht="30" hidden="false" customHeight="true" outlineLevel="0" collapsed="false">
      <c r="A54" s="9" t="s">
        <v>42</v>
      </c>
      <c r="B54" s="10" t="n">
        <f aca="false">SUMIFS('Raw Data - Sản phẩm'!$F:$F,'Raw Data - Sản phẩm'!$D:$D,"Tinh Dầu Khuếch Tán Thơm Phòng Aroma Story Nhiều Hương Size 50ml/100ml",'Raw Data - Sản phẩm'!$B:$B,"Aroma Story - Góc Hương Thơm",'Raw Data - Sản phẩm'!$A:$A,"&gt;="&amp;DATE(2026,6,8),'Raw Data - Sản phẩm'!$A:$A,"&lt;="&amp;DATE(2026,7,7))</f>
        <v>0</v>
      </c>
      <c r="C54" s="10" t="n">
        <f aca="false">SUMIFS('Raw Data - Sản phẩm'!$G:$G,'Raw Data - Sản phẩm'!$D:$D,"Tinh Dầu Khuếch Tán Thơm Phòng Aroma Story Nhiều Hương Size 50ml/100ml",'Raw Data - Sản phẩm'!$B:$B,"Aroma Story - Góc Hương Thơm",'Raw Data - Sản phẩm'!$A:$A,"&gt;="&amp;DATE(2026,6,8),'Raw Data - Sản phẩm'!$A:$A,"&lt;="&amp;DATE(2026,7,7))</f>
        <v>0</v>
      </c>
      <c r="D54" s="11" t="n">
        <f aca="false">IF(B54=0,0,C54/B54)</f>
        <v>0</v>
      </c>
      <c r="E54" s="12" t="n">
        <f aca="false">IF(B54=0,0,D54*(1-'Phí sàn theo shop'!$D$2))</f>
        <v>0</v>
      </c>
      <c r="F54" s="10" t="n">
        <f aca="false">SUMIFS('Raw Data - Sản phẩm'!$F:$F,'Raw Data - Sản phẩm'!$D:$D,"Tinh Dầu Khuếch Tán Thơm Phòng Aroma Story Nhiều Hương Size 50ml/100ml",'Raw Data - Sản phẩm'!$B:$B,"Aroma Story - The Art Of Scent",'Raw Data - Sản phẩm'!$A:$A,"&gt;="&amp;DATE(2026,6,8),'Raw Data - Sản phẩm'!$A:$A,"&lt;="&amp;DATE(2026,7,7))</f>
        <v>17679336</v>
      </c>
      <c r="G54" s="10" t="n">
        <f aca="false">SUMIFS('Raw Data - Sản phẩm'!$G:$G,'Raw Data - Sản phẩm'!$D:$D,"Tinh Dầu Khuếch Tán Thơm Phòng Aroma Story Nhiều Hương Size 50ml/100ml",'Raw Data - Sản phẩm'!$B:$B,"Aroma Story - The Art Of Scent",'Raw Data - Sản phẩm'!$A:$A,"&gt;="&amp;DATE(2026,6,8),'Raw Data - Sản phẩm'!$A:$A,"&lt;="&amp;DATE(2026,7,7))</f>
        <v>93819339</v>
      </c>
      <c r="H54" s="11" t="n">
        <f aca="false">IF(F54=0,0,G54/F54)</f>
        <v>5.30672300136159</v>
      </c>
      <c r="I54" s="12" t="n">
        <f aca="false">IF(F54=0,0,H54*(1-'Phí sàn theo shop'!$D$3))</f>
        <v>3.65691004080178</v>
      </c>
      <c r="J54" s="13" t="str">
        <f aca="false">IF(OR(B54=0,F54=0),IF(B54=0,"Chỉ TAOS có data",IF(F54=0,"Chỉ GHT có data","-")),IF(ABS(E54-I54)/MAX(E54,I54)&lt;0.03,"Ngang nhau -&gt; uu tien GHT",IF(E54&gt;I54,"Don ve GHT","Don ve TAOS")))</f>
        <v>Chỉ TAOS có data</v>
      </c>
    </row>
    <row r="55" customFormat="false" ht="30" hidden="false" customHeight="true" outlineLevel="0" collapsed="false">
      <c r="A55" s="9" t="s">
        <v>43</v>
      </c>
      <c r="B55" s="10" t="n">
        <f aca="false">SUMIFS('Raw Data - Sản phẩm'!$F:$F,'Raw Data - Sản phẩm'!$D:$D,"Tinh Dầu Khuếch Tán Thơm Phòng Aroma Story Phiên Bản Đặc Biệt Size 50ml/100ml/150ml",'Raw Data - Sản phẩm'!$B:$B,"Aroma Story - Góc Hương Thơm",'Raw Data - Sản phẩm'!$A:$A,"&gt;="&amp;DATE(2026,6,8),'Raw Data - Sản phẩm'!$A:$A,"&lt;="&amp;DATE(2026,7,7))</f>
        <v>295158</v>
      </c>
      <c r="C55" s="10" t="n">
        <f aca="false">SUMIFS('Raw Data - Sản phẩm'!$G:$G,'Raw Data - Sản phẩm'!$D:$D,"Tinh Dầu Khuếch Tán Thơm Phòng Aroma Story Phiên Bản Đặc Biệt Size 50ml/100ml/150ml",'Raw Data - Sản phẩm'!$B:$B,"Aroma Story - Góc Hương Thơm",'Raw Data - Sản phẩm'!$A:$A,"&gt;="&amp;DATE(2026,6,8),'Raw Data - Sản phẩm'!$A:$A,"&lt;="&amp;DATE(2026,7,7))</f>
        <v>1591814</v>
      </c>
      <c r="D55" s="11" t="n">
        <f aca="false">IF(B55=0,0,C55/B55)</f>
        <v>5.39309115795608</v>
      </c>
      <c r="E55" s="12" t="n">
        <f aca="false">IF(B55=0,0,D55*(1-'Phí sàn theo shop'!$D$2))</f>
        <v>4.11808802441469</v>
      </c>
      <c r="F55" s="10" t="n">
        <f aca="false">SUMIFS('Raw Data - Sản phẩm'!$F:$F,'Raw Data - Sản phẩm'!$D:$D,"Tinh Dầu Khuếch Tán Thơm Phòng Aroma Story Phiên Bản Đặc Biệt Size 50ml/100ml/150ml",'Raw Data - Sản phẩm'!$B:$B,"Aroma Story - The Art Of Scent",'Raw Data - Sản phẩm'!$A:$A,"&gt;="&amp;DATE(2026,6,8),'Raw Data - Sản phẩm'!$A:$A,"&lt;="&amp;DATE(2026,7,7))</f>
        <v>0</v>
      </c>
      <c r="G55" s="10" t="n">
        <f aca="false">SUMIFS('Raw Data - Sản phẩm'!$G:$G,'Raw Data - Sản phẩm'!$D:$D,"Tinh Dầu Khuếch Tán Thơm Phòng Aroma Story Phiên Bản Đặc Biệt Size 50ml/100ml/150ml",'Raw Data - Sản phẩm'!$B:$B,"Aroma Story - The Art Of Scent",'Raw Data - Sản phẩm'!$A:$A,"&gt;="&amp;DATE(2026,6,8),'Raw Data - Sản phẩm'!$A:$A,"&lt;="&amp;DATE(2026,7,7))</f>
        <v>0</v>
      </c>
      <c r="H55" s="11" t="n">
        <f aca="false">IF(F55=0,0,G55/F55)</f>
        <v>0</v>
      </c>
      <c r="I55" s="12" t="n">
        <f aca="false">IF(F55=0,0,H55*(1-'Phí sàn theo shop'!$D$3))</f>
        <v>0</v>
      </c>
      <c r="J55" s="13" t="str">
        <f aca="false">IF(OR(B55=0,F55=0),IF(B55=0,"Chỉ TAOS có data",IF(F55=0,"Chỉ GHT có data","-")),IF(ABS(E55-I55)/MAX(E55,I55)&lt;0.03,"Ngang nhau -&gt; uu tien GHT",IF(E55&gt;I55,"Don ve GHT","Don ve TAOS")))</f>
        <v>Chỉ GHT có data</v>
      </c>
    </row>
    <row r="56" customFormat="false" ht="30" hidden="false" customHeight="true" outlineLevel="0" collapsed="false">
      <c r="A56" s="9" t="s">
        <v>44</v>
      </c>
      <c r="B56" s="10" t="n">
        <f aca="false">SUMIFS('Raw Data - Sản phẩm'!$F:$F,'Raw Data - Sản phẩm'!$D:$D,"Tinh Dầu Nước Hoa Thơm Phòng Cắm Que Khuếch Tán Aroma Story - Size 50ml/100ml",'Raw Data - Sản phẩm'!$B:$B,"Aroma Story - Góc Hương Thơm",'Raw Data - Sản phẩm'!$A:$A,"&gt;="&amp;DATE(2026,6,8),'Raw Data - Sản phẩm'!$A:$A,"&lt;="&amp;DATE(2026,7,7))</f>
        <v>16588073</v>
      </c>
      <c r="C56" s="10" t="n">
        <f aca="false">SUMIFS('Raw Data - Sản phẩm'!$G:$G,'Raw Data - Sản phẩm'!$D:$D,"Tinh Dầu Nước Hoa Thơm Phòng Cắm Que Khuếch Tán Aroma Story - Size 50ml/100ml",'Raw Data - Sản phẩm'!$B:$B,"Aroma Story - Góc Hương Thơm",'Raw Data - Sản phẩm'!$A:$A,"&gt;="&amp;DATE(2026,6,8),'Raw Data - Sản phẩm'!$A:$A,"&lt;="&amp;DATE(2026,7,7))</f>
        <v>84596205</v>
      </c>
      <c r="D56" s="11" t="n">
        <f aca="false">IF(B56=0,0,C56/B56)</f>
        <v>5.09982111846264</v>
      </c>
      <c r="E56" s="12" t="n">
        <f aca="false">IF(B56=0,0,D56*(1-'Phí sàn theo shop'!$D$2))</f>
        <v>3.89415117591995</v>
      </c>
      <c r="F56" s="10" t="n">
        <f aca="false">SUMIFS('Raw Data - Sản phẩm'!$F:$F,'Raw Data - Sản phẩm'!$D:$D,"Tinh Dầu Nước Hoa Thơm Phòng Cắm Que Khuếch Tán Aroma Story - Size 50ml/100ml",'Raw Data - Sản phẩm'!$B:$B,"Aroma Story - The Art Of Scent",'Raw Data - Sản phẩm'!$A:$A,"&gt;="&amp;DATE(2026,6,8),'Raw Data - Sản phẩm'!$A:$A,"&lt;="&amp;DATE(2026,7,7))</f>
        <v>111244</v>
      </c>
      <c r="G56" s="10" t="n">
        <f aca="false">SUMIFS('Raw Data - Sản phẩm'!$G:$G,'Raw Data - Sản phẩm'!$D:$D,"Tinh Dầu Nước Hoa Thơm Phòng Cắm Que Khuếch Tán Aroma Story - Size 50ml/100ml",'Raw Data - Sản phẩm'!$B:$B,"Aroma Story - The Art Of Scent",'Raw Data - Sản phẩm'!$A:$A,"&gt;="&amp;DATE(2026,6,8),'Raw Data - Sản phẩm'!$A:$A,"&lt;="&amp;DATE(2026,7,7))</f>
        <v>0</v>
      </c>
      <c r="H56" s="11" t="n">
        <f aca="false">IF(F56=0,0,G56/F56)</f>
        <v>0</v>
      </c>
      <c r="I56" s="12" t="n">
        <f aca="false">IF(F56=0,0,H56*(1-'Phí sàn theo shop'!$D$3))</f>
        <v>0</v>
      </c>
      <c r="J56" s="13" t="str">
        <f aca="false">IF(OR(B56=0,F56=0),IF(B56=0,"Chỉ TAOS có data",IF(F56=0,"Chỉ GHT có data","-")),IF(ABS(E56-I56)/MAX(E56,I56)&lt;0.03,"Ngang nhau -&gt; uu tien GHT",IF(E56&gt;I56,"Don ve GHT","Don ve TAOS")))</f>
        <v>Don ve GHT</v>
      </c>
    </row>
    <row r="57" customFormat="false" ht="30" hidden="false" customHeight="true" outlineLevel="0" collapsed="false">
      <c r="A57" s="9" t="s">
        <v>45</v>
      </c>
      <c r="B57" s="10" t="n">
        <f aca="false">SUMIFS('Raw Data - Sản phẩm'!$F:$F,'Raw Data - Sản phẩm'!$D:$D,"Xịt Thơm Phòng, Quần Áo, Ô Tô Aroma Story – Khử Mùi, Lưu Hương Lâu, Nhiều Hương Size 200ml",'Raw Data - Sản phẩm'!$B:$B,"Aroma Story - Góc Hương Thơm",'Raw Data - Sản phẩm'!$A:$A,"&gt;="&amp;DATE(2026,6,8),'Raw Data - Sản phẩm'!$A:$A,"&lt;="&amp;DATE(2026,7,7))</f>
        <v>1142913</v>
      </c>
      <c r="C57" s="10" t="n">
        <f aca="false">SUMIFS('Raw Data - Sản phẩm'!$G:$G,'Raw Data - Sản phẩm'!$D:$D,"Xịt Thơm Phòng, Quần Áo, Ô Tô Aroma Story – Khử Mùi, Lưu Hương Lâu, Nhiều Hương Size 200ml",'Raw Data - Sản phẩm'!$B:$B,"Aroma Story - Góc Hương Thơm",'Raw Data - Sản phẩm'!$A:$A,"&gt;="&amp;DATE(2026,6,8),'Raw Data - Sản phẩm'!$A:$A,"&lt;="&amp;DATE(2026,7,7))</f>
        <v>4681547</v>
      </c>
      <c r="D57" s="11" t="n">
        <f aca="false">IF(B57=0,0,C57/B57)</f>
        <v>4.09615342550133</v>
      </c>
      <c r="E57" s="12" t="n">
        <f aca="false">IF(B57=0,0,D57*(1-'Phí sàn theo shop'!$D$2))</f>
        <v>3.12776474079017</v>
      </c>
      <c r="F57" s="10" t="n">
        <f aca="false">SUMIFS('Raw Data - Sản phẩm'!$F:$F,'Raw Data - Sản phẩm'!$D:$D,"Xịt Thơm Phòng, Quần Áo, Ô Tô Aroma Story – Khử Mùi, Lưu Hương Lâu, Nhiều Hương Size 200ml",'Raw Data - Sản phẩm'!$B:$B,"Aroma Story - The Art Of Scent",'Raw Data - Sản phẩm'!$A:$A,"&gt;="&amp;DATE(2026,6,8),'Raw Data - Sản phẩm'!$A:$A,"&lt;="&amp;DATE(2026,7,7))</f>
        <v>0</v>
      </c>
      <c r="G57" s="10" t="n">
        <f aca="false">SUMIFS('Raw Data - Sản phẩm'!$G:$G,'Raw Data - Sản phẩm'!$D:$D,"Xịt Thơm Phòng, Quần Áo, Ô Tô Aroma Story – Khử Mùi, Lưu Hương Lâu, Nhiều Hương Size 200ml",'Raw Data - Sản phẩm'!$B:$B,"Aroma Story - The Art Of Scent",'Raw Data - Sản phẩm'!$A:$A,"&gt;="&amp;DATE(2026,6,8),'Raw Data - Sản phẩm'!$A:$A,"&lt;="&amp;DATE(2026,7,7))</f>
        <v>0</v>
      </c>
      <c r="H57" s="11" t="n">
        <f aca="false">IF(F57=0,0,G57/F57)</f>
        <v>0</v>
      </c>
      <c r="I57" s="12" t="n">
        <f aca="false">IF(F57=0,0,H57*(1-'Phí sàn theo shop'!$D$3))</f>
        <v>0</v>
      </c>
      <c r="J57" s="13" t="str">
        <f aca="false">IF(OR(B57=0,F57=0),IF(B57=0,"Chỉ TAOS có data",IF(F57=0,"Chỉ GHT có data","-")),IF(ABS(E57-I57)/MAX(E57,I57)&lt;0.03,"Ngang nhau -&gt; uu tien GHT",IF(E57&gt;I57,"Don ve GHT","Don ve TAOS")))</f>
        <v>Chỉ GHT có data</v>
      </c>
    </row>
    <row r="58" customFormat="false" ht="18" hidden="false" customHeight="true" outlineLevel="0" collapsed="false">
      <c r="A58" s="14" t="s">
        <v>17</v>
      </c>
      <c r="B58" s="15" t="n">
        <f aca="false">SUMIFS('Raw Data - Sản phẩm'!$F:$F,'Raw Data - Sản phẩm'!$B:$B,"Aroma Story - Góc Hương Thơm",'Raw Data - Sản phẩm'!$A:$A,"&gt;="&amp;DATE(2026,6,8),'Raw Data - Sản phẩm'!$A:$A,"&lt;="&amp;DATE(2026,7,7))</f>
        <v>33438839</v>
      </c>
      <c r="C58" s="15" t="n">
        <f aca="false">SUMIFS('Raw Data - Sản phẩm'!$G:$G,'Raw Data - Sản phẩm'!$B:$B,"Aroma Story - Góc Hương Thơm",'Raw Data - Sản phẩm'!$A:$A,"&gt;="&amp;DATE(2026,6,8),'Raw Data - Sản phẩm'!$A:$A,"&lt;="&amp;DATE(2026,7,7))</f>
        <v>156194688</v>
      </c>
      <c r="D58" s="16" t="n">
        <f aca="false">IF(B58=0,0,C58/B58)</f>
        <v>4.67105595382663</v>
      </c>
      <c r="E58" s="16" t="n">
        <f aca="false">IF(B58=0,0,D58*(1-'Phí sàn theo shop'!$D$2))</f>
        <v>3.56675216892023</v>
      </c>
      <c r="F58" s="15" t="n">
        <f aca="false">SUMIFS('Raw Data - Sản phẩm'!$F:$F,'Raw Data - Sản phẩm'!$B:$B,"Aroma Story - The Art Of Scent",'Raw Data - Sản phẩm'!$A:$A,"&gt;="&amp;DATE(2026,6,8),'Raw Data - Sản phẩm'!$A:$A,"&lt;="&amp;DATE(2026,7,7))</f>
        <v>46031444</v>
      </c>
      <c r="G58" s="15" t="n">
        <f aca="false">SUMIFS('Raw Data - Sản phẩm'!$G:$G,'Raw Data - Sản phẩm'!$B:$B,"Aroma Story - The Art Of Scent",'Raw Data - Sản phẩm'!$A:$A,"&gt;="&amp;DATE(2026,6,8),'Raw Data - Sản phẩm'!$A:$A,"&lt;="&amp;DATE(2026,7,7))</f>
        <v>231871213</v>
      </c>
      <c r="H58" s="16" t="n">
        <f aca="false">IF(F58=0,0,G58/F58)</f>
        <v>5.03723526465952</v>
      </c>
      <c r="I58" s="16" t="n">
        <f aca="false">IF(F58=0,0,H58*(1-'Phí sàn theo shop'!$D$3))</f>
        <v>3.47120364347034</v>
      </c>
      <c r="J58" s="17"/>
    </row>
    <row r="60" customFormat="false" ht="15" hidden="false" customHeight="false" outlineLevel="0" collapsed="false">
      <c r="A60" s="3" t="s">
        <v>19</v>
      </c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8" hidden="false" customHeight="true" outlineLevel="0" collapsed="false">
      <c r="A61" s="4" t="s">
        <v>22</v>
      </c>
      <c r="B61" s="5" t="s">
        <v>4</v>
      </c>
      <c r="C61" s="5"/>
      <c r="D61" s="5"/>
      <c r="E61" s="5"/>
      <c r="F61" s="6" t="s">
        <v>5</v>
      </c>
      <c r="G61" s="6"/>
      <c r="H61" s="6"/>
      <c r="I61" s="6"/>
      <c r="J61" s="4" t="s">
        <v>6</v>
      </c>
    </row>
    <row r="62" customFormat="false" ht="25.5" hidden="false" customHeight="true" outlineLevel="0" collapsed="false">
      <c r="A62" s="4"/>
      <c r="B62" s="7" t="s">
        <v>7</v>
      </c>
      <c r="C62" s="7" t="s">
        <v>8</v>
      </c>
      <c r="D62" s="7" t="s">
        <v>9</v>
      </c>
      <c r="E62" s="7" t="s">
        <v>10</v>
      </c>
      <c r="F62" s="8" t="s">
        <v>7</v>
      </c>
      <c r="G62" s="8" t="s">
        <v>8</v>
      </c>
      <c r="H62" s="8" t="s">
        <v>9</v>
      </c>
      <c r="I62" s="8" t="s">
        <v>10</v>
      </c>
      <c r="J62" s="4"/>
    </row>
    <row r="63" customFormat="false" ht="30" hidden="false" customHeight="true" outlineLevel="0" collapsed="false">
      <c r="A63" s="9" t="s">
        <v>23</v>
      </c>
      <c r="B63" s="10" t="n">
        <f aca="false">SUMIFS('Raw Data - Sản phẩm'!$F:$F,'Raw Data - Sản phẩm'!$D:$D,"Bộ Sản Phẩm Tinh Dầu Cà Phê &amp; Lọ Tán Hương Aroma Story – Hương Thơm Tự Nhiên, Giúp Tập Trung &amp; Thư Giãn",'Raw Data - Sản phẩm'!$B:$B,"Aroma Story - Góc Hương Thơm",'Raw Data - Sản phẩm'!$A:$A,"&gt;="&amp;DATE(2026,4,9),'Raw Data - Sản phẩm'!$A:$A,"&lt;="&amp;DATE(2026,7,7))</f>
        <v>411640</v>
      </c>
      <c r="C63" s="10" t="n">
        <f aca="false">SUMIFS('Raw Data - Sản phẩm'!$G:$G,'Raw Data - Sản phẩm'!$D:$D,"Bộ Sản Phẩm Tinh Dầu Cà Phê &amp; Lọ Tán Hương Aroma Story – Hương Thơm Tự Nhiên, Giúp Tập Trung &amp; Thư Giãn",'Raw Data - Sản phẩm'!$B:$B,"Aroma Story - Góc Hương Thơm",'Raw Data - Sản phẩm'!$A:$A,"&gt;="&amp;DATE(2026,4,9),'Raw Data - Sản phẩm'!$A:$A,"&lt;="&amp;DATE(2026,7,7))</f>
        <v>1291534</v>
      </c>
      <c r="D63" s="11" t="n">
        <f aca="false">IF(B63=0,0,C63/B63)</f>
        <v>3.13753279564668</v>
      </c>
      <c r="E63" s="12" t="n">
        <f aca="false">IF(B63=0,0,D63*(1-'Phí sàn theo shop'!$D$2))</f>
        <v>2.39577560503497</v>
      </c>
      <c r="F63" s="10" t="n">
        <f aca="false">SUMIFS('Raw Data - Sản phẩm'!$F:$F,'Raw Data - Sản phẩm'!$D:$D,"Bộ Sản Phẩm Tinh Dầu Cà Phê &amp; Lọ Tán Hương Aroma Story – Hương Thơm Tự Nhiên, Giúp Tập Trung &amp; Thư Giãn",'Raw Data - Sản phẩm'!$B:$B,"Aroma Story - The Art Of Scent",'Raw Data - Sản phẩm'!$A:$A,"&gt;="&amp;DATE(2026,4,9),'Raw Data - Sản phẩm'!$A:$A,"&lt;="&amp;DATE(2026,7,7))</f>
        <v>0</v>
      </c>
      <c r="G63" s="10" t="n">
        <f aca="false">SUMIFS('Raw Data - Sản phẩm'!$G:$G,'Raw Data - Sản phẩm'!$D:$D,"Bộ Sản Phẩm Tinh Dầu Cà Phê &amp; Lọ Tán Hương Aroma Story – Hương Thơm Tự Nhiên, Giúp Tập Trung &amp; Thư Giãn",'Raw Data - Sản phẩm'!$B:$B,"Aroma Story - The Art Of Scent",'Raw Data - Sản phẩm'!$A:$A,"&gt;="&amp;DATE(2026,4,9),'Raw Data - Sản phẩm'!$A:$A,"&lt;="&amp;DATE(2026,7,7))</f>
        <v>0</v>
      </c>
      <c r="H63" s="11" t="n">
        <f aca="false">IF(F63=0,0,G63/F63)</f>
        <v>0</v>
      </c>
      <c r="I63" s="12" t="n">
        <f aca="false">IF(F63=0,0,H63*(1-'Phí sàn theo shop'!$D$3))</f>
        <v>0</v>
      </c>
      <c r="J63" s="13" t="str">
        <f aca="false">IF(OR(B63=0,F63=0),IF(B63=0,"Chỉ TAOS có data",IF(F63=0,"Chỉ GHT có data","-")),IF(ABS(E63-I63)/MAX(E63,I63)&lt;0.03,"Ngang nhau -&gt; uu tien GHT",IF(E63&gt;I63,"Don ve GHT","Don ve TAOS")))</f>
        <v>Chỉ GHT có data</v>
      </c>
    </row>
    <row r="64" customFormat="false" ht="30" hidden="false" customHeight="true" outlineLevel="0" collapsed="false">
      <c r="A64" s="9" t="s">
        <v>24</v>
      </c>
      <c r="B64" s="10" t="n">
        <f aca="false">SUMIFS('Raw Data - Sản phẩm'!$F:$F,'Raw Data - Sản phẩm'!$D:$D,"BST Nước Hoa Nam Aroma Story EDP 30ml – Hương Thơm Nam Tính, Cuốn Hút",'Raw Data - Sản phẩm'!$B:$B,"Aroma Story - Góc Hương Thơm",'Raw Data - Sản phẩm'!$A:$A,"&gt;="&amp;DATE(2026,4,9),'Raw Data - Sản phẩm'!$A:$A,"&lt;="&amp;DATE(2026,7,7))</f>
        <v>603543</v>
      </c>
      <c r="C64" s="10" t="n">
        <f aca="false">SUMIFS('Raw Data - Sản phẩm'!$G:$G,'Raw Data - Sản phẩm'!$D:$D,"BST Nước Hoa Nam Aroma Story EDP 30ml – Hương Thơm Nam Tính, Cuốn Hút",'Raw Data - Sản phẩm'!$B:$B,"Aroma Story - Góc Hương Thơm",'Raw Data - Sản phẩm'!$A:$A,"&gt;="&amp;DATE(2026,4,9),'Raw Data - Sản phẩm'!$A:$A,"&lt;="&amp;DATE(2026,7,7))</f>
        <v>2415284</v>
      </c>
      <c r="D64" s="11" t="n">
        <f aca="false">IF(B64=0,0,C64/B64)</f>
        <v>4.00184245364456</v>
      </c>
      <c r="E64" s="12" t="n">
        <f aca="false">IF(B64=0,0,D64*(1-'Phí sàn theo shop'!$D$2))</f>
        <v>3.055750218432</v>
      </c>
      <c r="F64" s="10" t="n">
        <f aca="false">SUMIFS('Raw Data - Sản phẩm'!$F:$F,'Raw Data - Sản phẩm'!$D:$D,"BST Nước Hoa Nam Aroma Story EDP 30ml – Hương Thơm Nam Tính, Cuốn Hút",'Raw Data - Sản phẩm'!$B:$B,"Aroma Story - The Art Of Scent",'Raw Data - Sản phẩm'!$A:$A,"&gt;="&amp;DATE(2026,4,9),'Raw Data - Sản phẩm'!$A:$A,"&lt;="&amp;DATE(2026,7,7))</f>
        <v>0</v>
      </c>
      <c r="G64" s="10" t="n">
        <f aca="false">SUMIFS('Raw Data - Sản phẩm'!$G:$G,'Raw Data - Sản phẩm'!$D:$D,"BST Nước Hoa Nam Aroma Story EDP 30ml – Hương Thơm Nam Tính, Cuốn Hút",'Raw Data - Sản phẩm'!$B:$B,"Aroma Story - The Art Of Scent",'Raw Data - Sản phẩm'!$A:$A,"&gt;="&amp;DATE(2026,4,9),'Raw Data - Sản phẩm'!$A:$A,"&lt;="&amp;DATE(2026,7,7))</f>
        <v>0</v>
      </c>
      <c r="H64" s="11" t="n">
        <f aca="false">IF(F64=0,0,G64/F64)</f>
        <v>0</v>
      </c>
      <c r="I64" s="12" t="n">
        <f aca="false">IF(F64=0,0,H64*(1-'Phí sàn theo shop'!$D$3))</f>
        <v>0</v>
      </c>
      <c r="J64" s="13" t="str">
        <f aca="false">IF(OR(B64=0,F64=0),IF(B64=0,"Chỉ TAOS có data",IF(F64=0,"Chỉ GHT có data","-")),IF(ABS(E64-I64)/MAX(E64,I64)&lt;0.03,"Ngang nhau -&gt; uu tien GHT",IF(E64&gt;I64,"Don ve GHT","Don ve TAOS")))</f>
        <v>Chỉ GHT có data</v>
      </c>
    </row>
    <row r="65" customFormat="false" ht="30" hidden="false" customHeight="true" outlineLevel="0" collapsed="false">
      <c r="A65" s="9" t="s">
        <v>25</v>
      </c>
      <c r="B65" s="10" t="n">
        <f aca="false">SUMIFS('Raw Data - Sản phẩm'!$F:$F,'Raw Data - Sản phẩm'!$D:$D,"BST Nước Hoa Nữ Aroma Story EDP 30ml – Hương Thơm, Nữ Tính, Thanh Lịch",'Raw Data - Sản phẩm'!$B:$B,"Aroma Story - Góc Hương Thơm",'Raw Data - Sản phẩm'!$A:$A,"&gt;="&amp;DATE(2026,4,9),'Raw Data - Sản phẩm'!$A:$A,"&lt;="&amp;DATE(2026,7,7))</f>
        <v>450993</v>
      </c>
      <c r="C65" s="10" t="n">
        <f aca="false">SUMIFS('Raw Data - Sản phẩm'!$G:$G,'Raw Data - Sản phẩm'!$D:$D,"BST Nước Hoa Nữ Aroma Story EDP 30ml – Hương Thơm, Nữ Tính, Thanh Lịch",'Raw Data - Sản phẩm'!$B:$B,"Aroma Story - Góc Hương Thơm",'Raw Data - Sản phẩm'!$A:$A,"&gt;="&amp;DATE(2026,4,9),'Raw Data - Sản phẩm'!$A:$A,"&lt;="&amp;DATE(2026,7,7))</f>
        <v>1440800</v>
      </c>
      <c r="D65" s="11" t="n">
        <f aca="false">IF(B65=0,0,C65/B65)</f>
        <v>3.19472807781939</v>
      </c>
      <c r="E65" s="12" t="n">
        <f aca="false">IF(B65=0,0,D65*(1-'Phí sàn theo shop'!$D$2))</f>
        <v>2.43944911242988</v>
      </c>
      <c r="F65" s="10" t="n">
        <f aca="false">SUMIFS('Raw Data - Sản phẩm'!$F:$F,'Raw Data - Sản phẩm'!$D:$D,"BST Nước Hoa Nữ Aroma Story EDP 30ml – Hương Thơm, Nữ Tính, Thanh Lịch",'Raw Data - Sản phẩm'!$B:$B,"Aroma Story - The Art Of Scent",'Raw Data - Sản phẩm'!$A:$A,"&gt;="&amp;DATE(2026,4,9),'Raw Data - Sản phẩm'!$A:$A,"&lt;="&amp;DATE(2026,7,7))</f>
        <v>0</v>
      </c>
      <c r="G65" s="10" t="n">
        <f aca="false">SUMIFS('Raw Data - Sản phẩm'!$G:$G,'Raw Data - Sản phẩm'!$D:$D,"BST Nước Hoa Nữ Aroma Story EDP 30ml – Hương Thơm, Nữ Tính, Thanh Lịch",'Raw Data - Sản phẩm'!$B:$B,"Aroma Story - The Art Of Scent",'Raw Data - Sản phẩm'!$A:$A,"&gt;="&amp;DATE(2026,4,9),'Raw Data - Sản phẩm'!$A:$A,"&lt;="&amp;DATE(2026,7,7))</f>
        <v>0</v>
      </c>
      <c r="H65" s="11" t="n">
        <f aca="false">IF(F65=0,0,G65/F65)</f>
        <v>0</v>
      </c>
      <c r="I65" s="12" t="n">
        <f aca="false">IF(F65=0,0,H65*(1-'Phí sàn theo shop'!$D$3))</f>
        <v>0</v>
      </c>
      <c r="J65" s="13" t="str">
        <f aca="false">IF(OR(B65=0,F65=0),IF(B65=0,"Chỉ TAOS có data",IF(F65=0,"Chỉ GHT có data","-")),IF(ABS(E65-I65)/MAX(E65,I65)&lt;0.03,"Ngang nhau -&gt; uu tien GHT",IF(E65&gt;I65,"Don ve GHT","Don ve TAOS")))</f>
        <v>Chỉ GHT có data</v>
      </c>
    </row>
    <row r="66" customFormat="false" ht="30" hidden="false" customHeight="true" outlineLevel="0" collapsed="false">
      <c r="A66" s="9" t="s">
        <v>26</v>
      </c>
      <c r="B66" s="10" t="n">
        <f aca="false">SUMIFS('Raw Data - Sản phẩm'!$F:$F,'Raw Data - Sản phẩm'!$D:$D,"Nước Hoa Nữ Very Good Girl Aroma Story EDP 30ml – Hương Hoa Ngọt Ngào, Quyến Rũ",'Raw Data - Sản phẩm'!$B:$B,"Aroma Story - Góc Hương Thơm",'Raw Data - Sản phẩm'!$A:$A,"&gt;="&amp;DATE(2026,4,9),'Raw Data - Sản phẩm'!$A:$A,"&lt;="&amp;DATE(2026,7,7))</f>
        <v>187434</v>
      </c>
      <c r="C66" s="10" t="n">
        <f aca="false">SUMIFS('Raw Data - Sản phẩm'!$G:$G,'Raw Data - Sản phẩm'!$D:$D,"Nước Hoa Nữ Very Good Girl Aroma Story EDP 30ml – Hương Hoa Ngọt Ngào, Quyến Rũ",'Raw Data - Sản phẩm'!$B:$B,"Aroma Story - Góc Hương Thơm",'Raw Data - Sản phẩm'!$A:$A,"&gt;="&amp;DATE(2026,4,9),'Raw Data - Sản phẩm'!$A:$A,"&lt;="&amp;DATE(2026,7,7))</f>
        <v>269441</v>
      </c>
      <c r="D66" s="11" t="n">
        <f aca="false">IF(B66=0,0,C66/B66)</f>
        <v>1.43752467535239</v>
      </c>
      <c r="E66" s="12" t="n">
        <f aca="false">IF(B66=0,0,D66*(1-'Phí sàn theo shop'!$D$2))</f>
        <v>1.09767348205048</v>
      </c>
      <c r="F66" s="10" t="n">
        <f aca="false">SUMIFS('Raw Data - Sản phẩm'!$F:$F,'Raw Data - Sản phẩm'!$D:$D,"Nước Hoa Nữ Very Good Girl Aroma Story EDP 30ml – Hương Hoa Ngọt Ngào, Quyến Rũ",'Raw Data - Sản phẩm'!$B:$B,"Aroma Story - The Art Of Scent",'Raw Data - Sản phẩm'!$A:$A,"&gt;="&amp;DATE(2026,4,9),'Raw Data - Sản phẩm'!$A:$A,"&lt;="&amp;DATE(2026,7,7))</f>
        <v>0</v>
      </c>
      <c r="G66" s="10" t="n">
        <f aca="false">SUMIFS('Raw Data - Sản phẩm'!$G:$G,'Raw Data - Sản phẩm'!$D:$D,"Nước Hoa Nữ Very Good Girl Aroma Story EDP 30ml – Hương Hoa Ngọt Ngào, Quyến Rũ",'Raw Data - Sản phẩm'!$B:$B,"Aroma Story - The Art Of Scent",'Raw Data - Sản phẩm'!$A:$A,"&gt;="&amp;DATE(2026,4,9),'Raw Data - Sản phẩm'!$A:$A,"&lt;="&amp;DATE(2026,7,7))</f>
        <v>0</v>
      </c>
      <c r="H66" s="11" t="n">
        <f aca="false">IF(F66=0,0,G66/F66)</f>
        <v>0</v>
      </c>
      <c r="I66" s="12" t="n">
        <f aca="false">IF(F66=0,0,H66*(1-'Phí sàn theo shop'!$D$3))</f>
        <v>0</v>
      </c>
      <c r="J66" s="13" t="str">
        <f aca="false">IF(OR(B66=0,F66=0),IF(B66=0,"Chỉ TAOS có data",IF(F66=0,"Chỉ GHT có data","-")),IF(ABS(E66-I66)/MAX(E66,I66)&lt;0.03,"Ngang nhau -&gt; uu tien GHT",IF(E66&gt;I66,"Don ve GHT","Don ve TAOS")))</f>
        <v>Chỉ GHT có data</v>
      </c>
    </row>
    <row r="67" customFormat="false" ht="30" hidden="false" customHeight="true" outlineLevel="0" collapsed="false">
      <c r="A67" s="9" t="s">
        <v>27</v>
      </c>
      <c r="B67" s="10" t="n">
        <f aca="false">SUMIFS('Raw Data - Sản phẩm'!$F:$F,'Raw Data - Sản phẩm'!$D:$D,"Nước Hoa Tóc Aroma Story Giúp Thơm Mượt Tóc, Tránh Bết, Khử Mùi, Size 10ml/100ml",'Raw Data - Sản phẩm'!$B:$B,"Aroma Story - Góc Hương Thơm",'Raw Data - Sản phẩm'!$A:$A,"&gt;="&amp;DATE(2026,4,9),'Raw Data - Sản phẩm'!$A:$A,"&lt;="&amp;DATE(2026,7,7))</f>
        <v>1746068</v>
      </c>
      <c r="C67" s="10" t="n">
        <f aca="false">SUMIFS('Raw Data - Sản phẩm'!$G:$G,'Raw Data - Sản phẩm'!$D:$D,"Nước Hoa Tóc Aroma Story Giúp Thơm Mượt Tóc, Tránh Bết, Khử Mùi, Size 10ml/100ml",'Raw Data - Sản phẩm'!$B:$B,"Aroma Story - Góc Hương Thơm",'Raw Data - Sản phẩm'!$A:$A,"&gt;="&amp;DATE(2026,4,9),'Raw Data - Sản phẩm'!$A:$A,"&lt;="&amp;DATE(2026,7,7))</f>
        <v>7760519</v>
      </c>
      <c r="D67" s="11" t="n">
        <f aca="false">IF(B67=0,0,C67/B67)</f>
        <v>4.44456859641205</v>
      </c>
      <c r="E67" s="12" t="n">
        <f aca="false">IF(B67=0,0,D67*(1-'Phí sàn theo shop'!$D$2))</f>
        <v>3.39380963059982</v>
      </c>
      <c r="F67" s="10" t="n">
        <f aca="false">SUMIFS('Raw Data - Sản phẩm'!$F:$F,'Raw Data - Sản phẩm'!$D:$D,"Nước Hoa Tóc Aroma Story Giúp Thơm Mượt Tóc, Tránh Bết, Khử Mùi, Size 10ml/100ml",'Raw Data - Sản phẩm'!$B:$B,"Aroma Story - The Art Of Scent",'Raw Data - Sản phẩm'!$A:$A,"&gt;="&amp;DATE(2026,4,9),'Raw Data - Sản phẩm'!$A:$A,"&lt;="&amp;DATE(2026,7,7))</f>
        <v>0</v>
      </c>
      <c r="G67" s="10" t="n">
        <f aca="false">SUMIFS('Raw Data - Sản phẩm'!$G:$G,'Raw Data - Sản phẩm'!$D:$D,"Nước Hoa Tóc Aroma Story Giúp Thơm Mượt Tóc, Tránh Bết, Khử Mùi, Size 10ml/100ml",'Raw Data - Sản phẩm'!$B:$B,"Aroma Story - The Art Of Scent",'Raw Data - Sản phẩm'!$A:$A,"&gt;="&amp;DATE(2026,4,9),'Raw Data - Sản phẩm'!$A:$A,"&lt;="&amp;DATE(2026,7,7))</f>
        <v>0</v>
      </c>
      <c r="H67" s="11" t="n">
        <f aca="false">IF(F67=0,0,G67/F67)</f>
        <v>0</v>
      </c>
      <c r="I67" s="12" t="n">
        <f aca="false">IF(F67=0,0,H67*(1-'Phí sàn theo shop'!$D$3))</f>
        <v>0</v>
      </c>
      <c r="J67" s="13" t="str">
        <f aca="false">IF(OR(B67=0,F67=0),IF(B67=0,"Chỉ TAOS có data",IF(F67=0,"Chỉ GHT có data","-")),IF(ABS(E67-I67)/MAX(E67,I67)&lt;0.03,"Ngang nhau -&gt; uu tien GHT",IF(E67&gt;I67,"Don ve GHT","Don ve TAOS")))</f>
        <v>Chỉ GHT có data</v>
      </c>
    </row>
    <row r="68" customFormat="false" ht="30" hidden="false" customHeight="true" outlineLevel="0" collapsed="false">
      <c r="A68" s="9" t="s">
        <v>28</v>
      </c>
      <c r="B68" s="10" t="n">
        <f aca="false">SUMIFS('Raw Data - Sản phẩm'!$F:$F,'Raw Data - Sản phẩm'!$D:$D,"Xịt Thơm Phòng, Quấn Áo Trà Trắng &amp; Sung Aroma Story, Nước Hoa Xịt Thơm Size 200ml",'Raw Data - Sản phẩm'!$B:$B,"Aroma Story - Góc Hương Thơm",'Raw Data - Sản phẩm'!$A:$A,"&gt;="&amp;DATE(2026,4,9),'Raw Data - Sản phẩm'!$A:$A,"&lt;="&amp;DATE(2026,7,7))</f>
        <v>2749389</v>
      </c>
      <c r="C68" s="10" t="n">
        <f aca="false">SUMIFS('Raw Data - Sản phẩm'!$G:$G,'Raw Data - Sản phẩm'!$D:$D,"Xịt Thơm Phòng, Quấn Áo Trà Trắng &amp; Sung Aroma Story, Nước Hoa Xịt Thơm Size 200ml",'Raw Data - Sản phẩm'!$B:$B,"Aroma Story - Góc Hương Thơm",'Raw Data - Sản phẩm'!$A:$A,"&gt;="&amp;DATE(2026,4,9),'Raw Data - Sản phẩm'!$A:$A,"&lt;="&amp;DATE(2026,7,7))</f>
        <v>10378505</v>
      </c>
      <c r="D68" s="11" t="n">
        <f aca="false">IF(B68=0,0,C68/B68)</f>
        <v>3.7748405191117</v>
      </c>
      <c r="E68" s="12" t="n">
        <f aca="false">IF(B68=0,0,D68*(1-'Phí sàn theo shop'!$D$2))</f>
        <v>2.88241475631216</v>
      </c>
      <c r="F68" s="10" t="n">
        <f aca="false">SUMIFS('Raw Data - Sản phẩm'!$F:$F,'Raw Data - Sản phẩm'!$D:$D,"Xịt Thơm Phòng, Quấn Áo Trà Trắng &amp; Sung Aroma Story, Nước Hoa Xịt Thơm Size 200ml",'Raw Data - Sản phẩm'!$B:$B,"Aroma Story - The Art Of Scent",'Raw Data - Sản phẩm'!$A:$A,"&gt;="&amp;DATE(2026,4,9),'Raw Data - Sản phẩm'!$A:$A,"&lt;="&amp;DATE(2026,7,7))</f>
        <v>0</v>
      </c>
      <c r="G68" s="10" t="n">
        <f aca="false">SUMIFS('Raw Data - Sản phẩm'!$G:$G,'Raw Data - Sản phẩm'!$D:$D,"Xịt Thơm Phòng, Quấn Áo Trà Trắng &amp; Sung Aroma Story, Nước Hoa Xịt Thơm Size 200ml",'Raw Data - Sản phẩm'!$B:$B,"Aroma Story - The Art Of Scent",'Raw Data - Sản phẩm'!$A:$A,"&gt;="&amp;DATE(2026,4,9),'Raw Data - Sản phẩm'!$A:$A,"&lt;="&amp;DATE(2026,7,7))</f>
        <v>0</v>
      </c>
      <c r="H68" s="11" t="n">
        <f aca="false">IF(F68=0,0,G68/F68)</f>
        <v>0</v>
      </c>
      <c r="I68" s="12" t="n">
        <f aca="false">IF(F68=0,0,H68*(1-'Phí sàn theo shop'!$D$3))</f>
        <v>0</v>
      </c>
      <c r="J68" s="13" t="str">
        <f aca="false">IF(OR(B68=0,F68=0),IF(B68=0,"Chỉ TAOS có data",IF(F68=0,"Chỉ GHT có data","-")),IF(ABS(E68-I68)/MAX(E68,I68)&lt;0.03,"Ngang nhau -&gt; uu tien GHT",IF(E68&gt;I68,"Don ve GHT","Don ve TAOS")))</f>
        <v>Chỉ GHT có data</v>
      </c>
    </row>
    <row r="69" customFormat="false" ht="30" hidden="false" customHeight="true" outlineLevel="0" collapsed="false">
      <c r="A69" s="9" t="s">
        <v>29</v>
      </c>
      <c r="B69" s="10" t="n">
        <f aca="false">SUMIFS('Raw Data - Sản phẩm'!$F:$F,'Raw Data - Sản phẩm'!$D:$D,"Combo Quà Tặng Nến Thơm Aroma Story Tặng Người Yêu, Bạn Bè Dịp Sinh Nhật, Kỷ Niệm",'Raw Data - Sản phẩm'!$B:$B,"Aroma Story - Góc Hương Thơm",'Raw Data - Sản phẩm'!$A:$A,"&gt;="&amp;DATE(2026,4,9),'Raw Data - Sản phẩm'!$A:$A,"&lt;="&amp;DATE(2026,7,7))</f>
        <v>732572</v>
      </c>
      <c r="C69" s="10" t="n">
        <f aca="false">SUMIFS('Raw Data - Sản phẩm'!$G:$G,'Raw Data - Sản phẩm'!$D:$D,"Combo Quà Tặng Nến Thơm Aroma Story Tặng Người Yêu, Bạn Bè Dịp Sinh Nhật, Kỷ Niệm",'Raw Data - Sản phẩm'!$B:$B,"Aroma Story - Góc Hương Thơm",'Raw Data - Sản phẩm'!$A:$A,"&gt;="&amp;DATE(2026,4,9),'Raw Data - Sản phẩm'!$A:$A,"&lt;="&amp;DATE(2026,7,7))</f>
        <v>3556417</v>
      </c>
      <c r="D69" s="11" t="n">
        <f aca="false">IF(B69=0,0,C69/B69)</f>
        <v>4.85469960631856</v>
      </c>
      <c r="E69" s="12" t="n">
        <f aca="false">IF(B69=0,0,D69*(1-'Phí sàn theo shop'!$D$2))</f>
        <v>3.70697986096863</v>
      </c>
      <c r="F69" s="10" t="n">
        <f aca="false">SUMIFS('Raw Data - Sản phẩm'!$F:$F,'Raw Data - Sản phẩm'!$D:$D,"Combo Quà Tặng Nến Thơm Aroma Story Tặng Người Yêu, Bạn Bè Dịp Sinh Nhật, Kỷ Niệm",'Raw Data - Sản phẩm'!$B:$B,"Aroma Story - The Art Of Scent",'Raw Data - Sản phẩm'!$A:$A,"&gt;="&amp;DATE(2026,4,9),'Raw Data - Sản phẩm'!$A:$A,"&lt;="&amp;DATE(2026,7,7))</f>
        <v>0</v>
      </c>
      <c r="G69" s="10" t="n">
        <f aca="false">SUMIFS('Raw Data - Sản phẩm'!$G:$G,'Raw Data - Sản phẩm'!$D:$D,"Combo Quà Tặng Nến Thơm Aroma Story Tặng Người Yêu, Bạn Bè Dịp Sinh Nhật, Kỷ Niệm",'Raw Data - Sản phẩm'!$B:$B,"Aroma Story - The Art Of Scent",'Raw Data - Sản phẩm'!$A:$A,"&gt;="&amp;DATE(2026,4,9),'Raw Data - Sản phẩm'!$A:$A,"&lt;="&amp;DATE(2026,7,7))</f>
        <v>0</v>
      </c>
      <c r="H69" s="11" t="n">
        <f aca="false">IF(F69=0,0,G69/F69)</f>
        <v>0</v>
      </c>
      <c r="I69" s="12" t="n">
        <f aca="false">IF(F69=0,0,H69*(1-'Phí sàn theo shop'!$D$3))</f>
        <v>0</v>
      </c>
      <c r="J69" s="13" t="str">
        <f aca="false">IF(OR(B69=0,F69=0),IF(B69=0,"Chỉ TAOS có data",IF(F69=0,"Chỉ GHT có data","-")),IF(ABS(E69-I69)/MAX(E69,I69)&lt;0.03,"Ngang nhau -&gt; uu tien GHT",IF(E69&gt;I69,"Don ve GHT","Don ve TAOS")))</f>
        <v>Chỉ GHT có data</v>
      </c>
    </row>
    <row r="70" customFormat="false" ht="30" hidden="false" customHeight="true" outlineLevel="0" collapsed="false">
      <c r="A70" s="9" t="s">
        <v>30</v>
      </c>
      <c r="B70" s="10" t="n">
        <f aca="false">SUMIFS('Raw Data - Sản phẩm'!$F:$F,'Raw Data - Sản phẩm'!$D:$D,"Nến Thơm Cao Cấp Aroma Story Nhiều Hương Cốc Gốm Sứ, Xi Măng, Thủy Tinh Size 100g - 250g",'Raw Data - Sản phẩm'!$B:$B,"Aroma Story - Góc Hương Thơm",'Raw Data - Sản phẩm'!$A:$A,"&gt;="&amp;DATE(2026,4,9),'Raw Data - Sản phẩm'!$A:$A,"&lt;="&amp;DATE(2026,7,7))</f>
        <v>775138</v>
      </c>
      <c r="C70" s="10" t="n">
        <f aca="false">SUMIFS('Raw Data - Sản phẩm'!$G:$G,'Raw Data - Sản phẩm'!$D:$D,"Nến Thơm Cao Cấp Aroma Story Nhiều Hương Cốc Gốm Sứ, Xi Măng, Thủy Tinh Size 100g - 250g",'Raw Data - Sản phẩm'!$B:$B,"Aroma Story - Góc Hương Thơm",'Raw Data - Sản phẩm'!$A:$A,"&gt;="&amp;DATE(2026,4,9),'Raw Data - Sản phẩm'!$A:$A,"&lt;="&amp;DATE(2026,7,7))</f>
        <v>2005039</v>
      </c>
      <c r="D70" s="11" t="n">
        <f aca="false">IF(B70=0,0,C70/B70)</f>
        <v>2.58668649969425</v>
      </c>
      <c r="E70" s="12" t="n">
        <f aca="false">IF(B70=0,0,D70*(1-'Phí sàn theo shop'!$D$2))</f>
        <v>1.97515717522993</v>
      </c>
      <c r="F70" s="10" t="n">
        <f aca="false">SUMIFS('Raw Data - Sản phẩm'!$F:$F,'Raw Data - Sản phẩm'!$D:$D,"Nến Thơm Cao Cấp Aroma Story Nhiều Hương Cốc Gốm Sứ, Xi Măng, Thủy Tinh Size 100g - 250g",'Raw Data - Sản phẩm'!$B:$B,"Aroma Story - The Art Of Scent",'Raw Data - Sản phẩm'!$A:$A,"&gt;="&amp;DATE(2026,4,9),'Raw Data - Sản phẩm'!$A:$A,"&lt;="&amp;DATE(2026,7,7))</f>
        <v>16191283</v>
      </c>
      <c r="G70" s="10" t="n">
        <f aca="false">SUMIFS('Raw Data - Sản phẩm'!$G:$G,'Raw Data - Sản phẩm'!$D:$D,"Nến Thơm Cao Cấp Aroma Story Nhiều Hương Cốc Gốm Sứ, Xi Măng, Thủy Tinh Size 100g - 250g",'Raw Data - Sản phẩm'!$B:$B,"Aroma Story - The Art Of Scent",'Raw Data - Sản phẩm'!$A:$A,"&gt;="&amp;DATE(2026,4,9),'Raw Data - Sản phẩm'!$A:$A,"&lt;="&amp;DATE(2026,7,7))</f>
        <v>82753400</v>
      </c>
      <c r="H70" s="11" t="n">
        <f aca="false">IF(F70=0,0,G70/F70)</f>
        <v>5.11098471937029</v>
      </c>
      <c r="I70" s="12" t="n">
        <f aca="false">IF(F70=0,0,H70*(1-'Phí sàn theo shop'!$D$3))</f>
        <v>3.52202504895284</v>
      </c>
      <c r="J70" s="13" t="str">
        <f aca="false">IF(OR(B70=0,F70=0),IF(B70=0,"Chỉ TAOS có data",IF(F70=0,"Chỉ GHT có data","-")),IF(ABS(E70-I70)/MAX(E70,I70)&lt;0.03,"Ngang nhau -&gt; uu tien GHT",IF(E70&gt;I70,"Don ve GHT","Don ve TAOS")))</f>
        <v>Don ve TAOS</v>
      </c>
    </row>
    <row r="71" customFormat="false" ht="30" hidden="false" customHeight="true" outlineLevel="0" collapsed="false">
      <c r="A71" s="9" t="s">
        <v>31</v>
      </c>
      <c r="B71" s="10" t="n">
        <f aca="false">SUMIFS('Raw Data - Sản phẩm'!$F:$F,'Raw Data - Sản phẩm'!$D:$D,"Nến Thơm Cao Cấp Thư Giãn Dễ Ngủ Với Nhiều Hương, Cốc Thủy Tinh &amp; Xi Măng Size 200g",'Raw Data - Sản phẩm'!$B:$B,"Aroma Story - Góc Hương Thơm",'Raw Data - Sản phẩm'!$A:$A,"&gt;="&amp;DATE(2026,4,9),'Raw Data - Sản phẩm'!$A:$A,"&lt;="&amp;DATE(2026,7,7))</f>
        <v>23571112</v>
      </c>
      <c r="C71" s="10" t="n">
        <f aca="false">SUMIFS('Raw Data - Sản phẩm'!$G:$G,'Raw Data - Sản phẩm'!$D:$D,"Nến Thơm Cao Cấp Thư Giãn Dễ Ngủ Với Nhiều Hương, Cốc Thủy Tinh &amp; Xi Măng Size 200g",'Raw Data - Sản phẩm'!$B:$B,"Aroma Story - Góc Hương Thơm",'Raw Data - Sản phẩm'!$A:$A,"&gt;="&amp;DATE(2026,4,9),'Raw Data - Sản phẩm'!$A:$A,"&lt;="&amp;DATE(2026,7,7))</f>
        <v>103868828</v>
      </c>
      <c r="D71" s="11" t="n">
        <f aca="false">IF(B71=0,0,C71/B71)</f>
        <v>4.40661552157573</v>
      </c>
      <c r="E71" s="12" t="n">
        <f aca="false">IF(B71=0,0,D71*(1-'Phí sàn theo shop'!$D$2))</f>
        <v>3.36482920019441</v>
      </c>
      <c r="F71" s="10" t="n">
        <f aca="false">SUMIFS('Raw Data - Sản phẩm'!$F:$F,'Raw Data - Sản phẩm'!$D:$D,"Nến Thơm Cao Cấp Thư Giãn Dễ Ngủ Với Nhiều Hương, Cốc Thủy Tinh &amp; Xi Măng Size 200g",'Raw Data - Sản phẩm'!$B:$B,"Aroma Story - The Art Of Scent",'Raw Data - Sản phẩm'!$A:$A,"&gt;="&amp;DATE(2026,4,9),'Raw Data - Sản phẩm'!$A:$A,"&lt;="&amp;DATE(2026,7,7))</f>
        <v>4489785</v>
      </c>
      <c r="G71" s="10" t="n">
        <f aca="false">SUMIFS('Raw Data - Sản phẩm'!$G:$G,'Raw Data - Sản phẩm'!$D:$D,"Nến Thơm Cao Cấp Thư Giãn Dễ Ngủ Với Nhiều Hương, Cốc Thủy Tinh &amp; Xi Măng Size 200g",'Raw Data - Sản phẩm'!$B:$B,"Aroma Story - The Art Of Scent",'Raw Data - Sản phẩm'!$A:$A,"&gt;="&amp;DATE(2026,4,9),'Raw Data - Sản phẩm'!$A:$A,"&lt;="&amp;DATE(2026,7,7))</f>
        <v>19803910</v>
      </c>
      <c r="H71" s="11" t="n">
        <f aca="false">IF(F71=0,0,G71/F71)</f>
        <v>4.41088159009841</v>
      </c>
      <c r="I71" s="12" t="n">
        <f aca="false">IF(F71=0,0,H71*(1-'Phí sàn theo shop'!$D$3))</f>
        <v>3.03957775287686</v>
      </c>
      <c r="J71" s="13" t="str">
        <f aca="false">IF(OR(B71=0,F71=0),IF(B71=0,"Chỉ TAOS có data",IF(F71=0,"Chỉ GHT có data","-")),IF(ABS(E71-I71)/MAX(E71,I71)&lt;0.03,"Ngang nhau -&gt; uu tien GHT",IF(E71&gt;I71,"Don ve GHT","Don ve TAOS")))</f>
        <v>Don ve GHT</v>
      </c>
    </row>
    <row r="72" customFormat="false" ht="30" hidden="false" customHeight="true" outlineLevel="0" collapsed="false">
      <c r="A72" s="9" t="s">
        <v>32</v>
      </c>
      <c r="B72" s="10" t="n">
        <f aca="false">SUMIFS('Raw Data - Sản phẩm'!$F:$F,'Raw Data - Sản phẩm'!$D:$D,"Nến Thơm Quà Tặng Aroma Story Cho Bạn Bè, Người Yêu Nhân Dịp Sinh Nhật, Kỷ Niệm Và Tốt Nghiệp",'Raw Data - Sản phẩm'!$B:$B,"Aroma Story - Góc Hương Thơm",'Raw Data - Sản phẩm'!$A:$A,"&gt;="&amp;DATE(2026,4,9),'Raw Data - Sản phẩm'!$A:$A,"&lt;="&amp;DATE(2026,7,7))</f>
        <v>0</v>
      </c>
      <c r="C72" s="10" t="n">
        <f aca="false">SUMIFS('Raw Data - Sản phẩm'!$G:$G,'Raw Data - Sản phẩm'!$D:$D,"Nến Thơm Quà Tặng Aroma Story Cho Bạn Bè, Người Yêu Nhân Dịp Sinh Nhật, Kỷ Niệm Và Tốt Nghiệp",'Raw Data - Sản phẩm'!$B:$B,"Aroma Story - Góc Hương Thơm",'Raw Data - Sản phẩm'!$A:$A,"&gt;="&amp;DATE(2026,4,9),'Raw Data - Sản phẩm'!$A:$A,"&lt;="&amp;DATE(2026,7,7))</f>
        <v>0</v>
      </c>
      <c r="D72" s="11" t="n">
        <f aca="false">IF(B72=0,0,C72/B72)</f>
        <v>0</v>
      </c>
      <c r="E72" s="12" t="n">
        <f aca="false">IF(B72=0,0,D72*(1-'Phí sàn theo shop'!$D$2))</f>
        <v>0</v>
      </c>
      <c r="F72" s="10" t="n">
        <f aca="false">SUMIFS('Raw Data - Sản phẩm'!$F:$F,'Raw Data - Sản phẩm'!$D:$D,"Nến Thơm Quà Tặng Aroma Story Cho Bạn Bè, Người Yêu Nhân Dịp Sinh Nhật, Kỷ Niệm Và Tốt Nghiệp",'Raw Data - Sản phẩm'!$B:$B,"Aroma Story - The Art Of Scent",'Raw Data - Sản phẩm'!$A:$A,"&gt;="&amp;DATE(2026,4,9),'Raw Data - Sản phẩm'!$A:$A,"&lt;="&amp;DATE(2026,7,7))</f>
        <v>747798</v>
      </c>
      <c r="G72" s="10" t="n">
        <f aca="false">SUMIFS('Raw Data - Sản phẩm'!$G:$G,'Raw Data - Sản phẩm'!$D:$D,"Nến Thơm Quà Tặng Aroma Story Cho Bạn Bè, Người Yêu Nhân Dịp Sinh Nhật, Kỷ Niệm Và Tốt Nghiệp",'Raw Data - Sản phẩm'!$B:$B,"Aroma Story - The Art Of Scent",'Raw Data - Sản phẩm'!$A:$A,"&gt;="&amp;DATE(2026,4,9),'Raw Data - Sản phẩm'!$A:$A,"&lt;="&amp;DATE(2026,7,7))</f>
        <v>2782410</v>
      </c>
      <c r="H72" s="11" t="n">
        <f aca="false">IF(F72=0,0,G72/F72)</f>
        <v>3.7208042813701</v>
      </c>
      <c r="I72" s="12" t="n">
        <f aca="false">IF(F72=0,0,H72*(1-'Phí sàn theo shop'!$D$3))</f>
        <v>2.56403933894975</v>
      </c>
      <c r="J72" s="13" t="str">
        <f aca="false">IF(OR(B72=0,F72=0),IF(B72=0,"Chỉ TAOS có data",IF(F72=0,"Chỉ GHT có data","-")),IF(ABS(E72-I72)/MAX(E72,I72)&lt;0.03,"Ngang nhau -&gt; uu tien GHT",IF(E72&gt;I72,"Don ve GHT","Don ve TAOS")))</f>
        <v>Chỉ TAOS có data</v>
      </c>
    </row>
    <row r="73" customFormat="false" ht="30" hidden="false" customHeight="true" outlineLevel="0" collapsed="false">
      <c r="A73" s="9" t="s">
        <v>33</v>
      </c>
      <c r="B73" s="10" t="n">
        <f aca="false">SUMIFS('Raw Data - Sản phẩm'!$F:$F,'Raw Data - Sản phẩm'!$D:$D,"Nến Thơm Quà Tặng Aroma Story Dành Tặng Dịp Sinh Nhật, Kỷ Niệm Cho Nữ, Nam Người Thân Và Bạn Bè",'Raw Data - Sản phẩm'!$B:$B,"Aroma Story - Góc Hương Thơm",'Raw Data - Sản phẩm'!$A:$A,"&gt;="&amp;DATE(2026,4,9),'Raw Data - Sản phẩm'!$A:$A,"&lt;="&amp;DATE(2026,7,7))</f>
        <v>0</v>
      </c>
      <c r="C73" s="10" t="n">
        <f aca="false">SUMIFS('Raw Data - Sản phẩm'!$G:$G,'Raw Data - Sản phẩm'!$D:$D,"Nến Thơm Quà Tặng Aroma Story Dành Tặng Dịp Sinh Nhật, Kỷ Niệm Cho Nữ, Nam Người Thân Và Bạn Bè",'Raw Data - Sản phẩm'!$B:$B,"Aroma Story - Góc Hương Thơm",'Raw Data - Sản phẩm'!$A:$A,"&gt;="&amp;DATE(2026,4,9),'Raw Data - Sản phẩm'!$A:$A,"&lt;="&amp;DATE(2026,7,7))</f>
        <v>0</v>
      </c>
      <c r="D73" s="11" t="n">
        <f aca="false">IF(B73=0,0,C73/B73)</f>
        <v>0</v>
      </c>
      <c r="E73" s="12" t="n">
        <f aca="false">IF(B73=0,0,D73*(1-'Phí sàn theo shop'!$D$2))</f>
        <v>0</v>
      </c>
      <c r="F73" s="10" t="n">
        <f aca="false">SUMIFS('Raw Data - Sản phẩm'!$F:$F,'Raw Data - Sản phẩm'!$D:$D,"Nến Thơm Quà Tặng Aroma Story Dành Tặng Dịp Sinh Nhật, Kỷ Niệm Cho Nữ, Nam Người Thân Và Bạn Bè",'Raw Data - Sản phẩm'!$B:$B,"Aroma Story - The Art Of Scent",'Raw Data - Sản phẩm'!$A:$A,"&gt;="&amp;DATE(2026,4,9),'Raw Data - Sản phẩm'!$A:$A,"&lt;="&amp;DATE(2026,7,7))</f>
        <v>827581</v>
      </c>
      <c r="G73" s="10" t="n">
        <f aca="false">SUMIFS('Raw Data - Sản phẩm'!$G:$G,'Raw Data - Sản phẩm'!$D:$D,"Nến Thơm Quà Tặng Aroma Story Dành Tặng Dịp Sinh Nhật, Kỷ Niệm Cho Nữ, Nam Người Thân Và Bạn Bè",'Raw Data - Sản phẩm'!$B:$B,"Aroma Story - The Art Of Scent",'Raw Data - Sản phẩm'!$A:$A,"&gt;="&amp;DATE(2026,4,9),'Raw Data - Sản phẩm'!$A:$A,"&lt;="&amp;DATE(2026,7,7))</f>
        <v>3805300</v>
      </c>
      <c r="H73" s="11" t="n">
        <f aca="false">IF(F73=0,0,G73/F73)</f>
        <v>4.59809976304434</v>
      </c>
      <c r="I73" s="12" t="n">
        <f aca="false">IF(F73=0,0,H73*(1-'Phí sàn theo shop'!$D$3))</f>
        <v>3.16859146176856</v>
      </c>
      <c r="J73" s="13" t="str">
        <f aca="false">IF(OR(B73=0,F73=0),IF(B73=0,"Chỉ TAOS có data",IF(F73=0,"Chỉ GHT có data","-")),IF(ABS(E73-I73)/MAX(E73,I73)&lt;0.03,"Ngang nhau -&gt; uu tien GHT",IF(E73&gt;I73,"Don ve GHT","Don ve TAOS")))</f>
        <v>Chỉ TAOS có data</v>
      </c>
    </row>
    <row r="74" customFormat="false" ht="30" hidden="false" customHeight="true" outlineLevel="0" collapsed="false">
      <c r="A74" s="9" t="s">
        <v>34</v>
      </c>
      <c r="B74" s="10" t="n">
        <f aca="false">SUMIFS('Raw Data - Sản phẩm'!$F:$F,'Raw Data - Sản phẩm'!$D:$D,"Nến Thơm Thiên Nhiên Bộ Sưu Tập Little Things Aroma Story Size 50g",'Raw Data - Sản phẩm'!$B:$B,"Aroma Story - Góc Hương Thơm",'Raw Data - Sản phẩm'!$A:$A,"&gt;="&amp;DATE(2026,4,9),'Raw Data - Sản phẩm'!$A:$A,"&lt;="&amp;DATE(2026,7,7))</f>
        <v>2235981</v>
      </c>
      <c r="C74" s="10" t="n">
        <f aca="false">SUMIFS('Raw Data - Sản phẩm'!$G:$G,'Raw Data - Sản phẩm'!$D:$D,"Nến Thơm Thiên Nhiên Bộ Sưu Tập Little Things Aroma Story Size 50g",'Raw Data - Sản phẩm'!$B:$B,"Aroma Story - Góc Hương Thơm",'Raw Data - Sản phẩm'!$A:$A,"&gt;="&amp;DATE(2026,4,9),'Raw Data - Sản phẩm'!$A:$A,"&lt;="&amp;DATE(2026,7,7))</f>
        <v>10515442</v>
      </c>
      <c r="D74" s="11" t="n">
        <f aca="false">IF(B74=0,0,C74/B74)</f>
        <v>4.7028315535776</v>
      </c>
      <c r="E74" s="12" t="n">
        <f aca="false">IF(B74=0,0,D74*(1-'Phí sàn theo shop'!$D$2))</f>
        <v>3.59101556684371</v>
      </c>
      <c r="F74" s="10" t="n">
        <f aca="false">SUMIFS('Raw Data - Sản phẩm'!$F:$F,'Raw Data - Sản phẩm'!$D:$D,"Nến Thơm Thiên Nhiên Bộ Sưu Tập Little Things Aroma Story Size 50g",'Raw Data - Sản phẩm'!$B:$B,"Aroma Story - The Art Of Scent",'Raw Data - Sản phẩm'!$A:$A,"&gt;="&amp;DATE(2026,4,9),'Raw Data - Sản phẩm'!$A:$A,"&lt;="&amp;DATE(2026,7,7))</f>
        <v>11588709</v>
      </c>
      <c r="G74" s="10" t="n">
        <f aca="false">SUMIFS('Raw Data - Sản phẩm'!$G:$G,'Raw Data - Sản phẩm'!$D:$D,"Nến Thơm Thiên Nhiên Bộ Sưu Tập Little Things Aroma Story Size 50g",'Raw Data - Sản phẩm'!$B:$B,"Aroma Story - The Art Of Scent",'Raw Data - Sản phẩm'!$A:$A,"&gt;="&amp;DATE(2026,4,9),'Raw Data - Sản phẩm'!$A:$A,"&lt;="&amp;DATE(2026,7,7))</f>
        <v>55789397</v>
      </c>
      <c r="H74" s="11" t="n">
        <f aca="false">IF(F74=0,0,G74/F74)</f>
        <v>4.81411665440905</v>
      </c>
      <c r="I74" s="12" t="n">
        <f aca="false">IF(F74=0,0,H74*(1-'Phí sàn theo shop'!$D$3))</f>
        <v>3.31745062378091</v>
      </c>
      <c r="J74" s="13" t="str">
        <f aca="false">IF(OR(B74=0,F74=0),IF(B74=0,"Chỉ TAOS có data",IF(F74=0,"Chỉ GHT có data","-")),IF(ABS(E74-I74)/MAX(E74,I74)&lt;0.03,"Ngang nhau -&gt; uu tien GHT",IF(E74&gt;I74,"Don ve GHT","Don ve TAOS")))</f>
        <v>Don ve GHT</v>
      </c>
    </row>
    <row r="75" customFormat="false" ht="30" hidden="false" customHeight="true" outlineLevel="0" collapsed="false">
      <c r="A75" s="9" t="s">
        <v>35</v>
      </c>
      <c r="B75" s="10" t="n">
        <f aca="false">SUMIFS('Raw Data - Sản phẩm'!$F:$F,'Raw Data - Sản phẩm'!$D:$D,"SET Quà ""NẾN THƠM KHẮC TÊN THEO YÊU CẦU"" Aroma Story, Dùng Làm Quà Tặng Dịp Đặc Biệt, Sinh Nhật, 20/10, Tốt Nghiệp,...",'Raw Data - Sản phẩm'!$B:$B,"Aroma Story - Góc Hương Thơm",'Raw Data - Sản phẩm'!$A:$A,"&gt;="&amp;DATE(2026,4,9),'Raw Data - Sản phẩm'!$A:$A,"&lt;="&amp;DATE(2026,7,7))</f>
        <v>0</v>
      </c>
      <c r="C75" s="10" t="n">
        <f aca="false">SUMIFS('Raw Data - Sản phẩm'!$G:$G,'Raw Data - Sản phẩm'!$D:$D,"SET Quà ""NẾN THƠM KHẮC TÊN THEO YÊU CẦU"" Aroma Story, Dùng Làm Quà Tặng Dịp Đặc Biệt, Sinh Nhật, 20/10, Tốt Nghiệp,...",'Raw Data - Sản phẩm'!$B:$B,"Aroma Story - Góc Hương Thơm",'Raw Data - Sản phẩm'!$A:$A,"&gt;="&amp;DATE(2026,4,9),'Raw Data - Sản phẩm'!$A:$A,"&lt;="&amp;DATE(2026,7,7))</f>
        <v>0</v>
      </c>
      <c r="D75" s="11" t="n">
        <f aca="false">IF(B75=0,0,C75/B75)</f>
        <v>0</v>
      </c>
      <c r="E75" s="12" t="n">
        <f aca="false">IF(B75=0,0,D75*(1-'Phí sàn theo shop'!$D$2))</f>
        <v>0</v>
      </c>
      <c r="F75" s="10" t="n">
        <f aca="false">SUMIFS('Raw Data - Sản phẩm'!$F:$F,'Raw Data - Sản phẩm'!$D:$D,"SET Quà ""NẾN THƠM KHẮC TÊN THEO YÊU CẦU"" Aroma Story, Dùng Làm Quà Tặng Dịp Đặc Biệt, Sinh Nhật, 20/10, Tốt Nghiệp,...",'Raw Data - Sản phẩm'!$B:$B,"Aroma Story - The Art Of Scent",'Raw Data - Sản phẩm'!$A:$A,"&gt;="&amp;DATE(2026,4,9),'Raw Data - Sản phẩm'!$A:$A,"&lt;="&amp;DATE(2026,7,7))</f>
        <v>13188212</v>
      </c>
      <c r="G75" s="10" t="n">
        <f aca="false">SUMIFS('Raw Data - Sản phẩm'!$G:$G,'Raw Data - Sản phẩm'!$D:$D,"SET Quà ""NẾN THƠM KHẮC TÊN THEO YÊU CẦU"" Aroma Story, Dùng Làm Quà Tặng Dịp Đặc Biệt, Sinh Nhật, 20/10, Tốt Nghiệp,...",'Raw Data - Sản phẩm'!$B:$B,"Aroma Story - The Art Of Scent",'Raw Data - Sản phẩm'!$A:$A,"&gt;="&amp;DATE(2026,4,9),'Raw Data - Sản phẩm'!$A:$A,"&lt;="&amp;DATE(2026,7,7))</f>
        <v>61356495</v>
      </c>
      <c r="H75" s="11" t="n">
        <f aca="false">IF(F75=0,0,G75/F75)</f>
        <v>4.6523740291709</v>
      </c>
      <c r="I75" s="12" t="n">
        <f aca="false">IF(F75=0,0,H75*(1-'Phí sàn theo shop'!$D$3))</f>
        <v>3.20599234150252</v>
      </c>
      <c r="J75" s="13" t="str">
        <f aca="false">IF(OR(B75=0,F75=0),IF(B75=0,"Chỉ TAOS có data",IF(F75=0,"Chỉ GHT có data","-")),IF(ABS(E75-I75)/MAX(E75,I75)&lt;0.03,"Ngang nhau -&gt; uu tien GHT",IF(E75&gt;I75,"Don ve GHT","Don ve TAOS")))</f>
        <v>Chỉ TAOS có data</v>
      </c>
    </row>
    <row r="76" customFormat="false" ht="30" hidden="false" customHeight="true" outlineLevel="0" collapsed="false">
      <c r="A76" s="9" t="s">
        <v>36</v>
      </c>
      <c r="B76" s="10" t="n">
        <f aca="false">SUMIFS('Raw Data - Sản phẩm'!$F:$F,'Raw Data - Sản phẩm'!$D:$D,"Set Quà Nến Thơm Aroma Story Kèm Phụ Kiện - Quà Sinh Nhật, Kỷ Niệm, Tặng Người Yêu, Bạn Bè",'Raw Data - Sản phẩm'!$B:$B,"Aroma Story - Góc Hương Thơm",'Raw Data - Sản phẩm'!$A:$A,"&gt;="&amp;DATE(2026,4,9),'Raw Data - Sản phẩm'!$A:$A,"&lt;="&amp;DATE(2026,7,7))</f>
        <v>188009</v>
      </c>
      <c r="C76" s="10" t="n">
        <f aca="false">SUMIFS('Raw Data - Sản phẩm'!$G:$G,'Raw Data - Sản phẩm'!$D:$D,"Set Quà Nến Thơm Aroma Story Kèm Phụ Kiện - Quà Sinh Nhật, Kỷ Niệm, Tặng Người Yêu, Bạn Bè",'Raw Data - Sản phẩm'!$B:$B,"Aroma Story - Góc Hương Thơm",'Raw Data - Sản phẩm'!$A:$A,"&gt;="&amp;DATE(2026,4,9),'Raw Data - Sản phẩm'!$A:$A,"&lt;="&amp;DATE(2026,7,7))</f>
        <v>0</v>
      </c>
      <c r="D76" s="11" t="n">
        <f aca="false">IF(B76=0,0,C76/B76)</f>
        <v>0</v>
      </c>
      <c r="E76" s="12" t="n">
        <f aca="false">IF(B76=0,0,D76*(1-'Phí sàn theo shop'!$D$2))</f>
        <v>0</v>
      </c>
      <c r="F76" s="10" t="n">
        <f aca="false">SUMIFS('Raw Data - Sản phẩm'!$F:$F,'Raw Data - Sản phẩm'!$D:$D,"Set Quà Nến Thơm Aroma Story Kèm Phụ Kiện - Quà Sinh Nhật, Kỷ Niệm, Tặng Người Yêu, Bạn Bè",'Raw Data - Sản phẩm'!$B:$B,"Aroma Story - The Art Of Scent",'Raw Data - Sản phẩm'!$A:$A,"&gt;="&amp;DATE(2026,4,9),'Raw Data - Sản phẩm'!$A:$A,"&lt;="&amp;DATE(2026,7,7))</f>
        <v>0</v>
      </c>
      <c r="G76" s="10" t="n">
        <f aca="false">SUMIFS('Raw Data - Sản phẩm'!$G:$G,'Raw Data - Sản phẩm'!$D:$D,"Set Quà Nến Thơm Aroma Story Kèm Phụ Kiện - Quà Sinh Nhật, Kỷ Niệm, Tặng Người Yêu, Bạn Bè",'Raw Data - Sản phẩm'!$B:$B,"Aroma Story - The Art Of Scent",'Raw Data - Sản phẩm'!$A:$A,"&gt;="&amp;DATE(2026,4,9),'Raw Data - Sản phẩm'!$A:$A,"&lt;="&amp;DATE(2026,7,7))</f>
        <v>0</v>
      </c>
      <c r="H76" s="11" t="n">
        <f aca="false">IF(F76=0,0,G76/F76)</f>
        <v>0</v>
      </c>
      <c r="I76" s="12" t="n">
        <f aca="false">IF(F76=0,0,H76*(1-'Phí sàn theo shop'!$D$3))</f>
        <v>0</v>
      </c>
      <c r="J76" s="13" t="str">
        <f aca="false">IF(OR(B76=0,F76=0),IF(B76=0,"Chỉ TAOS có data",IF(F76=0,"Chỉ GHT có data","-")),IF(ABS(E76-I76)/MAX(E76,I76)&lt;0.03,"Ngang nhau -&gt; uu tien GHT",IF(E76&gt;I76,"Don ve GHT","Don ve TAOS")))</f>
        <v>Chỉ GHT có data</v>
      </c>
    </row>
    <row r="77" customFormat="false" ht="30" hidden="false" customHeight="true" outlineLevel="0" collapsed="false">
      <c r="A77" s="9" t="s">
        <v>37</v>
      </c>
      <c r="B77" s="10" t="n">
        <f aca="false">SUMIFS('Raw Data - Sản phẩm'!$F:$F,'Raw Data - Sản phẩm'!$D:$D,"Set Quà Tặng Nến Thơm Aroma Story Dành Tặng Người Yêu, Sinh Nhật, Kỷ Niệm",'Raw Data - Sản phẩm'!$B:$B,"Aroma Story - Góc Hương Thơm",'Raw Data - Sản phẩm'!$A:$A,"&gt;="&amp;DATE(2026,4,9),'Raw Data - Sản phẩm'!$A:$A,"&lt;="&amp;DATE(2026,7,7))</f>
        <v>3686829</v>
      </c>
      <c r="C77" s="10" t="n">
        <f aca="false">SUMIFS('Raw Data - Sản phẩm'!$G:$G,'Raw Data - Sản phẩm'!$D:$D,"Set Quà Tặng Nến Thơm Aroma Story Dành Tặng Người Yêu, Sinh Nhật, Kỷ Niệm",'Raw Data - Sản phẩm'!$B:$B,"Aroma Story - Góc Hương Thơm",'Raw Data - Sản phẩm'!$A:$A,"&gt;="&amp;DATE(2026,4,9),'Raw Data - Sản phẩm'!$A:$A,"&lt;="&amp;DATE(2026,7,7))</f>
        <v>16382145</v>
      </c>
      <c r="D77" s="11" t="n">
        <f aca="false">IF(B77=0,0,C77/B77)</f>
        <v>4.44342414579033</v>
      </c>
      <c r="E77" s="12" t="n">
        <f aca="false">IF(B77=0,0,D77*(1-'Phí sàn theo shop'!$D$2))</f>
        <v>3.39293574431423</v>
      </c>
      <c r="F77" s="10" t="n">
        <f aca="false">SUMIFS('Raw Data - Sản phẩm'!$F:$F,'Raw Data - Sản phẩm'!$D:$D,"Set Quà Tặng Nến Thơm Aroma Story Dành Tặng Người Yêu, Sinh Nhật, Kỷ Niệm",'Raw Data - Sản phẩm'!$B:$B,"Aroma Story - The Art Of Scent",'Raw Data - Sản phẩm'!$A:$A,"&gt;="&amp;DATE(2026,4,9),'Raw Data - Sản phẩm'!$A:$A,"&lt;="&amp;DATE(2026,7,7))</f>
        <v>7613610</v>
      </c>
      <c r="G77" s="10" t="n">
        <f aca="false">SUMIFS('Raw Data - Sản phẩm'!$G:$G,'Raw Data - Sản phẩm'!$D:$D,"Set Quà Tặng Nến Thơm Aroma Story Dành Tặng Người Yêu, Sinh Nhật, Kỷ Niệm",'Raw Data - Sản phẩm'!$B:$B,"Aroma Story - The Art Of Scent",'Raw Data - Sản phẩm'!$A:$A,"&gt;="&amp;DATE(2026,4,9),'Raw Data - Sản phẩm'!$A:$A,"&lt;="&amp;DATE(2026,7,7))</f>
        <v>31673819</v>
      </c>
      <c r="H77" s="11" t="n">
        <f aca="false">IF(F77=0,0,G77/F77)</f>
        <v>4.1601577963673</v>
      </c>
      <c r="I77" s="12" t="n">
        <f aca="false">IF(F77=0,0,H77*(1-'Phí sàn theo shop'!$D$3))</f>
        <v>2.86680175561302</v>
      </c>
      <c r="J77" s="13" t="str">
        <f aca="false">IF(OR(B77=0,F77=0),IF(B77=0,"Chỉ TAOS có data",IF(F77=0,"Chỉ GHT có data","-")),IF(ABS(E77-I77)/MAX(E77,I77)&lt;0.03,"Ngang nhau -&gt; uu tien GHT",IF(E77&gt;I77,"Don ve GHT","Don ve TAOS")))</f>
        <v>Don ve GHT</v>
      </c>
    </row>
    <row r="78" customFormat="false" ht="30" hidden="false" customHeight="true" outlineLevel="0" collapsed="false">
      <c r="A78" s="9" t="s">
        <v>38</v>
      </c>
      <c r="B78" s="10" t="n">
        <f aca="false">SUMIFS('Raw Data - Sản phẩm'!$F:$F,'Raw Data - Sản phẩm'!$D:$D,"Tinh Dầu Thiên Nhiên Hương Trà Trắng Aroma Story Nguyên Chất – Xông Phòng, Thư Giãn, Ngủ Ngon 10ml",'Raw Data - Sản phẩm'!$B:$B,"Aroma Story - Góc Hương Thơm",'Raw Data - Sản phẩm'!$A:$A,"&gt;="&amp;DATE(2026,4,9),'Raw Data - Sản phẩm'!$A:$A,"&lt;="&amp;DATE(2026,7,7))</f>
        <v>375743</v>
      </c>
      <c r="C78" s="10" t="n">
        <f aca="false">SUMIFS('Raw Data - Sản phẩm'!$G:$G,'Raw Data - Sản phẩm'!$D:$D,"Tinh Dầu Thiên Nhiên Hương Trà Trắng Aroma Story Nguyên Chất – Xông Phòng, Thư Giãn, Ngủ Ngon 10ml",'Raw Data - Sản phẩm'!$B:$B,"Aroma Story - Góc Hương Thơm",'Raw Data - Sản phẩm'!$A:$A,"&gt;="&amp;DATE(2026,4,9),'Raw Data - Sản phẩm'!$A:$A,"&lt;="&amp;DATE(2026,7,7))</f>
        <v>676797</v>
      </c>
      <c r="D78" s="11" t="n">
        <f aca="false">IF(B78=0,0,C78/B78)</f>
        <v>1.80122317647967</v>
      </c>
      <c r="E78" s="12" t="n">
        <f aca="false">IF(B78=0,0,D78*(1-'Phí sàn theo shop'!$D$2))</f>
        <v>1.37538850635158</v>
      </c>
      <c r="F78" s="10" t="n">
        <f aca="false">SUMIFS('Raw Data - Sản phẩm'!$F:$F,'Raw Data - Sản phẩm'!$D:$D,"Tinh Dầu Thiên Nhiên Hương Trà Trắng Aroma Story Nguyên Chất – Xông Phòng, Thư Giãn, Ngủ Ngon 10ml",'Raw Data - Sản phẩm'!$B:$B,"Aroma Story - The Art Of Scent",'Raw Data - Sản phẩm'!$A:$A,"&gt;="&amp;DATE(2026,4,9),'Raw Data - Sản phẩm'!$A:$A,"&lt;="&amp;DATE(2026,7,7))</f>
        <v>0</v>
      </c>
      <c r="G78" s="10" t="n">
        <f aca="false">SUMIFS('Raw Data - Sản phẩm'!$G:$G,'Raw Data - Sản phẩm'!$D:$D,"Tinh Dầu Thiên Nhiên Hương Trà Trắng Aroma Story Nguyên Chất – Xông Phòng, Thư Giãn, Ngủ Ngon 10ml",'Raw Data - Sản phẩm'!$B:$B,"Aroma Story - The Art Of Scent",'Raw Data - Sản phẩm'!$A:$A,"&gt;="&amp;DATE(2026,4,9),'Raw Data - Sản phẩm'!$A:$A,"&lt;="&amp;DATE(2026,7,7))</f>
        <v>0</v>
      </c>
      <c r="H78" s="11" t="n">
        <f aca="false">IF(F78=0,0,G78/F78)</f>
        <v>0</v>
      </c>
      <c r="I78" s="12" t="n">
        <f aca="false">IF(F78=0,0,H78*(1-'Phí sàn theo shop'!$D$3))</f>
        <v>0</v>
      </c>
      <c r="J78" s="13" t="str">
        <f aca="false">IF(OR(B78=0,F78=0),IF(B78=0,"Chỉ TAOS có data",IF(F78=0,"Chỉ GHT có data","-")),IF(ABS(E78-I78)/MAX(E78,I78)&lt;0.03,"Ngang nhau -&gt; uu tien GHT",IF(E78&gt;I78,"Don ve GHT","Don ve TAOS")))</f>
        <v>Chỉ GHT có data</v>
      </c>
    </row>
    <row r="79" customFormat="false" ht="30" hidden="false" customHeight="true" outlineLevel="0" collapsed="false">
      <c r="A79" s="9" t="s">
        <v>39</v>
      </c>
      <c r="B79" s="10" t="n">
        <f aca="false">SUMIFS('Raw Data - Sản phẩm'!$F:$F,'Raw Data - Sản phẩm'!$D:$D,"Tinh Dầu Thiên Nhiên Nguyên Chất Aroma Story 10ml – Xông Phòng, Thư Giãn, Ngủ Ngon",'Raw Data - Sản phẩm'!$B:$B,"Aroma Story - Góc Hương Thơm",'Raw Data - Sản phẩm'!$A:$A,"&gt;="&amp;DATE(2026,4,9),'Raw Data - Sản phẩm'!$A:$A,"&lt;="&amp;DATE(2026,7,7))</f>
        <v>30508</v>
      </c>
      <c r="C79" s="10" t="n">
        <f aca="false">SUMIFS('Raw Data - Sản phẩm'!$G:$G,'Raw Data - Sản phẩm'!$D:$D,"Tinh Dầu Thiên Nhiên Nguyên Chất Aroma Story 10ml – Xông Phòng, Thư Giãn, Ngủ Ngon",'Raw Data - Sản phẩm'!$B:$B,"Aroma Story - Góc Hương Thơm",'Raw Data - Sản phẩm'!$A:$A,"&gt;="&amp;DATE(2026,4,9),'Raw Data - Sản phẩm'!$A:$A,"&lt;="&amp;DATE(2026,7,7))</f>
        <v>79000</v>
      </c>
      <c r="D79" s="11" t="n">
        <f aca="false">IF(B79=0,0,C79/B79)</f>
        <v>2.58948472531795</v>
      </c>
      <c r="E79" s="12" t="n">
        <f aca="false">IF(B79=0,0,D79*(1-'Phí sàn theo shop'!$D$2))</f>
        <v>1.97729386068417</v>
      </c>
      <c r="F79" s="10" t="n">
        <f aca="false">SUMIFS('Raw Data - Sản phẩm'!$F:$F,'Raw Data - Sản phẩm'!$D:$D,"Tinh Dầu Thiên Nhiên Nguyên Chất Aroma Story 10ml – Xông Phòng, Thư Giãn, Ngủ Ngon",'Raw Data - Sản phẩm'!$B:$B,"Aroma Story - The Art Of Scent",'Raw Data - Sản phẩm'!$A:$A,"&gt;="&amp;DATE(2026,4,9),'Raw Data - Sản phẩm'!$A:$A,"&lt;="&amp;DATE(2026,7,7))</f>
        <v>0</v>
      </c>
      <c r="G79" s="10" t="n">
        <f aca="false">SUMIFS('Raw Data - Sản phẩm'!$G:$G,'Raw Data - Sản phẩm'!$D:$D,"Tinh Dầu Thiên Nhiên Nguyên Chất Aroma Story 10ml – Xông Phòng, Thư Giãn, Ngủ Ngon",'Raw Data - Sản phẩm'!$B:$B,"Aroma Story - The Art Of Scent",'Raw Data - Sản phẩm'!$A:$A,"&gt;="&amp;DATE(2026,4,9),'Raw Data - Sản phẩm'!$A:$A,"&lt;="&amp;DATE(2026,7,7))</f>
        <v>0</v>
      </c>
      <c r="H79" s="11" t="n">
        <f aca="false">IF(F79=0,0,G79/F79)</f>
        <v>0</v>
      </c>
      <c r="I79" s="12" t="n">
        <f aca="false">IF(F79=0,0,H79*(1-'Phí sàn theo shop'!$D$3))</f>
        <v>0</v>
      </c>
      <c r="J79" s="13" t="str">
        <f aca="false">IF(OR(B79=0,F79=0),IF(B79=0,"Chỉ TAOS có data",IF(F79=0,"Chỉ GHT có data","-")),IF(ABS(E79-I79)/MAX(E79,I79)&lt;0.03,"Ngang nhau -&gt; uu tien GHT",IF(E79&gt;I79,"Don ve GHT","Don ve TAOS")))</f>
        <v>Chỉ GHT có data</v>
      </c>
    </row>
    <row r="80" customFormat="false" ht="30" hidden="false" customHeight="true" outlineLevel="0" collapsed="false">
      <c r="A80" s="9" t="s">
        <v>40</v>
      </c>
      <c r="B80" s="10" t="n">
        <f aca="false">SUMIFS('Raw Data - Sản phẩm'!$F:$F,'Raw Data - Sản phẩm'!$D:$D,"Tinh Dầu Thơm Xông Phòng Aroma Story 10ml – Hơn 20 Mùi Hương Thiên Nhiên, Thư Giãn &amp; Dễ Ngủ",'Raw Data - Sản phẩm'!$B:$B,"Aroma Story - Góc Hương Thơm",'Raw Data - Sản phẩm'!$A:$A,"&gt;="&amp;DATE(2026,4,9),'Raw Data - Sản phẩm'!$A:$A,"&lt;="&amp;DATE(2026,7,7))</f>
        <v>50424</v>
      </c>
      <c r="C80" s="10" t="n">
        <f aca="false">SUMIFS('Raw Data - Sản phẩm'!$G:$G,'Raw Data - Sản phẩm'!$D:$D,"Tinh Dầu Thơm Xông Phòng Aroma Story 10ml – Hơn 20 Mùi Hương Thiên Nhiên, Thư Giãn &amp; Dễ Ngủ",'Raw Data - Sản phẩm'!$B:$B,"Aroma Story - Góc Hương Thơm",'Raw Data - Sản phẩm'!$A:$A,"&gt;="&amp;DATE(2026,4,9),'Raw Data - Sản phẩm'!$A:$A,"&lt;="&amp;DATE(2026,7,7))</f>
        <v>79000</v>
      </c>
      <c r="D80" s="11" t="n">
        <f aca="false">IF(B80=0,0,C80/B80)</f>
        <v>1.56671426304934</v>
      </c>
      <c r="E80" s="12" t="n">
        <f aca="false">IF(B80=0,0,D80*(1-'Phí sàn theo shop'!$D$2))</f>
        <v>1.19632082146899</v>
      </c>
      <c r="F80" s="10" t="n">
        <f aca="false">SUMIFS('Raw Data - Sản phẩm'!$F:$F,'Raw Data - Sản phẩm'!$D:$D,"Tinh Dầu Thơm Xông Phòng Aroma Story 10ml – Hơn 20 Mùi Hương Thiên Nhiên, Thư Giãn &amp; Dễ Ngủ",'Raw Data - Sản phẩm'!$B:$B,"Aroma Story - The Art Of Scent",'Raw Data - Sản phẩm'!$A:$A,"&gt;="&amp;DATE(2026,4,9),'Raw Data - Sản phẩm'!$A:$A,"&lt;="&amp;DATE(2026,7,7))</f>
        <v>4312399</v>
      </c>
      <c r="G80" s="10" t="n">
        <f aca="false">SUMIFS('Raw Data - Sản phẩm'!$G:$G,'Raw Data - Sản phẩm'!$D:$D,"Tinh Dầu Thơm Xông Phòng Aroma Story 10ml – Hơn 20 Mùi Hương Thiên Nhiên, Thư Giãn &amp; Dễ Ngủ",'Raw Data - Sản phẩm'!$B:$B,"Aroma Story - The Art Of Scent",'Raw Data - Sản phẩm'!$A:$A,"&gt;="&amp;DATE(2026,4,9),'Raw Data - Sản phẩm'!$A:$A,"&lt;="&amp;DATE(2026,7,7))</f>
        <v>18329402</v>
      </c>
      <c r="H80" s="11" t="n">
        <f aca="false">IF(F80=0,0,G80/F80)</f>
        <v>4.25039566144042</v>
      </c>
      <c r="I80" s="12" t="n">
        <f aca="false">IF(F80=0,0,H80*(1-'Phí sàn theo shop'!$D$3))</f>
        <v>2.92898547139425</v>
      </c>
      <c r="J80" s="13" t="str">
        <f aca="false">IF(OR(B80=0,F80=0),IF(B80=0,"Chỉ TAOS có data",IF(F80=0,"Chỉ GHT có data","-")),IF(ABS(E80-I80)/MAX(E80,I80)&lt;0.03,"Ngang nhau -&gt; uu tien GHT",IF(E80&gt;I80,"Don ve GHT","Don ve TAOS")))</f>
        <v>Don ve TAOS</v>
      </c>
    </row>
    <row r="81" customFormat="false" ht="30" hidden="false" customHeight="true" outlineLevel="0" collapsed="false">
      <c r="A81" s="9" t="s">
        <v>41</v>
      </c>
      <c r="B81" s="10" t="n">
        <f aca="false">SUMIFS('Raw Data - Sản phẩm'!$F:$F,'Raw Data - Sản phẩm'!$D:$D,"Tinh Dầu Khuếch Tán Aroma Story Hương Trà Trắng Và Trái Sung True Grace Size 50ml/100ml/150ml",'Raw Data - Sản phẩm'!$B:$B,"Aroma Story - Góc Hương Thơm",'Raw Data - Sản phẩm'!$A:$A,"&gt;="&amp;DATE(2026,4,9),'Raw Data - Sản phẩm'!$A:$A,"&lt;="&amp;DATE(2026,7,7))</f>
        <v>1041386</v>
      </c>
      <c r="C81" s="10" t="n">
        <f aca="false">SUMIFS('Raw Data - Sản phẩm'!$G:$G,'Raw Data - Sản phẩm'!$D:$D,"Tinh Dầu Khuếch Tán Aroma Story Hương Trà Trắng Và Trái Sung True Grace Size 50ml/100ml/150ml",'Raw Data - Sản phẩm'!$B:$B,"Aroma Story - Góc Hương Thơm",'Raw Data - Sản phẩm'!$A:$A,"&gt;="&amp;DATE(2026,4,9),'Raw Data - Sản phẩm'!$A:$A,"&lt;="&amp;DATE(2026,7,7))</f>
        <v>4811249</v>
      </c>
      <c r="D81" s="11" t="n">
        <f aca="false">IF(B81=0,0,C81/B81)</f>
        <v>4.62004386461888</v>
      </c>
      <c r="E81" s="12" t="n">
        <f aca="false">IF(B81=0,0,D81*(1-'Phí sàn theo shop'!$D$2))</f>
        <v>3.52780006009914</v>
      </c>
      <c r="F81" s="10" t="n">
        <f aca="false">SUMIFS('Raw Data - Sản phẩm'!$F:$F,'Raw Data - Sản phẩm'!$D:$D,"Tinh Dầu Khuếch Tán Aroma Story Hương Trà Trắng Và Trái Sung True Grace Size 50ml/100ml/150ml",'Raw Data - Sản phẩm'!$B:$B,"Aroma Story - The Art Of Scent",'Raw Data - Sản phẩm'!$A:$A,"&gt;="&amp;DATE(2026,4,9),'Raw Data - Sản phẩm'!$A:$A,"&lt;="&amp;DATE(2026,7,7))</f>
        <v>9661418</v>
      </c>
      <c r="G81" s="10" t="n">
        <f aca="false">SUMIFS('Raw Data - Sản phẩm'!$G:$G,'Raw Data - Sản phẩm'!$D:$D,"Tinh Dầu Khuếch Tán Aroma Story Hương Trà Trắng Và Trái Sung True Grace Size 50ml/100ml/150ml",'Raw Data - Sản phẩm'!$B:$B,"Aroma Story - The Art Of Scent",'Raw Data - Sản phẩm'!$A:$A,"&gt;="&amp;DATE(2026,4,9),'Raw Data - Sản phẩm'!$A:$A,"&lt;="&amp;DATE(2026,7,7))</f>
        <v>48015058</v>
      </c>
      <c r="H81" s="11" t="n">
        <f aca="false">IF(F81=0,0,G81/F81)</f>
        <v>4.96977338109168</v>
      </c>
      <c r="I81" s="12" t="n">
        <f aca="false">IF(F81=0,0,H81*(1-'Phí sàn theo shop'!$D$3))</f>
        <v>3.42471505921084</v>
      </c>
      <c r="J81" s="13" t="str">
        <f aca="false">IF(OR(B81=0,F81=0),IF(B81=0,"Chỉ TAOS có data",IF(F81=0,"Chỉ GHT có data","-")),IF(ABS(E81-I81)/MAX(E81,I81)&lt;0.03,"Ngang nhau -&gt; uu tien GHT",IF(E81&gt;I81,"Don ve GHT","Don ve TAOS")))</f>
        <v>Ngang nhau -&gt; uu tien GHT</v>
      </c>
    </row>
    <row r="82" customFormat="false" ht="30" hidden="false" customHeight="true" outlineLevel="0" collapsed="false">
      <c r="A82" s="9" t="s">
        <v>42</v>
      </c>
      <c r="B82" s="10" t="n">
        <f aca="false">SUMIFS('Raw Data - Sản phẩm'!$F:$F,'Raw Data - Sản phẩm'!$D:$D,"Tinh Dầu Khuếch Tán Thơm Phòng Aroma Story Nhiều Hương Size 50ml/100ml",'Raw Data - Sản phẩm'!$B:$B,"Aroma Story - Góc Hương Thơm",'Raw Data - Sản phẩm'!$A:$A,"&gt;="&amp;DATE(2026,4,9),'Raw Data - Sản phẩm'!$A:$A,"&lt;="&amp;DATE(2026,7,7))</f>
        <v>0</v>
      </c>
      <c r="C82" s="10" t="n">
        <f aca="false">SUMIFS('Raw Data - Sản phẩm'!$G:$G,'Raw Data - Sản phẩm'!$D:$D,"Tinh Dầu Khuếch Tán Thơm Phòng Aroma Story Nhiều Hương Size 50ml/100ml",'Raw Data - Sản phẩm'!$B:$B,"Aroma Story - Góc Hương Thơm",'Raw Data - Sản phẩm'!$A:$A,"&gt;="&amp;DATE(2026,4,9),'Raw Data - Sản phẩm'!$A:$A,"&lt;="&amp;DATE(2026,7,7))</f>
        <v>0</v>
      </c>
      <c r="D82" s="11" t="n">
        <f aca="false">IF(B82=0,0,C82/B82)</f>
        <v>0</v>
      </c>
      <c r="E82" s="12" t="n">
        <f aca="false">IF(B82=0,0,D82*(1-'Phí sàn theo shop'!$D$2))</f>
        <v>0</v>
      </c>
      <c r="F82" s="10" t="n">
        <f aca="false">SUMIFS('Raw Data - Sản phẩm'!$F:$F,'Raw Data - Sản phẩm'!$D:$D,"Tinh Dầu Khuếch Tán Thơm Phòng Aroma Story Nhiều Hương Size 50ml/100ml",'Raw Data - Sản phẩm'!$B:$B,"Aroma Story - The Art Of Scent",'Raw Data - Sản phẩm'!$A:$A,"&gt;="&amp;DATE(2026,4,9),'Raw Data - Sản phẩm'!$A:$A,"&lt;="&amp;DATE(2026,7,7))</f>
        <v>35472401</v>
      </c>
      <c r="G82" s="10" t="n">
        <f aca="false">SUMIFS('Raw Data - Sản phẩm'!$G:$G,'Raw Data - Sản phẩm'!$D:$D,"Tinh Dầu Khuếch Tán Thơm Phòng Aroma Story Nhiều Hương Size 50ml/100ml",'Raw Data - Sản phẩm'!$B:$B,"Aroma Story - The Art Of Scent",'Raw Data - Sản phẩm'!$A:$A,"&gt;="&amp;DATE(2026,4,9),'Raw Data - Sản phẩm'!$A:$A,"&lt;="&amp;DATE(2026,7,7))</f>
        <v>193327909</v>
      </c>
      <c r="H82" s="11" t="n">
        <f aca="false">IF(F82=0,0,G82/F82)</f>
        <v>5.45009369396788</v>
      </c>
      <c r="I82" s="12" t="n">
        <f aca="false">IF(F82=0,0,H82*(1-'Phí sàn theo shop'!$D$3))</f>
        <v>3.75570806082546</v>
      </c>
      <c r="J82" s="13" t="str">
        <f aca="false">IF(OR(B82=0,F82=0),IF(B82=0,"Chỉ TAOS có data",IF(F82=0,"Chỉ GHT có data","-")),IF(ABS(E82-I82)/MAX(E82,I82)&lt;0.03,"Ngang nhau -&gt; uu tien GHT",IF(E82&gt;I82,"Don ve GHT","Don ve TAOS")))</f>
        <v>Chỉ TAOS có data</v>
      </c>
    </row>
    <row r="83" customFormat="false" ht="30" hidden="false" customHeight="true" outlineLevel="0" collapsed="false">
      <c r="A83" s="9" t="s">
        <v>43</v>
      </c>
      <c r="B83" s="10" t="n">
        <f aca="false">SUMIFS('Raw Data - Sản phẩm'!$F:$F,'Raw Data - Sản phẩm'!$D:$D,"Tinh Dầu Khuếch Tán Thơm Phòng Aroma Story Phiên Bản Đặc Biệt Size 50ml/100ml/150ml",'Raw Data - Sản phẩm'!$B:$B,"Aroma Story - Góc Hương Thơm",'Raw Data - Sản phẩm'!$A:$A,"&gt;="&amp;DATE(2026,4,9),'Raw Data - Sản phẩm'!$A:$A,"&lt;="&amp;DATE(2026,7,7))</f>
        <v>1619852</v>
      </c>
      <c r="C83" s="10" t="n">
        <f aca="false">SUMIFS('Raw Data - Sản phẩm'!$G:$G,'Raw Data - Sản phẩm'!$D:$D,"Tinh Dầu Khuếch Tán Thơm Phòng Aroma Story Phiên Bản Đặc Biệt Size 50ml/100ml/150ml",'Raw Data - Sản phẩm'!$B:$B,"Aroma Story - Góc Hương Thơm",'Raw Data - Sản phẩm'!$A:$A,"&gt;="&amp;DATE(2026,4,9),'Raw Data - Sản phẩm'!$A:$A,"&lt;="&amp;DATE(2026,7,7))</f>
        <v>7741105</v>
      </c>
      <c r="D83" s="11" t="n">
        <f aca="false">IF(B83=0,0,C83/B83)</f>
        <v>4.77889646708465</v>
      </c>
      <c r="E83" s="12" t="n">
        <f aca="false">IF(B83=0,0,D83*(1-'Phí sàn theo shop'!$D$2))</f>
        <v>3.64909765746986</v>
      </c>
      <c r="F83" s="10" t="n">
        <f aca="false">SUMIFS('Raw Data - Sản phẩm'!$F:$F,'Raw Data - Sản phẩm'!$D:$D,"Tinh Dầu Khuếch Tán Thơm Phòng Aroma Story Phiên Bản Đặc Biệt Size 50ml/100ml/150ml",'Raw Data - Sản phẩm'!$B:$B,"Aroma Story - The Art Of Scent",'Raw Data - Sản phẩm'!$A:$A,"&gt;="&amp;DATE(2026,4,9),'Raw Data - Sản phẩm'!$A:$A,"&lt;="&amp;DATE(2026,7,7))</f>
        <v>0</v>
      </c>
      <c r="G83" s="10" t="n">
        <f aca="false">SUMIFS('Raw Data - Sản phẩm'!$G:$G,'Raw Data - Sản phẩm'!$D:$D,"Tinh Dầu Khuếch Tán Thơm Phòng Aroma Story Phiên Bản Đặc Biệt Size 50ml/100ml/150ml",'Raw Data - Sản phẩm'!$B:$B,"Aroma Story - The Art Of Scent",'Raw Data - Sản phẩm'!$A:$A,"&gt;="&amp;DATE(2026,4,9),'Raw Data - Sản phẩm'!$A:$A,"&lt;="&amp;DATE(2026,7,7))</f>
        <v>0</v>
      </c>
      <c r="H83" s="11" t="n">
        <f aca="false">IF(F83=0,0,G83/F83)</f>
        <v>0</v>
      </c>
      <c r="I83" s="12" t="n">
        <f aca="false">IF(F83=0,0,H83*(1-'Phí sàn theo shop'!$D$3))</f>
        <v>0</v>
      </c>
      <c r="J83" s="13" t="str">
        <f aca="false">IF(OR(B83=0,F83=0),IF(B83=0,"Chỉ TAOS có data",IF(F83=0,"Chỉ GHT có data","-")),IF(ABS(E83-I83)/MAX(E83,I83)&lt;0.03,"Ngang nhau -&gt; uu tien GHT",IF(E83&gt;I83,"Don ve GHT","Don ve TAOS")))</f>
        <v>Chỉ GHT có data</v>
      </c>
    </row>
    <row r="84" customFormat="false" ht="30" hidden="false" customHeight="true" outlineLevel="0" collapsed="false">
      <c r="A84" s="9" t="s">
        <v>44</v>
      </c>
      <c r="B84" s="10" t="n">
        <f aca="false">SUMIFS('Raw Data - Sản phẩm'!$F:$F,'Raw Data - Sản phẩm'!$D:$D,"Tinh Dầu Nước Hoa Thơm Phòng Cắm Que Khuếch Tán Aroma Story - Size 50ml/100ml",'Raw Data - Sản phẩm'!$B:$B,"Aroma Story - Góc Hương Thơm",'Raw Data - Sản phẩm'!$A:$A,"&gt;="&amp;DATE(2026,4,9),'Raw Data - Sản phẩm'!$A:$A,"&lt;="&amp;DATE(2026,7,7))</f>
        <v>39685741</v>
      </c>
      <c r="C84" s="10" t="n">
        <f aca="false">SUMIFS('Raw Data - Sản phẩm'!$G:$G,'Raw Data - Sản phẩm'!$D:$D,"Tinh Dầu Nước Hoa Thơm Phòng Cắm Que Khuếch Tán Aroma Story - Size 50ml/100ml",'Raw Data - Sản phẩm'!$B:$B,"Aroma Story - Góc Hương Thơm",'Raw Data - Sản phẩm'!$A:$A,"&gt;="&amp;DATE(2026,4,9),'Raw Data - Sản phẩm'!$A:$A,"&lt;="&amp;DATE(2026,7,7))</f>
        <v>210222329</v>
      </c>
      <c r="D84" s="11" t="n">
        <f aca="false">IF(B84=0,0,C84/B84)</f>
        <v>5.2971753507135</v>
      </c>
      <c r="E84" s="12" t="n">
        <f aca="false">IF(B84=0,0,D84*(1-'Phí sàn theo shop'!$D$2))</f>
        <v>4.04484807248563</v>
      </c>
      <c r="F84" s="10" t="n">
        <f aca="false">SUMIFS('Raw Data - Sản phẩm'!$F:$F,'Raw Data - Sản phẩm'!$D:$D,"Tinh Dầu Nước Hoa Thơm Phòng Cắm Que Khuếch Tán Aroma Story - Size 50ml/100ml",'Raw Data - Sản phẩm'!$B:$B,"Aroma Story - The Art Of Scent",'Raw Data - Sản phẩm'!$A:$A,"&gt;="&amp;DATE(2026,4,9),'Raw Data - Sản phẩm'!$A:$A,"&lt;="&amp;DATE(2026,7,7))</f>
        <v>111244</v>
      </c>
      <c r="G84" s="10" t="n">
        <f aca="false">SUMIFS('Raw Data - Sản phẩm'!$G:$G,'Raw Data - Sản phẩm'!$D:$D,"Tinh Dầu Nước Hoa Thơm Phòng Cắm Que Khuếch Tán Aroma Story - Size 50ml/100ml",'Raw Data - Sản phẩm'!$B:$B,"Aroma Story - The Art Of Scent",'Raw Data - Sản phẩm'!$A:$A,"&gt;="&amp;DATE(2026,4,9),'Raw Data - Sản phẩm'!$A:$A,"&lt;="&amp;DATE(2026,7,7))</f>
        <v>0</v>
      </c>
      <c r="H84" s="11" t="n">
        <f aca="false">IF(F84=0,0,G84/F84)</f>
        <v>0</v>
      </c>
      <c r="I84" s="12" t="n">
        <f aca="false">IF(F84=0,0,H84*(1-'Phí sàn theo shop'!$D$3))</f>
        <v>0</v>
      </c>
      <c r="J84" s="13" t="str">
        <f aca="false">IF(OR(B84=0,F84=0),IF(B84=0,"Chỉ TAOS có data",IF(F84=0,"Chỉ GHT có data","-")),IF(ABS(E84-I84)/MAX(E84,I84)&lt;0.03,"Ngang nhau -&gt; uu tien GHT",IF(E84&gt;I84,"Don ve GHT","Don ve TAOS")))</f>
        <v>Don ve GHT</v>
      </c>
    </row>
    <row r="85" customFormat="false" ht="30" hidden="false" customHeight="true" outlineLevel="0" collapsed="false">
      <c r="A85" s="9" t="s">
        <v>45</v>
      </c>
      <c r="B85" s="10" t="n">
        <f aca="false">SUMIFS('Raw Data - Sản phẩm'!$F:$F,'Raw Data - Sản phẩm'!$D:$D,"Xịt Thơm Phòng, Quần Áo, Ô Tô Aroma Story – Khử Mùi, Lưu Hương Lâu, Nhiều Hương Size 200ml",'Raw Data - Sản phẩm'!$B:$B,"Aroma Story - Góc Hương Thơm",'Raw Data - Sản phẩm'!$A:$A,"&gt;="&amp;DATE(2026,4,9),'Raw Data - Sản phẩm'!$A:$A,"&lt;="&amp;DATE(2026,7,7))</f>
        <v>2208087</v>
      </c>
      <c r="C85" s="10" t="n">
        <f aca="false">SUMIFS('Raw Data - Sản phẩm'!$G:$G,'Raw Data - Sản phẩm'!$D:$D,"Xịt Thơm Phòng, Quần Áo, Ô Tô Aroma Story – Khử Mùi, Lưu Hương Lâu, Nhiều Hương Size 200ml",'Raw Data - Sản phẩm'!$B:$B,"Aroma Story - Góc Hương Thơm",'Raw Data - Sản phẩm'!$A:$A,"&gt;="&amp;DATE(2026,4,9),'Raw Data - Sản phẩm'!$A:$A,"&lt;="&amp;DATE(2026,7,7))</f>
        <v>8233750</v>
      </c>
      <c r="D85" s="11" t="n">
        <f aca="false">IF(B85=0,0,C85/B85)</f>
        <v>3.72890651500598</v>
      </c>
      <c r="E85" s="12" t="n">
        <f aca="false">IF(B85=0,0,D85*(1-'Phí sàn theo shop'!$D$2))</f>
        <v>2.84734020135268</v>
      </c>
      <c r="F85" s="10" t="n">
        <f aca="false">SUMIFS('Raw Data - Sản phẩm'!$F:$F,'Raw Data - Sản phẩm'!$D:$D,"Xịt Thơm Phòng, Quần Áo, Ô Tô Aroma Story – Khử Mùi, Lưu Hương Lâu, Nhiều Hương Size 200ml",'Raw Data - Sản phẩm'!$B:$B,"Aroma Story - The Art Of Scent",'Raw Data - Sản phẩm'!$A:$A,"&gt;="&amp;DATE(2026,4,9),'Raw Data - Sản phẩm'!$A:$A,"&lt;="&amp;DATE(2026,7,7))</f>
        <v>207270</v>
      </c>
      <c r="G85" s="10" t="n">
        <f aca="false">SUMIFS('Raw Data - Sản phẩm'!$G:$G,'Raw Data - Sản phẩm'!$D:$D,"Xịt Thơm Phòng, Quần Áo, Ô Tô Aroma Story – Khử Mùi, Lưu Hương Lâu, Nhiều Hương Size 200ml",'Raw Data - Sản phẩm'!$B:$B,"Aroma Story - The Art Of Scent",'Raw Data - Sản phẩm'!$A:$A,"&gt;="&amp;DATE(2026,4,9),'Raw Data - Sản phẩm'!$A:$A,"&lt;="&amp;DATE(2026,7,7))</f>
        <v>446200</v>
      </c>
      <c r="H85" s="11" t="n">
        <f aca="false">IF(F85=0,0,G85/F85)</f>
        <v>2.15274762387224</v>
      </c>
      <c r="I85" s="12" t="n">
        <f aca="false">IF(F85=0,0,H85*(1-'Phí sàn theo shop'!$D$3))</f>
        <v>1.48347754330322</v>
      </c>
      <c r="J85" s="13" t="str">
        <f aca="false">IF(OR(B85=0,F85=0),IF(B85=0,"Chỉ TAOS có data",IF(F85=0,"Chỉ GHT có data","-")),IF(ABS(E85-I85)/MAX(E85,I85)&lt;0.03,"Ngang nhau -&gt; uu tien GHT",IF(E85&gt;I85,"Don ve GHT","Don ve TAOS")))</f>
        <v>Don ve GHT</v>
      </c>
    </row>
    <row r="86" customFormat="false" ht="18" hidden="false" customHeight="true" outlineLevel="0" collapsed="false">
      <c r="A86" s="14" t="s">
        <v>17</v>
      </c>
      <c r="B86" s="15" t="n">
        <f aca="false">SUMIFS('Raw Data - Sản phẩm'!$F:$F,'Raw Data - Sản phẩm'!$B:$B,"Aroma Story - Góc Hương Thơm",'Raw Data - Sản phẩm'!$A:$A,"&gt;="&amp;DATE(2026,4,9),'Raw Data - Sản phẩm'!$A:$A,"&lt;="&amp;DATE(2026,7,7))</f>
        <v>82350449</v>
      </c>
      <c r="C86" s="15" t="n">
        <f aca="false">SUMIFS('Raw Data - Sản phẩm'!$G:$G,'Raw Data - Sản phẩm'!$B:$B,"Aroma Story - Góc Hương Thơm",'Raw Data - Sản phẩm'!$A:$A,"&gt;="&amp;DATE(2026,4,9),'Raw Data - Sản phẩm'!$A:$A,"&lt;="&amp;DATE(2026,7,7))</f>
        <v>391727184</v>
      </c>
      <c r="D86" s="16" t="n">
        <f aca="false">IF(B86=0,0,C86/B86)</f>
        <v>4.75683118619062</v>
      </c>
      <c r="E86" s="16" t="n">
        <f aca="false">IF(B86=0,0,D86*(1-'Phí sàn theo shop'!$D$2))</f>
        <v>3.63224892149569</v>
      </c>
      <c r="F86" s="15" t="n">
        <f aca="false">SUMIFS('Raw Data - Sản phẩm'!$F:$F,'Raw Data - Sản phẩm'!$B:$B,"Aroma Story - The Art Of Scent",'Raw Data - Sản phẩm'!$A:$A,"&gt;="&amp;DATE(2026,4,9),'Raw Data - Sản phẩm'!$A:$A,"&lt;="&amp;DATE(2026,7,7))</f>
        <v>104411710</v>
      </c>
      <c r="G86" s="15" t="n">
        <f aca="false">SUMIFS('Raw Data - Sản phẩm'!$G:$G,'Raw Data - Sản phẩm'!$B:$B,"Aroma Story - The Art Of Scent",'Raw Data - Sản phẩm'!$A:$A,"&gt;="&amp;DATE(2026,4,9),'Raw Data - Sản phẩm'!$A:$A,"&lt;="&amp;DATE(2026,7,7))</f>
        <v>518083300</v>
      </c>
      <c r="H86" s="16" t="n">
        <f aca="false">IF(F86=0,0,G86/F86)</f>
        <v>4.96192716315057</v>
      </c>
      <c r="I86" s="16" t="n">
        <f aca="false">IF(F86=0,0,H86*(1-'Phí sàn theo shop'!$D$3))</f>
        <v>3.41930816060999</v>
      </c>
      <c r="J86" s="17"/>
    </row>
  </sheetData>
  <mergeCells count="17">
    <mergeCell ref="A1:J1"/>
    <mergeCell ref="A2:J2"/>
    <mergeCell ref="A4:J4"/>
    <mergeCell ref="A5:A6"/>
    <mergeCell ref="B5:E5"/>
    <mergeCell ref="F5:I5"/>
    <mergeCell ref="J5:J6"/>
    <mergeCell ref="A32:J32"/>
    <mergeCell ref="A33:A34"/>
    <mergeCell ref="B33:E33"/>
    <mergeCell ref="F33:I33"/>
    <mergeCell ref="J33:J34"/>
    <mergeCell ref="A60:J60"/>
    <mergeCell ref="A61:A62"/>
    <mergeCell ref="B61:E61"/>
    <mergeCell ref="F61:I61"/>
    <mergeCell ref="J61:J62"/>
  </mergeCells>
  <printOptions headings="false" gridLines="false" gridLinesSet="true" horizontalCentered="false" verticalCentered="false"/>
  <pageMargins left="0.3" right="0.3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8" t="s">
        <v>46</v>
      </c>
      <c r="B1" s="18" t="s">
        <v>47</v>
      </c>
      <c r="C1" s="18" t="s">
        <v>48</v>
      </c>
      <c r="D1" s="18" t="s">
        <v>49</v>
      </c>
    </row>
    <row r="2" customFormat="false" ht="15" hidden="false" customHeight="false" outlineLevel="0" collapsed="false">
      <c r="A2" s="19" t="s">
        <v>50</v>
      </c>
      <c r="B2" s="20" t="n">
        <v>107728511.57</v>
      </c>
      <c r="C2" s="20" t="n">
        <v>455677063</v>
      </c>
      <c r="D2" s="21" t="n">
        <f aca="false">B2/C2</f>
        <v>0.236414163268955</v>
      </c>
    </row>
    <row r="3" customFormat="false" ht="15" hidden="false" customHeight="false" outlineLevel="0" collapsed="false">
      <c r="A3" s="19" t="s">
        <v>51</v>
      </c>
      <c r="B3" s="20" t="n">
        <v>197703696.53</v>
      </c>
      <c r="C3" s="20" t="n">
        <v>635925877</v>
      </c>
      <c r="D3" s="21" t="n">
        <f aca="false">B3/C3</f>
        <v>0.310891101747067</v>
      </c>
    </row>
    <row r="6" customFormat="false" ht="39.75" hidden="false" customHeight="true" outlineLevel="0" collapsed="false">
      <c r="A6" s="2" t="s">
        <v>52</v>
      </c>
      <c r="B6" s="2"/>
      <c r="C6" s="2"/>
      <c r="D6" s="2"/>
    </row>
  </sheetData>
  <mergeCells count="1"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18" t="s">
        <v>53</v>
      </c>
      <c r="B1" s="18" t="s">
        <v>46</v>
      </c>
      <c r="C1" s="18" t="s">
        <v>54</v>
      </c>
      <c r="D1" s="18" t="s">
        <v>55</v>
      </c>
      <c r="E1" s="18" t="s">
        <v>56</v>
      </c>
      <c r="F1" s="18" t="s">
        <v>57</v>
      </c>
    </row>
    <row r="2" customFormat="false" ht="15" hidden="false" customHeight="false" outlineLevel="0" collapsed="false">
      <c r="A2" s="22" t="n">
        <v>46113</v>
      </c>
      <c r="B2" s="19" t="s">
        <v>50</v>
      </c>
      <c r="C2" s="19" t="s">
        <v>12</v>
      </c>
      <c r="D2" s="19" t="s">
        <v>58</v>
      </c>
      <c r="E2" s="20" t="n">
        <v>87530</v>
      </c>
      <c r="F2" s="20" t="n">
        <v>371100</v>
      </c>
    </row>
    <row r="3" customFormat="false" ht="15" hidden="false" customHeight="false" outlineLevel="0" collapsed="false">
      <c r="A3" s="22" t="n">
        <v>46113</v>
      </c>
      <c r="B3" s="19" t="s">
        <v>50</v>
      </c>
      <c r="C3" s="19" t="s">
        <v>16</v>
      </c>
      <c r="D3" s="19" t="s">
        <v>59</v>
      </c>
      <c r="E3" s="20" t="n">
        <v>15709</v>
      </c>
      <c r="F3" s="20" t="n">
        <v>0</v>
      </c>
    </row>
    <row r="4" customFormat="false" ht="15" hidden="false" customHeight="false" outlineLevel="0" collapsed="false">
      <c r="A4" s="22" t="n">
        <v>46113</v>
      </c>
      <c r="B4" s="19" t="s">
        <v>50</v>
      </c>
      <c r="C4" s="19" t="s">
        <v>11</v>
      </c>
      <c r="D4" s="19" t="s">
        <v>60</v>
      </c>
      <c r="E4" s="20" t="n">
        <v>27900</v>
      </c>
      <c r="F4" s="20" t="n">
        <v>128000</v>
      </c>
    </row>
    <row r="5" customFormat="false" ht="15" hidden="false" customHeight="false" outlineLevel="0" collapsed="false">
      <c r="A5" s="22" t="n">
        <v>46113</v>
      </c>
      <c r="B5" s="19" t="s">
        <v>50</v>
      </c>
      <c r="C5" s="19" t="s">
        <v>12</v>
      </c>
      <c r="D5" s="19" t="s">
        <v>61</v>
      </c>
      <c r="E5" s="20" t="n">
        <v>50302</v>
      </c>
      <c r="F5" s="20" t="n">
        <v>0</v>
      </c>
    </row>
    <row r="6" customFormat="false" ht="15" hidden="false" customHeight="false" outlineLevel="0" collapsed="false">
      <c r="A6" s="22" t="n">
        <v>46113</v>
      </c>
      <c r="B6" s="19" t="s">
        <v>50</v>
      </c>
      <c r="C6" s="19" t="s">
        <v>14</v>
      </c>
      <c r="D6" s="19" t="s">
        <v>62</v>
      </c>
      <c r="E6" s="20" t="n">
        <v>25</v>
      </c>
      <c r="F6" s="20" t="n">
        <v>0</v>
      </c>
    </row>
    <row r="7" customFormat="false" ht="15" hidden="false" customHeight="false" outlineLevel="0" collapsed="false">
      <c r="A7" s="22" t="n">
        <v>46113</v>
      </c>
      <c r="B7" s="19" t="s">
        <v>50</v>
      </c>
      <c r="C7" s="19" t="s">
        <v>11</v>
      </c>
      <c r="D7" s="19" t="s">
        <v>63</v>
      </c>
      <c r="E7" s="20" t="n">
        <v>15595</v>
      </c>
      <c r="F7" s="20" t="n">
        <v>165750</v>
      </c>
    </row>
    <row r="8" customFormat="false" ht="15" hidden="false" customHeight="false" outlineLevel="0" collapsed="false">
      <c r="A8" s="22" t="n">
        <v>46113</v>
      </c>
      <c r="B8" s="19" t="s">
        <v>50</v>
      </c>
      <c r="C8" s="19" t="s">
        <v>13</v>
      </c>
      <c r="D8" s="19" t="s">
        <v>64</v>
      </c>
      <c r="E8" s="20" t="n">
        <v>656110</v>
      </c>
      <c r="F8" s="20" t="n">
        <v>3616343</v>
      </c>
    </row>
    <row r="9" customFormat="false" ht="15" hidden="false" customHeight="false" outlineLevel="0" collapsed="false">
      <c r="A9" s="22" t="n">
        <v>46113</v>
      </c>
      <c r="B9" s="19" t="s">
        <v>50</v>
      </c>
      <c r="C9" s="19" t="s">
        <v>12</v>
      </c>
      <c r="D9" s="19" t="s">
        <v>65</v>
      </c>
      <c r="E9" s="20" t="n">
        <v>400000</v>
      </c>
      <c r="F9" s="20" t="n">
        <v>2233024</v>
      </c>
    </row>
    <row r="10" customFormat="false" ht="15" hidden="false" customHeight="false" outlineLevel="0" collapsed="false">
      <c r="A10" s="22" t="n">
        <v>46113</v>
      </c>
      <c r="B10" s="19" t="s">
        <v>50</v>
      </c>
      <c r="C10" s="19" t="s">
        <v>12</v>
      </c>
      <c r="D10" s="19" t="s">
        <v>66</v>
      </c>
      <c r="E10" s="20" t="n">
        <v>25869</v>
      </c>
      <c r="F10" s="20" t="n">
        <v>99000</v>
      </c>
    </row>
    <row r="11" customFormat="false" ht="15" hidden="false" customHeight="false" outlineLevel="0" collapsed="false">
      <c r="A11" s="22" t="n">
        <v>46113</v>
      </c>
      <c r="B11" s="19" t="s">
        <v>50</v>
      </c>
      <c r="C11" s="19" t="s">
        <v>15</v>
      </c>
      <c r="D11" s="19" t="s">
        <v>67</v>
      </c>
      <c r="E11" s="20" t="n">
        <v>13764</v>
      </c>
      <c r="F11" s="20" t="n">
        <v>0</v>
      </c>
    </row>
    <row r="12" customFormat="false" ht="15" hidden="false" customHeight="false" outlineLevel="0" collapsed="false">
      <c r="A12" s="22" t="n">
        <v>46113</v>
      </c>
      <c r="B12" s="19" t="s">
        <v>50</v>
      </c>
      <c r="C12" s="19" t="s">
        <v>13</v>
      </c>
      <c r="D12" s="19" t="s">
        <v>68</v>
      </c>
      <c r="E12" s="20" t="n">
        <v>80769</v>
      </c>
      <c r="F12" s="20" t="n">
        <v>453920</v>
      </c>
    </row>
    <row r="13" customFormat="false" ht="15" hidden="false" customHeight="false" outlineLevel="0" collapsed="false">
      <c r="A13" s="22" t="n">
        <v>46113</v>
      </c>
      <c r="B13" s="19" t="s">
        <v>50</v>
      </c>
      <c r="C13" s="19" t="s">
        <v>11</v>
      </c>
      <c r="D13" s="19" t="s">
        <v>69</v>
      </c>
      <c r="E13" s="20" t="n">
        <v>18378</v>
      </c>
      <c r="F13" s="20" t="n">
        <v>0</v>
      </c>
    </row>
    <row r="14" customFormat="false" ht="15" hidden="false" customHeight="false" outlineLevel="0" collapsed="false">
      <c r="A14" s="22" t="n">
        <v>46113</v>
      </c>
      <c r="B14" s="19" t="s">
        <v>50</v>
      </c>
      <c r="C14" s="19" t="s">
        <v>70</v>
      </c>
      <c r="D14" s="19" t="s">
        <v>71</v>
      </c>
      <c r="E14" s="20" t="n">
        <v>6536</v>
      </c>
      <c r="F14" s="20" t="n">
        <v>0</v>
      </c>
    </row>
    <row r="15" customFormat="false" ht="15" hidden="false" customHeight="false" outlineLevel="0" collapsed="false">
      <c r="A15" s="22" t="n">
        <v>46114</v>
      </c>
      <c r="B15" s="19" t="s">
        <v>50</v>
      </c>
      <c r="C15" s="19" t="s">
        <v>12</v>
      </c>
      <c r="D15" s="19" t="s">
        <v>58</v>
      </c>
      <c r="E15" s="20" t="n">
        <v>64406</v>
      </c>
      <c r="F15" s="20" t="n">
        <v>344796</v>
      </c>
    </row>
    <row r="16" customFormat="false" ht="15" hidden="false" customHeight="false" outlineLevel="0" collapsed="false">
      <c r="A16" s="22" t="n">
        <v>46114</v>
      </c>
      <c r="B16" s="19" t="s">
        <v>50</v>
      </c>
      <c r="C16" s="19" t="s">
        <v>16</v>
      </c>
      <c r="D16" s="19" t="s">
        <v>59</v>
      </c>
      <c r="E16" s="20" t="n">
        <v>6537</v>
      </c>
      <c r="F16" s="20" t="n">
        <v>0</v>
      </c>
    </row>
    <row r="17" customFormat="false" ht="15" hidden="false" customHeight="false" outlineLevel="0" collapsed="false">
      <c r="A17" s="22" t="n">
        <v>46114</v>
      </c>
      <c r="B17" s="19" t="s">
        <v>50</v>
      </c>
      <c r="C17" s="19" t="s">
        <v>15</v>
      </c>
      <c r="D17" s="19" t="s">
        <v>15</v>
      </c>
      <c r="E17" s="20" t="n">
        <v>91703</v>
      </c>
      <c r="F17" s="20" t="n">
        <v>0</v>
      </c>
    </row>
    <row r="18" customFormat="false" ht="15" hidden="false" customHeight="false" outlineLevel="0" collapsed="false">
      <c r="A18" s="22" t="n">
        <v>46114</v>
      </c>
      <c r="B18" s="19" t="s">
        <v>50</v>
      </c>
      <c r="C18" s="19" t="s">
        <v>11</v>
      </c>
      <c r="D18" s="19" t="s">
        <v>60</v>
      </c>
      <c r="E18" s="20" t="n">
        <v>60043</v>
      </c>
      <c r="F18" s="20" t="n">
        <v>407169</v>
      </c>
    </row>
    <row r="19" customFormat="false" ht="15" hidden="false" customHeight="false" outlineLevel="0" collapsed="false">
      <c r="A19" s="22" t="n">
        <v>46114</v>
      </c>
      <c r="B19" s="19" t="s">
        <v>50</v>
      </c>
      <c r="C19" s="19" t="s">
        <v>12</v>
      </c>
      <c r="D19" s="19" t="s">
        <v>61</v>
      </c>
      <c r="E19" s="20" t="n">
        <v>27524</v>
      </c>
      <c r="F19" s="20" t="n">
        <v>0</v>
      </c>
    </row>
    <row r="20" customFormat="false" ht="15" hidden="false" customHeight="false" outlineLevel="0" collapsed="false">
      <c r="A20" s="22" t="n">
        <v>46114</v>
      </c>
      <c r="B20" s="19" t="s">
        <v>50</v>
      </c>
      <c r="C20" s="19" t="s">
        <v>14</v>
      </c>
      <c r="D20" s="19" t="s">
        <v>62</v>
      </c>
      <c r="E20" s="20" t="n">
        <v>5202</v>
      </c>
      <c r="F20" s="20" t="n">
        <v>41774</v>
      </c>
    </row>
    <row r="21" customFormat="false" ht="15" hidden="false" customHeight="false" outlineLevel="0" collapsed="false">
      <c r="A21" s="22" t="n">
        <v>46114</v>
      </c>
      <c r="B21" s="19" t="s">
        <v>50</v>
      </c>
      <c r="C21" s="19" t="s">
        <v>11</v>
      </c>
      <c r="D21" s="19" t="s">
        <v>63</v>
      </c>
      <c r="E21" s="20" t="n">
        <v>9562</v>
      </c>
      <c r="F21" s="20" t="n">
        <v>0</v>
      </c>
    </row>
    <row r="22" customFormat="false" ht="15" hidden="false" customHeight="false" outlineLevel="0" collapsed="false">
      <c r="A22" s="22" t="n">
        <v>46114</v>
      </c>
      <c r="B22" s="19" t="s">
        <v>50</v>
      </c>
      <c r="C22" s="19" t="s">
        <v>13</v>
      </c>
      <c r="D22" s="19" t="s">
        <v>64</v>
      </c>
      <c r="E22" s="20" t="n">
        <v>658177</v>
      </c>
      <c r="F22" s="20" t="n">
        <v>3763113</v>
      </c>
    </row>
    <row r="23" customFormat="false" ht="15" hidden="false" customHeight="false" outlineLevel="0" collapsed="false">
      <c r="A23" s="22" t="n">
        <v>46114</v>
      </c>
      <c r="B23" s="19" t="s">
        <v>50</v>
      </c>
      <c r="C23" s="19" t="s">
        <v>12</v>
      </c>
      <c r="D23" s="19" t="s">
        <v>66</v>
      </c>
      <c r="E23" s="20" t="n">
        <v>90232</v>
      </c>
      <c r="F23" s="20" t="n">
        <v>625849</v>
      </c>
    </row>
    <row r="24" customFormat="false" ht="15" hidden="false" customHeight="false" outlineLevel="0" collapsed="false">
      <c r="A24" s="22" t="n">
        <v>46114</v>
      </c>
      <c r="B24" s="19" t="s">
        <v>50</v>
      </c>
      <c r="C24" s="19" t="s">
        <v>12</v>
      </c>
      <c r="D24" s="19" t="s">
        <v>65</v>
      </c>
      <c r="E24" s="20" t="n">
        <v>433443</v>
      </c>
      <c r="F24" s="20" t="n">
        <v>1812914</v>
      </c>
    </row>
    <row r="25" customFormat="false" ht="15" hidden="false" customHeight="false" outlineLevel="0" collapsed="false">
      <c r="A25" s="22" t="n">
        <v>46114</v>
      </c>
      <c r="B25" s="19" t="s">
        <v>50</v>
      </c>
      <c r="C25" s="19" t="s">
        <v>15</v>
      </c>
      <c r="D25" s="19" t="s">
        <v>67</v>
      </c>
      <c r="E25" s="20" t="n">
        <v>44331</v>
      </c>
      <c r="F25" s="20" t="n">
        <v>208698</v>
      </c>
    </row>
    <row r="26" customFormat="false" ht="15" hidden="false" customHeight="false" outlineLevel="0" collapsed="false">
      <c r="A26" s="22" t="n">
        <v>46114</v>
      </c>
      <c r="B26" s="19" t="s">
        <v>50</v>
      </c>
      <c r="C26" s="19" t="s">
        <v>11</v>
      </c>
      <c r="D26" s="19" t="s">
        <v>69</v>
      </c>
      <c r="E26" s="20" t="n">
        <v>58722</v>
      </c>
      <c r="F26" s="20" t="n">
        <v>35000</v>
      </c>
    </row>
    <row r="27" customFormat="false" ht="15" hidden="false" customHeight="false" outlineLevel="0" collapsed="false">
      <c r="A27" s="22" t="n">
        <v>46114</v>
      </c>
      <c r="B27" s="19" t="s">
        <v>50</v>
      </c>
      <c r="C27" s="19" t="s">
        <v>13</v>
      </c>
      <c r="D27" s="19" t="s">
        <v>68</v>
      </c>
      <c r="E27" s="20" t="n">
        <v>64240</v>
      </c>
      <c r="F27" s="20" t="n">
        <v>536144</v>
      </c>
    </row>
    <row r="28" customFormat="false" ht="15" hidden="false" customHeight="false" outlineLevel="0" collapsed="false">
      <c r="A28" s="22" t="n">
        <v>46114</v>
      </c>
      <c r="B28" s="19" t="s">
        <v>50</v>
      </c>
      <c r="C28" s="19" t="s">
        <v>70</v>
      </c>
      <c r="D28" s="19" t="s">
        <v>71</v>
      </c>
      <c r="E28" s="20" t="n">
        <v>3217</v>
      </c>
      <c r="F28" s="20" t="n">
        <v>0</v>
      </c>
    </row>
    <row r="29" customFormat="false" ht="15" hidden="false" customHeight="false" outlineLevel="0" collapsed="false">
      <c r="A29" s="22" t="n">
        <v>46115</v>
      </c>
      <c r="B29" s="19" t="s">
        <v>50</v>
      </c>
      <c r="C29" s="19" t="s">
        <v>12</v>
      </c>
      <c r="D29" s="19" t="s">
        <v>72</v>
      </c>
      <c r="E29" s="20" t="n">
        <v>16515</v>
      </c>
      <c r="F29" s="20" t="n">
        <v>0</v>
      </c>
    </row>
    <row r="30" customFormat="false" ht="15" hidden="false" customHeight="false" outlineLevel="0" collapsed="false">
      <c r="A30" s="22" t="n">
        <v>46115</v>
      </c>
      <c r="B30" s="19" t="s">
        <v>50</v>
      </c>
      <c r="C30" s="19" t="s">
        <v>12</v>
      </c>
      <c r="D30" s="19" t="s">
        <v>58</v>
      </c>
      <c r="E30" s="20" t="n">
        <v>7221</v>
      </c>
      <c r="F30" s="20" t="n">
        <v>0</v>
      </c>
    </row>
    <row r="31" customFormat="false" ht="15" hidden="false" customHeight="false" outlineLevel="0" collapsed="false">
      <c r="A31" s="22" t="n">
        <v>46115</v>
      </c>
      <c r="B31" s="19" t="s">
        <v>50</v>
      </c>
      <c r="C31" s="19" t="s">
        <v>16</v>
      </c>
      <c r="D31" s="19" t="s">
        <v>59</v>
      </c>
      <c r="E31" s="20" t="n">
        <v>4360</v>
      </c>
      <c r="F31" s="20" t="n">
        <v>0</v>
      </c>
    </row>
    <row r="32" customFormat="false" ht="15" hidden="false" customHeight="false" outlineLevel="0" collapsed="false">
      <c r="A32" s="22" t="n">
        <v>46115</v>
      </c>
      <c r="B32" s="19" t="s">
        <v>50</v>
      </c>
      <c r="C32" s="19" t="s">
        <v>15</v>
      </c>
      <c r="D32" s="19" t="s">
        <v>15</v>
      </c>
      <c r="E32" s="20" t="n">
        <v>89233</v>
      </c>
      <c r="F32" s="20" t="n">
        <v>0</v>
      </c>
    </row>
    <row r="33" customFormat="false" ht="15" hidden="false" customHeight="false" outlineLevel="0" collapsed="false">
      <c r="A33" s="22" t="n">
        <v>46115</v>
      </c>
      <c r="B33" s="19" t="s">
        <v>50</v>
      </c>
      <c r="C33" s="19" t="s">
        <v>11</v>
      </c>
      <c r="D33" s="19" t="s">
        <v>60</v>
      </c>
      <c r="E33" s="20" t="n">
        <v>100000</v>
      </c>
      <c r="F33" s="20" t="n">
        <v>754825</v>
      </c>
    </row>
    <row r="34" customFormat="false" ht="15" hidden="false" customHeight="false" outlineLevel="0" collapsed="false">
      <c r="A34" s="22" t="n">
        <v>46115</v>
      </c>
      <c r="B34" s="19" t="s">
        <v>50</v>
      </c>
      <c r="C34" s="19" t="s">
        <v>14</v>
      </c>
      <c r="D34" s="19" t="s">
        <v>73</v>
      </c>
      <c r="E34" s="20" t="n">
        <v>21297</v>
      </c>
      <c r="F34" s="20" t="n">
        <v>0</v>
      </c>
    </row>
    <row r="35" customFormat="false" ht="15" hidden="false" customHeight="false" outlineLevel="0" collapsed="false">
      <c r="A35" s="22" t="n">
        <v>46115</v>
      </c>
      <c r="B35" s="19" t="s">
        <v>50</v>
      </c>
      <c r="C35" s="19" t="s">
        <v>12</v>
      </c>
      <c r="D35" s="19" t="s">
        <v>61</v>
      </c>
      <c r="E35" s="20" t="n">
        <v>14345</v>
      </c>
      <c r="F35" s="20" t="n">
        <v>0</v>
      </c>
    </row>
    <row r="36" customFormat="false" ht="15" hidden="false" customHeight="false" outlineLevel="0" collapsed="false">
      <c r="A36" s="22" t="n">
        <v>46115</v>
      </c>
      <c r="B36" s="19" t="s">
        <v>50</v>
      </c>
      <c r="C36" s="19" t="s">
        <v>16</v>
      </c>
      <c r="D36" s="19" t="s">
        <v>74</v>
      </c>
      <c r="E36" s="20" t="n">
        <v>1524</v>
      </c>
      <c r="F36" s="20" t="n">
        <v>0</v>
      </c>
    </row>
    <row r="37" customFormat="false" ht="15" hidden="false" customHeight="false" outlineLevel="0" collapsed="false">
      <c r="A37" s="22" t="n">
        <v>46115</v>
      </c>
      <c r="B37" s="19" t="s">
        <v>50</v>
      </c>
      <c r="C37" s="19" t="s">
        <v>11</v>
      </c>
      <c r="D37" s="19" t="s">
        <v>63</v>
      </c>
      <c r="E37" s="20" t="n">
        <v>4264</v>
      </c>
      <c r="F37" s="20" t="n">
        <v>37830</v>
      </c>
    </row>
    <row r="38" customFormat="false" ht="15" hidden="false" customHeight="false" outlineLevel="0" collapsed="false">
      <c r="A38" s="22" t="n">
        <v>46115</v>
      </c>
      <c r="B38" s="19" t="s">
        <v>50</v>
      </c>
      <c r="C38" s="19" t="s">
        <v>13</v>
      </c>
      <c r="D38" s="19" t="s">
        <v>64</v>
      </c>
      <c r="E38" s="20" t="n">
        <v>500000</v>
      </c>
      <c r="F38" s="20" t="n">
        <v>3439475</v>
      </c>
    </row>
    <row r="39" customFormat="false" ht="15" hidden="false" customHeight="false" outlineLevel="0" collapsed="false">
      <c r="A39" s="22" t="n">
        <v>46115</v>
      </c>
      <c r="B39" s="19" t="s">
        <v>50</v>
      </c>
      <c r="C39" s="19" t="s">
        <v>12</v>
      </c>
      <c r="D39" s="19" t="s">
        <v>66</v>
      </c>
      <c r="E39" s="20" t="n">
        <v>227504</v>
      </c>
      <c r="F39" s="20" t="n">
        <v>1088239</v>
      </c>
    </row>
    <row r="40" customFormat="false" ht="15" hidden="false" customHeight="false" outlineLevel="0" collapsed="false">
      <c r="A40" s="22" t="n">
        <v>46115</v>
      </c>
      <c r="B40" s="19" t="s">
        <v>50</v>
      </c>
      <c r="C40" s="19" t="s">
        <v>12</v>
      </c>
      <c r="D40" s="19" t="s">
        <v>65</v>
      </c>
      <c r="E40" s="20" t="n">
        <v>154025</v>
      </c>
      <c r="F40" s="20" t="n">
        <v>650363</v>
      </c>
    </row>
    <row r="41" customFormat="false" ht="15" hidden="false" customHeight="false" outlineLevel="0" collapsed="false">
      <c r="A41" s="22" t="n">
        <v>46115</v>
      </c>
      <c r="B41" s="19" t="s">
        <v>50</v>
      </c>
      <c r="C41" s="19" t="s">
        <v>15</v>
      </c>
      <c r="D41" s="19" t="s">
        <v>67</v>
      </c>
      <c r="E41" s="20" t="n">
        <v>53247</v>
      </c>
      <c r="F41" s="20" t="n">
        <v>220800</v>
      </c>
    </row>
    <row r="42" customFormat="false" ht="15" hidden="false" customHeight="false" outlineLevel="0" collapsed="false">
      <c r="A42" s="22" t="n">
        <v>46115</v>
      </c>
      <c r="B42" s="19" t="s">
        <v>50</v>
      </c>
      <c r="C42" s="19" t="s">
        <v>13</v>
      </c>
      <c r="D42" s="19" t="s">
        <v>68</v>
      </c>
      <c r="E42" s="20" t="n">
        <v>184669</v>
      </c>
      <c r="F42" s="20" t="n">
        <v>1112093</v>
      </c>
    </row>
    <row r="43" customFormat="false" ht="15" hidden="false" customHeight="false" outlineLevel="0" collapsed="false">
      <c r="A43" s="22" t="n">
        <v>46115</v>
      </c>
      <c r="B43" s="19" t="s">
        <v>50</v>
      </c>
      <c r="C43" s="19" t="s">
        <v>11</v>
      </c>
      <c r="D43" s="19" t="s">
        <v>69</v>
      </c>
      <c r="E43" s="20" t="n">
        <v>42177</v>
      </c>
      <c r="F43" s="20" t="n">
        <v>141250</v>
      </c>
    </row>
    <row r="44" customFormat="false" ht="15" hidden="false" customHeight="false" outlineLevel="0" collapsed="false">
      <c r="A44" s="22" t="n">
        <v>46115</v>
      </c>
      <c r="B44" s="19" t="s">
        <v>50</v>
      </c>
      <c r="C44" s="19" t="s">
        <v>70</v>
      </c>
      <c r="D44" s="19" t="s">
        <v>71</v>
      </c>
      <c r="E44" s="20" t="n">
        <v>28142</v>
      </c>
      <c r="F44" s="20" t="n">
        <v>135586</v>
      </c>
    </row>
    <row r="45" customFormat="false" ht="15" hidden="false" customHeight="false" outlineLevel="0" collapsed="false">
      <c r="A45" s="22" t="n">
        <v>46116</v>
      </c>
      <c r="B45" s="19" t="s">
        <v>50</v>
      </c>
      <c r="C45" s="19" t="s">
        <v>12</v>
      </c>
      <c r="D45" s="19" t="s">
        <v>72</v>
      </c>
      <c r="E45" s="20" t="n">
        <v>92430</v>
      </c>
      <c r="F45" s="20" t="n">
        <v>950748</v>
      </c>
    </row>
    <row r="46" customFormat="false" ht="15" hidden="false" customHeight="false" outlineLevel="0" collapsed="false">
      <c r="A46" s="22" t="n">
        <v>46116</v>
      </c>
      <c r="B46" s="19" t="s">
        <v>50</v>
      </c>
      <c r="C46" s="19" t="s">
        <v>12</v>
      </c>
      <c r="D46" s="19" t="s">
        <v>58</v>
      </c>
      <c r="E46" s="20" t="n">
        <v>5326</v>
      </c>
      <c r="F46" s="20" t="n">
        <v>0</v>
      </c>
    </row>
    <row r="47" customFormat="false" ht="15" hidden="false" customHeight="false" outlineLevel="0" collapsed="false">
      <c r="A47" s="22" t="n">
        <v>46116</v>
      </c>
      <c r="B47" s="19" t="s">
        <v>50</v>
      </c>
      <c r="C47" s="19" t="s">
        <v>16</v>
      </c>
      <c r="D47" s="19" t="s">
        <v>59</v>
      </c>
      <c r="E47" s="20" t="n">
        <v>34491</v>
      </c>
      <c r="F47" s="20" t="n">
        <v>0</v>
      </c>
    </row>
    <row r="48" customFormat="false" ht="15" hidden="false" customHeight="false" outlineLevel="0" collapsed="false">
      <c r="A48" s="22" t="n">
        <v>46116</v>
      </c>
      <c r="B48" s="19" t="s">
        <v>50</v>
      </c>
      <c r="C48" s="19" t="s">
        <v>11</v>
      </c>
      <c r="D48" s="19" t="s">
        <v>60</v>
      </c>
      <c r="E48" s="20" t="n">
        <v>232608</v>
      </c>
      <c r="F48" s="20" t="n">
        <v>999425</v>
      </c>
    </row>
    <row r="49" customFormat="false" ht="15" hidden="false" customHeight="false" outlineLevel="0" collapsed="false">
      <c r="A49" s="22" t="n">
        <v>46116</v>
      </c>
      <c r="B49" s="19" t="s">
        <v>50</v>
      </c>
      <c r="C49" s="19" t="s">
        <v>14</v>
      </c>
      <c r="D49" s="19" t="s">
        <v>73</v>
      </c>
      <c r="E49" s="20" t="n">
        <v>94211</v>
      </c>
      <c r="F49" s="20" t="n">
        <v>343750</v>
      </c>
    </row>
    <row r="50" customFormat="false" ht="15" hidden="false" customHeight="false" outlineLevel="0" collapsed="false">
      <c r="A50" s="22" t="n">
        <v>46116</v>
      </c>
      <c r="B50" s="19" t="s">
        <v>50</v>
      </c>
      <c r="C50" s="19" t="s">
        <v>15</v>
      </c>
      <c r="D50" s="19" t="s">
        <v>15</v>
      </c>
      <c r="E50" s="20" t="n">
        <v>99711</v>
      </c>
      <c r="F50" s="20" t="n">
        <v>358457</v>
      </c>
    </row>
    <row r="51" customFormat="false" ht="15" hidden="false" customHeight="false" outlineLevel="0" collapsed="false">
      <c r="A51" s="22" t="n">
        <v>46116</v>
      </c>
      <c r="B51" s="19" t="s">
        <v>50</v>
      </c>
      <c r="C51" s="19" t="s">
        <v>12</v>
      </c>
      <c r="D51" s="19" t="s">
        <v>61</v>
      </c>
      <c r="E51" s="20" t="n">
        <v>45214</v>
      </c>
      <c r="F51" s="20" t="n">
        <v>740489</v>
      </c>
    </row>
    <row r="52" customFormat="false" ht="15" hidden="false" customHeight="false" outlineLevel="0" collapsed="false">
      <c r="A52" s="22" t="n">
        <v>46116</v>
      </c>
      <c r="B52" s="19" t="s">
        <v>50</v>
      </c>
      <c r="C52" s="19" t="s">
        <v>14</v>
      </c>
      <c r="D52" s="19" t="s">
        <v>62</v>
      </c>
      <c r="E52" s="20" t="n">
        <v>6204</v>
      </c>
      <c r="F52" s="20" t="n">
        <v>447440</v>
      </c>
    </row>
    <row r="53" customFormat="false" ht="15" hidden="false" customHeight="false" outlineLevel="0" collapsed="false">
      <c r="A53" s="22" t="n">
        <v>46116</v>
      </c>
      <c r="B53" s="19" t="s">
        <v>50</v>
      </c>
      <c r="C53" s="19" t="s">
        <v>16</v>
      </c>
      <c r="D53" s="19" t="s">
        <v>74</v>
      </c>
      <c r="E53" s="20" t="n">
        <v>7788</v>
      </c>
      <c r="F53" s="20" t="n">
        <v>411168</v>
      </c>
    </row>
    <row r="54" customFormat="false" ht="15" hidden="false" customHeight="false" outlineLevel="0" collapsed="false">
      <c r="A54" s="22" t="n">
        <v>46116</v>
      </c>
      <c r="B54" s="19" t="s">
        <v>50</v>
      </c>
      <c r="C54" s="19" t="s">
        <v>11</v>
      </c>
      <c r="D54" s="19" t="s">
        <v>63</v>
      </c>
      <c r="E54" s="20" t="n">
        <v>41198</v>
      </c>
      <c r="F54" s="20" t="n">
        <v>177710</v>
      </c>
    </row>
    <row r="55" customFormat="false" ht="15" hidden="false" customHeight="false" outlineLevel="0" collapsed="false">
      <c r="A55" s="22" t="n">
        <v>46116</v>
      </c>
      <c r="B55" s="19" t="s">
        <v>50</v>
      </c>
      <c r="C55" s="19" t="s">
        <v>12</v>
      </c>
      <c r="D55" s="19" t="s">
        <v>66</v>
      </c>
      <c r="E55" s="20" t="n">
        <v>148264</v>
      </c>
      <c r="F55" s="20" t="n">
        <v>554878</v>
      </c>
    </row>
    <row r="56" customFormat="false" ht="15" hidden="false" customHeight="false" outlineLevel="0" collapsed="false">
      <c r="A56" s="22" t="n">
        <v>46116</v>
      </c>
      <c r="B56" s="19" t="s">
        <v>50</v>
      </c>
      <c r="C56" s="19" t="s">
        <v>13</v>
      </c>
      <c r="D56" s="19" t="s">
        <v>64</v>
      </c>
      <c r="E56" s="20" t="n">
        <v>800000</v>
      </c>
      <c r="F56" s="20" t="n">
        <v>5223207</v>
      </c>
    </row>
    <row r="57" customFormat="false" ht="15" hidden="false" customHeight="false" outlineLevel="0" collapsed="false">
      <c r="A57" s="22" t="n">
        <v>46116</v>
      </c>
      <c r="B57" s="19" t="s">
        <v>50</v>
      </c>
      <c r="C57" s="19" t="s">
        <v>15</v>
      </c>
      <c r="D57" s="19" t="s">
        <v>67</v>
      </c>
      <c r="E57" s="20" t="n">
        <v>200000</v>
      </c>
      <c r="F57" s="20" t="n">
        <v>998373</v>
      </c>
    </row>
    <row r="58" customFormat="false" ht="15" hidden="false" customHeight="false" outlineLevel="0" collapsed="false">
      <c r="A58" s="22" t="n">
        <v>46116</v>
      </c>
      <c r="B58" s="19" t="s">
        <v>50</v>
      </c>
      <c r="C58" s="19" t="s">
        <v>12</v>
      </c>
      <c r="D58" s="19" t="s">
        <v>65</v>
      </c>
      <c r="E58" s="20" t="n">
        <v>500000</v>
      </c>
      <c r="F58" s="20" t="n">
        <v>2839436</v>
      </c>
    </row>
    <row r="59" customFormat="false" ht="15" hidden="false" customHeight="false" outlineLevel="0" collapsed="false">
      <c r="A59" s="22" t="n">
        <v>46116</v>
      </c>
      <c r="B59" s="19" t="s">
        <v>50</v>
      </c>
      <c r="C59" s="19" t="s">
        <v>11</v>
      </c>
      <c r="D59" s="19" t="s">
        <v>69</v>
      </c>
      <c r="E59" s="20" t="n">
        <v>64524</v>
      </c>
      <c r="F59" s="20" t="n">
        <v>209499</v>
      </c>
    </row>
    <row r="60" customFormat="false" ht="15" hidden="false" customHeight="false" outlineLevel="0" collapsed="false">
      <c r="A60" s="22" t="n">
        <v>46116</v>
      </c>
      <c r="B60" s="19" t="s">
        <v>50</v>
      </c>
      <c r="C60" s="19" t="s">
        <v>13</v>
      </c>
      <c r="D60" s="19" t="s">
        <v>68</v>
      </c>
      <c r="E60" s="20" t="n">
        <v>95997</v>
      </c>
      <c r="F60" s="20" t="n">
        <v>173528</v>
      </c>
    </row>
    <row r="61" customFormat="false" ht="15" hidden="false" customHeight="false" outlineLevel="0" collapsed="false">
      <c r="A61" s="22" t="n">
        <v>46116</v>
      </c>
      <c r="B61" s="19" t="s">
        <v>50</v>
      </c>
      <c r="C61" s="19" t="s">
        <v>70</v>
      </c>
      <c r="D61" s="19" t="s">
        <v>71</v>
      </c>
      <c r="E61" s="20" t="n">
        <v>48777</v>
      </c>
      <c r="F61" s="20" t="n">
        <v>140650</v>
      </c>
    </row>
    <row r="62" customFormat="false" ht="15" hidden="false" customHeight="false" outlineLevel="0" collapsed="false">
      <c r="A62" s="22" t="n">
        <v>46117</v>
      </c>
      <c r="B62" s="19" t="s">
        <v>50</v>
      </c>
      <c r="C62" s="19" t="s">
        <v>12</v>
      </c>
      <c r="D62" s="19" t="s">
        <v>72</v>
      </c>
      <c r="E62" s="20" t="n">
        <v>74157</v>
      </c>
      <c r="F62" s="20" t="n">
        <v>0</v>
      </c>
    </row>
    <row r="63" customFormat="false" ht="15" hidden="false" customHeight="false" outlineLevel="0" collapsed="false">
      <c r="A63" s="22" t="n">
        <v>46117</v>
      </c>
      <c r="B63" s="19" t="s">
        <v>50</v>
      </c>
      <c r="C63" s="19" t="s">
        <v>12</v>
      </c>
      <c r="D63" s="19" t="s">
        <v>58</v>
      </c>
      <c r="E63" s="20" t="n">
        <v>13504</v>
      </c>
      <c r="F63" s="20" t="n">
        <v>0</v>
      </c>
    </row>
    <row r="64" customFormat="false" ht="15" hidden="false" customHeight="false" outlineLevel="0" collapsed="false">
      <c r="A64" s="22" t="n">
        <v>46117</v>
      </c>
      <c r="B64" s="19" t="s">
        <v>50</v>
      </c>
      <c r="C64" s="19" t="s">
        <v>16</v>
      </c>
      <c r="D64" s="19" t="s">
        <v>59</v>
      </c>
      <c r="E64" s="20" t="n">
        <v>722</v>
      </c>
      <c r="F64" s="20" t="n">
        <v>0</v>
      </c>
    </row>
    <row r="65" customFormat="false" ht="15" hidden="false" customHeight="false" outlineLevel="0" collapsed="false">
      <c r="A65" s="22" t="n">
        <v>46117</v>
      </c>
      <c r="B65" s="19" t="s">
        <v>50</v>
      </c>
      <c r="C65" s="19" t="s">
        <v>15</v>
      </c>
      <c r="D65" s="19" t="s">
        <v>15</v>
      </c>
      <c r="E65" s="20" t="n">
        <v>89752</v>
      </c>
      <c r="F65" s="20" t="n">
        <v>111731</v>
      </c>
    </row>
    <row r="66" customFormat="false" ht="15" hidden="false" customHeight="false" outlineLevel="0" collapsed="false">
      <c r="A66" s="22" t="n">
        <v>46117</v>
      </c>
      <c r="B66" s="19" t="s">
        <v>50</v>
      </c>
      <c r="C66" s="19" t="s">
        <v>14</v>
      </c>
      <c r="D66" s="19" t="s">
        <v>73</v>
      </c>
      <c r="E66" s="20" t="n">
        <v>77237</v>
      </c>
      <c r="F66" s="20" t="n">
        <v>433005</v>
      </c>
    </row>
    <row r="67" customFormat="false" ht="15" hidden="false" customHeight="false" outlineLevel="0" collapsed="false">
      <c r="A67" s="22" t="n">
        <v>46117</v>
      </c>
      <c r="B67" s="19" t="s">
        <v>50</v>
      </c>
      <c r="C67" s="19" t="s">
        <v>11</v>
      </c>
      <c r="D67" s="19" t="s">
        <v>60</v>
      </c>
      <c r="E67" s="20" t="n">
        <v>31690</v>
      </c>
      <c r="F67" s="20" t="n">
        <v>138000</v>
      </c>
    </row>
    <row r="68" customFormat="false" ht="15" hidden="false" customHeight="false" outlineLevel="0" collapsed="false">
      <c r="A68" s="22" t="n">
        <v>46117</v>
      </c>
      <c r="B68" s="19" t="s">
        <v>50</v>
      </c>
      <c r="C68" s="19" t="s">
        <v>12</v>
      </c>
      <c r="D68" s="19" t="s">
        <v>61</v>
      </c>
      <c r="E68" s="20" t="n">
        <v>15664</v>
      </c>
      <c r="F68" s="20" t="n">
        <v>0</v>
      </c>
    </row>
    <row r="69" customFormat="false" ht="15" hidden="false" customHeight="false" outlineLevel="0" collapsed="false">
      <c r="A69" s="22" t="n">
        <v>46117</v>
      </c>
      <c r="B69" s="19" t="s">
        <v>50</v>
      </c>
      <c r="C69" s="19" t="s">
        <v>14</v>
      </c>
      <c r="D69" s="19" t="s">
        <v>62</v>
      </c>
      <c r="E69" s="20" t="n">
        <v>8091</v>
      </c>
      <c r="F69" s="20" t="n">
        <v>0</v>
      </c>
    </row>
    <row r="70" customFormat="false" ht="15" hidden="false" customHeight="false" outlineLevel="0" collapsed="false">
      <c r="A70" s="22" t="n">
        <v>46117</v>
      </c>
      <c r="B70" s="19" t="s">
        <v>50</v>
      </c>
      <c r="C70" s="19" t="s">
        <v>16</v>
      </c>
      <c r="D70" s="19" t="s">
        <v>74</v>
      </c>
      <c r="E70" s="20" t="n">
        <v>10137</v>
      </c>
      <c r="F70" s="20" t="n">
        <v>0</v>
      </c>
    </row>
    <row r="71" customFormat="false" ht="15" hidden="false" customHeight="false" outlineLevel="0" collapsed="false">
      <c r="A71" s="22" t="n">
        <v>46117</v>
      </c>
      <c r="B71" s="19" t="s">
        <v>50</v>
      </c>
      <c r="C71" s="19" t="s">
        <v>11</v>
      </c>
      <c r="D71" s="19" t="s">
        <v>63</v>
      </c>
      <c r="E71" s="20" t="n">
        <v>4916</v>
      </c>
      <c r="F71" s="20" t="n">
        <v>0</v>
      </c>
    </row>
    <row r="72" customFormat="false" ht="15" hidden="false" customHeight="false" outlineLevel="0" collapsed="false">
      <c r="A72" s="22" t="n">
        <v>46117</v>
      </c>
      <c r="B72" s="19" t="s">
        <v>50</v>
      </c>
      <c r="C72" s="19" t="s">
        <v>13</v>
      </c>
      <c r="D72" s="19" t="s">
        <v>64</v>
      </c>
      <c r="E72" s="20" t="n">
        <v>349674</v>
      </c>
      <c r="F72" s="20" t="n">
        <v>1461704</v>
      </c>
    </row>
    <row r="73" customFormat="false" ht="15" hidden="false" customHeight="false" outlineLevel="0" collapsed="false">
      <c r="A73" s="22" t="n">
        <v>46117</v>
      </c>
      <c r="B73" s="19" t="s">
        <v>50</v>
      </c>
      <c r="C73" s="19" t="s">
        <v>15</v>
      </c>
      <c r="D73" s="19" t="s">
        <v>67</v>
      </c>
      <c r="E73" s="20" t="n">
        <v>81340</v>
      </c>
      <c r="F73" s="20" t="n">
        <v>0</v>
      </c>
    </row>
    <row r="74" customFormat="false" ht="15" hidden="false" customHeight="false" outlineLevel="0" collapsed="false">
      <c r="A74" s="22" t="n">
        <v>46117</v>
      </c>
      <c r="B74" s="19" t="s">
        <v>50</v>
      </c>
      <c r="C74" s="19" t="s">
        <v>12</v>
      </c>
      <c r="D74" s="19" t="s">
        <v>66</v>
      </c>
      <c r="E74" s="20" t="n">
        <v>31813</v>
      </c>
      <c r="F74" s="20" t="n">
        <v>0</v>
      </c>
    </row>
    <row r="75" customFormat="false" ht="15" hidden="false" customHeight="false" outlineLevel="0" collapsed="false">
      <c r="A75" s="22" t="n">
        <v>46117</v>
      </c>
      <c r="B75" s="19" t="s">
        <v>50</v>
      </c>
      <c r="C75" s="19" t="s">
        <v>12</v>
      </c>
      <c r="D75" s="19" t="s">
        <v>65</v>
      </c>
      <c r="E75" s="20" t="n">
        <v>200000</v>
      </c>
      <c r="F75" s="20" t="n">
        <v>0</v>
      </c>
    </row>
    <row r="76" customFormat="false" ht="15" hidden="false" customHeight="false" outlineLevel="0" collapsed="false">
      <c r="A76" s="22" t="n">
        <v>46117</v>
      </c>
      <c r="B76" s="19" t="s">
        <v>50</v>
      </c>
      <c r="C76" s="19" t="s">
        <v>13</v>
      </c>
      <c r="D76" s="19" t="s">
        <v>68</v>
      </c>
      <c r="E76" s="20" t="n">
        <v>20271</v>
      </c>
      <c r="F76" s="20" t="n">
        <v>0</v>
      </c>
    </row>
    <row r="77" customFormat="false" ht="15" hidden="false" customHeight="false" outlineLevel="0" collapsed="false">
      <c r="A77" s="22" t="n">
        <v>46117</v>
      </c>
      <c r="B77" s="19" t="s">
        <v>50</v>
      </c>
      <c r="C77" s="19" t="s">
        <v>11</v>
      </c>
      <c r="D77" s="19" t="s">
        <v>69</v>
      </c>
      <c r="E77" s="20" t="n">
        <v>6513</v>
      </c>
      <c r="F77" s="20" t="n">
        <v>0</v>
      </c>
    </row>
    <row r="78" customFormat="false" ht="15" hidden="false" customHeight="false" outlineLevel="0" collapsed="false">
      <c r="A78" s="22" t="n">
        <v>46117</v>
      </c>
      <c r="B78" s="19" t="s">
        <v>50</v>
      </c>
      <c r="C78" s="19" t="s">
        <v>70</v>
      </c>
      <c r="D78" s="19" t="s">
        <v>71</v>
      </c>
      <c r="E78" s="20" t="n">
        <v>8950</v>
      </c>
      <c r="F78" s="20" t="n">
        <v>0</v>
      </c>
    </row>
    <row r="79" customFormat="false" ht="15" hidden="false" customHeight="false" outlineLevel="0" collapsed="false">
      <c r="A79" s="22" t="n">
        <v>46118</v>
      </c>
      <c r="B79" s="19" t="s">
        <v>50</v>
      </c>
      <c r="C79" s="19" t="s">
        <v>12</v>
      </c>
      <c r="D79" s="19" t="s">
        <v>72</v>
      </c>
      <c r="E79" s="20" t="n">
        <v>77639</v>
      </c>
      <c r="F79" s="20" t="n">
        <v>0</v>
      </c>
    </row>
    <row r="80" customFormat="false" ht="15" hidden="false" customHeight="false" outlineLevel="0" collapsed="false">
      <c r="A80" s="22" t="n">
        <v>46118</v>
      </c>
      <c r="B80" s="19" t="s">
        <v>50</v>
      </c>
      <c r="C80" s="19" t="s">
        <v>12</v>
      </c>
      <c r="D80" s="19" t="s">
        <v>58</v>
      </c>
      <c r="E80" s="20" t="n">
        <v>36964</v>
      </c>
      <c r="F80" s="20" t="n">
        <v>120280</v>
      </c>
    </row>
    <row r="81" customFormat="false" ht="15" hidden="false" customHeight="false" outlineLevel="0" collapsed="false">
      <c r="A81" s="22" t="n">
        <v>46118</v>
      </c>
      <c r="B81" s="19" t="s">
        <v>50</v>
      </c>
      <c r="C81" s="19" t="s">
        <v>16</v>
      </c>
      <c r="D81" s="19" t="s">
        <v>59</v>
      </c>
      <c r="E81" s="20" t="n">
        <v>5263</v>
      </c>
      <c r="F81" s="20" t="n">
        <v>0</v>
      </c>
    </row>
    <row r="82" customFormat="false" ht="15" hidden="false" customHeight="false" outlineLevel="0" collapsed="false">
      <c r="A82" s="22" t="n">
        <v>46118</v>
      </c>
      <c r="B82" s="19" t="s">
        <v>50</v>
      </c>
      <c r="C82" s="19" t="s">
        <v>11</v>
      </c>
      <c r="D82" s="19" t="s">
        <v>60</v>
      </c>
      <c r="E82" s="20" t="n">
        <v>85469</v>
      </c>
      <c r="F82" s="20" t="n">
        <v>407207</v>
      </c>
    </row>
    <row r="83" customFormat="false" ht="15" hidden="false" customHeight="false" outlineLevel="0" collapsed="false">
      <c r="A83" s="22" t="n">
        <v>46118</v>
      </c>
      <c r="B83" s="19" t="s">
        <v>50</v>
      </c>
      <c r="C83" s="19" t="s">
        <v>15</v>
      </c>
      <c r="D83" s="19" t="s">
        <v>15</v>
      </c>
      <c r="E83" s="20" t="n">
        <v>79145</v>
      </c>
      <c r="F83" s="20" t="n">
        <v>373100</v>
      </c>
    </row>
    <row r="84" customFormat="false" ht="15" hidden="false" customHeight="false" outlineLevel="0" collapsed="false">
      <c r="A84" s="22" t="n">
        <v>46118</v>
      </c>
      <c r="B84" s="19" t="s">
        <v>50</v>
      </c>
      <c r="C84" s="19" t="s">
        <v>14</v>
      </c>
      <c r="D84" s="19" t="s">
        <v>73</v>
      </c>
      <c r="E84" s="20" t="n">
        <v>74733</v>
      </c>
      <c r="F84" s="20" t="n">
        <v>69000</v>
      </c>
    </row>
    <row r="85" customFormat="false" ht="15" hidden="false" customHeight="false" outlineLevel="0" collapsed="false">
      <c r="A85" s="22" t="n">
        <v>46118</v>
      </c>
      <c r="B85" s="19" t="s">
        <v>50</v>
      </c>
      <c r="C85" s="19" t="s">
        <v>12</v>
      </c>
      <c r="D85" s="19" t="s">
        <v>61</v>
      </c>
      <c r="E85" s="20" t="n">
        <v>6855</v>
      </c>
      <c r="F85" s="20" t="n">
        <v>0</v>
      </c>
    </row>
    <row r="86" customFormat="false" ht="15" hidden="false" customHeight="false" outlineLevel="0" collapsed="false">
      <c r="A86" s="22" t="n">
        <v>46118</v>
      </c>
      <c r="B86" s="19" t="s">
        <v>50</v>
      </c>
      <c r="C86" s="19" t="s">
        <v>16</v>
      </c>
      <c r="D86" s="19" t="s">
        <v>74</v>
      </c>
      <c r="E86" s="20" t="n">
        <v>1506</v>
      </c>
      <c r="F86" s="20" t="n">
        <v>0</v>
      </c>
    </row>
    <row r="87" customFormat="false" ht="15" hidden="false" customHeight="false" outlineLevel="0" collapsed="false">
      <c r="A87" s="22" t="n">
        <v>46118</v>
      </c>
      <c r="B87" s="19" t="s">
        <v>50</v>
      </c>
      <c r="C87" s="19" t="s">
        <v>14</v>
      </c>
      <c r="D87" s="19" t="s">
        <v>62</v>
      </c>
      <c r="E87" s="20" t="n">
        <v>1454</v>
      </c>
      <c r="F87" s="20" t="n">
        <v>69000</v>
      </c>
    </row>
    <row r="88" customFormat="false" ht="15" hidden="false" customHeight="false" outlineLevel="0" collapsed="false">
      <c r="A88" s="22" t="n">
        <v>46118</v>
      </c>
      <c r="B88" s="19" t="s">
        <v>50</v>
      </c>
      <c r="C88" s="19" t="s">
        <v>11</v>
      </c>
      <c r="D88" s="19" t="s">
        <v>63</v>
      </c>
      <c r="E88" s="20" t="n">
        <v>15643</v>
      </c>
      <c r="F88" s="20" t="n">
        <v>126750</v>
      </c>
    </row>
    <row r="89" customFormat="false" ht="15" hidden="false" customHeight="false" outlineLevel="0" collapsed="false">
      <c r="A89" s="22" t="n">
        <v>46118</v>
      </c>
      <c r="B89" s="19" t="s">
        <v>50</v>
      </c>
      <c r="C89" s="19" t="s">
        <v>12</v>
      </c>
      <c r="D89" s="19" t="s">
        <v>66</v>
      </c>
      <c r="E89" s="20" t="n">
        <v>200000</v>
      </c>
      <c r="F89" s="20" t="n">
        <v>1635527</v>
      </c>
    </row>
    <row r="90" customFormat="false" ht="15" hidden="false" customHeight="false" outlineLevel="0" collapsed="false">
      <c r="A90" s="22" t="n">
        <v>46118</v>
      </c>
      <c r="B90" s="19" t="s">
        <v>50</v>
      </c>
      <c r="C90" s="19" t="s">
        <v>13</v>
      </c>
      <c r="D90" s="19" t="s">
        <v>64</v>
      </c>
      <c r="E90" s="20" t="n">
        <v>565908</v>
      </c>
      <c r="F90" s="20" t="n">
        <v>3144598</v>
      </c>
    </row>
    <row r="91" customFormat="false" ht="15" hidden="false" customHeight="false" outlineLevel="0" collapsed="false">
      <c r="A91" s="22" t="n">
        <v>46118</v>
      </c>
      <c r="B91" s="19" t="s">
        <v>50</v>
      </c>
      <c r="C91" s="19" t="s">
        <v>12</v>
      </c>
      <c r="D91" s="19" t="s">
        <v>75</v>
      </c>
      <c r="E91" s="20" t="n">
        <v>46100</v>
      </c>
      <c r="F91" s="20" t="n">
        <v>0</v>
      </c>
    </row>
    <row r="92" customFormat="false" ht="15" hidden="false" customHeight="false" outlineLevel="0" collapsed="false">
      <c r="A92" s="22" t="n">
        <v>46118</v>
      </c>
      <c r="B92" s="19" t="s">
        <v>50</v>
      </c>
      <c r="C92" s="19" t="s">
        <v>12</v>
      </c>
      <c r="D92" s="19" t="s">
        <v>76</v>
      </c>
      <c r="E92" s="20" t="n">
        <v>153307</v>
      </c>
      <c r="F92" s="20" t="n">
        <v>273004</v>
      </c>
    </row>
    <row r="93" customFormat="false" ht="15" hidden="false" customHeight="false" outlineLevel="0" collapsed="false">
      <c r="A93" s="22" t="n">
        <v>46118</v>
      </c>
      <c r="B93" s="19" t="s">
        <v>50</v>
      </c>
      <c r="C93" s="19" t="s">
        <v>14</v>
      </c>
      <c r="D93" s="19" t="s">
        <v>77</v>
      </c>
      <c r="E93" s="20" t="n">
        <v>107959</v>
      </c>
      <c r="F93" s="20" t="n">
        <v>143560</v>
      </c>
    </row>
    <row r="94" customFormat="false" ht="15" hidden="false" customHeight="false" outlineLevel="0" collapsed="false">
      <c r="A94" s="22" t="n">
        <v>46118</v>
      </c>
      <c r="B94" s="19" t="s">
        <v>50</v>
      </c>
      <c r="C94" s="19" t="s">
        <v>12</v>
      </c>
      <c r="D94" s="19" t="s">
        <v>65</v>
      </c>
      <c r="E94" s="20" t="n">
        <v>124291</v>
      </c>
      <c r="F94" s="20" t="n">
        <v>590527</v>
      </c>
    </row>
    <row r="95" customFormat="false" ht="15" hidden="false" customHeight="false" outlineLevel="0" collapsed="false">
      <c r="A95" s="22" t="n">
        <v>46118</v>
      </c>
      <c r="B95" s="19" t="s">
        <v>50</v>
      </c>
      <c r="C95" s="19" t="s">
        <v>13</v>
      </c>
      <c r="D95" s="19" t="s">
        <v>68</v>
      </c>
      <c r="E95" s="20" t="n">
        <v>142120</v>
      </c>
      <c r="F95" s="20" t="n">
        <v>979309</v>
      </c>
    </row>
    <row r="96" customFormat="false" ht="15" hidden="false" customHeight="false" outlineLevel="0" collapsed="false">
      <c r="A96" s="22" t="n">
        <v>46118</v>
      </c>
      <c r="B96" s="19" t="s">
        <v>50</v>
      </c>
      <c r="C96" s="19" t="s">
        <v>11</v>
      </c>
      <c r="D96" s="19" t="s">
        <v>69</v>
      </c>
      <c r="E96" s="20" t="n">
        <v>26276</v>
      </c>
      <c r="F96" s="20" t="n">
        <v>252800</v>
      </c>
    </row>
    <row r="97" customFormat="false" ht="15" hidden="false" customHeight="false" outlineLevel="0" collapsed="false">
      <c r="A97" s="22" t="n">
        <v>46118</v>
      </c>
      <c r="B97" s="19" t="s">
        <v>50</v>
      </c>
      <c r="C97" s="19" t="s">
        <v>70</v>
      </c>
      <c r="D97" s="19" t="s">
        <v>71</v>
      </c>
      <c r="E97" s="20" t="n">
        <v>62744</v>
      </c>
      <c r="F97" s="20" t="n">
        <v>281300</v>
      </c>
    </row>
    <row r="98" customFormat="false" ht="15" hidden="false" customHeight="false" outlineLevel="0" collapsed="false">
      <c r="A98" s="22" t="n">
        <v>46118</v>
      </c>
      <c r="B98" s="19" t="s">
        <v>50</v>
      </c>
      <c r="C98" s="19" t="s">
        <v>15</v>
      </c>
      <c r="D98" s="19" t="s">
        <v>67</v>
      </c>
      <c r="E98" s="20" t="n">
        <v>15258</v>
      </c>
      <c r="F98" s="20" t="n">
        <v>0</v>
      </c>
    </row>
    <row r="99" customFormat="false" ht="15" hidden="false" customHeight="false" outlineLevel="0" collapsed="false">
      <c r="A99" s="22" t="n">
        <v>46118</v>
      </c>
      <c r="B99" s="19" t="s">
        <v>50</v>
      </c>
      <c r="C99" s="19" t="s">
        <v>12</v>
      </c>
      <c r="D99" s="19" t="s">
        <v>78</v>
      </c>
      <c r="E99" s="20" t="n">
        <v>6398</v>
      </c>
      <c r="F99" s="20" t="n">
        <v>0</v>
      </c>
    </row>
    <row r="100" customFormat="false" ht="15" hidden="false" customHeight="false" outlineLevel="0" collapsed="false">
      <c r="A100" s="22" t="n">
        <v>46119</v>
      </c>
      <c r="B100" s="19" t="s">
        <v>50</v>
      </c>
      <c r="C100" s="19" t="s">
        <v>12</v>
      </c>
      <c r="D100" s="19" t="s">
        <v>72</v>
      </c>
      <c r="E100" s="20" t="n">
        <v>40546</v>
      </c>
      <c r="F100" s="20" t="n">
        <v>283200</v>
      </c>
    </row>
    <row r="101" customFormat="false" ht="15" hidden="false" customHeight="false" outlineLevel="0" collapsed="false">
      <c r="A101" s="22" t="n">
        <v>46119</v>
      </c>
      <c r="B101" s="19" t="s">
        <v>50</v>
      </c>
      <c r="C101" s="19" t="s">
        <v>12</v>
      </c>
      <c r="D101" s="19" t="s">
        <v>58</v>
      </c>
      <c r="E101" s="20" t="n">
        <v>14771</v>
      </c>
      <c r="F101" s="20" t="n">
        <v>0</v>
      </c>
    </row>
    <row r="102" customFormat="false" ht="15" hidden="false" customHeight="false" outlineLevel="0" collapsed="false">
      <c r="A102" s="22" t="n">
        <v>46119</v>
      </c>
      <c r="B102" s="19" t="s">
        <v>50</v>
      </c>
      <c r="C102" s="19" t="s">
        <v>15</v>
      </c>
      <c r="D102" s="19" t="s">
        <v>15</v>
      </c>
      <c r="E102" s="20" t="n">
        <v>150317</v>
      </c>
      <c r="F102" s="20" t="n">
        <v>142868</v>
      </c>
    </row>
    <row r="103" customFormat="false" ht="15" hidden="false" customHeight="false" outlineLevel="0" collapsed="false">
      <c r="A103" s="22" t="n">
        <v>46119</v>
      </c>
      <c r="B103" s="19" t="s">
        <v>50</v>
      </c>
      <c r="C103" s="19" t="s">
        <v>14</v>
      </c>
      <c r="D103" s="19" t="s">
        <v>73</v>
      </c>
      <c r="E103" s="20" t="n">
        <v>68671</v>
      </c>
      <c r="F103" s="20" t="n">
        <v>0</v>
      </c>
    </row>
    <row r="104" customFormat="false" ht="15" hidden="false" customHeight="false" outlineLevel="0" collapsed="false">
      <c r="A104" s="22" t="n">
        <v>46119</v>
      </c>
      <c r="B104" s="19" t="s">
        <v>50</v>
      </c>
      <c r="C104" s="19" t="s">
        <v>11</v>
      </c>
      <c r="D104" s="19" t="s">
        <v>60</v>
      </c>
      <c r="E104" s="20" t="n">
        <v>24663</v>
      </c>
      <c r="F104" s="20" t="n">
        <v>69000</v>
      </c>
    </row>
    <row r="105" customFormat="false" ht="15" hidden="false" customHeight="false" outlineLevel="0" collapsed="false">
      <c r="A105" s="22" t="n">
        <v>46119</v>
      </c>
      <c r="B105" s="19" t="s">
        <v>50</v>
      </c>
      <c r="C105" s="19" t="s">
        <v>12</v>
      </c>
      <c r="D105" s="19" t="s">
        <v>61</v>
      </c>
      <c r="E105" s="20" t="n">
        <v>63977</v>
      </c>
      <c r="F105" s="20" t="n">
        <v>401280</v>
      </c>
    </row>
    <row r="106" customFormat="false" ht="15" hidden="false" customHeight="false" outlineLevel="0" collapsed="false">
      <c r="A106" s="22" t="n">
        <v>46119</v>
      </c>
      <c r="B106" s="19" t="s">
        <v>50</v>
      </c>
      <c r="C106" s="19" t="s">
        <v>16</v>
      </c>
      <c r="D106" s="19" t="s">
        <v>74</v>
      </c>
      <c r="E106" s="20" t="n">
        <v>8287</v>
      </c>
      <c r="F106" s="20" t="n">
        <v>0</v>
      </c>
    </row>
    <row r="107" customFormat="false" ht="15" hidden="false" customHeight="false" outlineLevel="0" collapsed="false">
      <c r="A107" s="22" t="n">
        <v>46119</v>
      </c>
      <c r="B107" s="19" t="s">
        <v>50</v>
      </c>
      <c r="C107" s="19" t="s">
        <v>14</v>
      </c>
      <c r="D107" s="19" t="s">
        <v>62</v>
      </c>
      <c r="E107" s="20" t="n">
        <v>857</v>
      </c>
      <c r="F107" s="20" t="n">
        <v>0</v>
      </c>
    </row>
    <row r="108" customFormat="false" ht="15" hidden="false" customHeight="false" outlineLevel="0" collapsed="false">
      <c r="A108" s="22" t="n">
        <v>46119</v>
      </c>
      <c r="B108" s="19" t="s">
        <v>50</v>
      </c>
      <c r="C108" s="19" t="s">
        <v>11</v>
      </c>
      <c r="D108" s="19" t="s">
        <v>63</v>
      </c>
      <c r="E108" s="20" t="n">
        <v>6701</v>
      </c>
      <c r="F108" s="20" t="n">
        <v>0</v>
      </c>
    </row>
    <row r="109" customFormat="false" ht="15" hidden="false" customHeight="false" outlineLevel="0" collapsed="false">
      <c r="A109" s="22" t="n">
        <v>46119</v>
      </c>
      <c r="B109" s="19" t="s">
        <v>50</v>
      </c>
      <c r="C109" s="19" t="s">
        <v>13</v>
      </c>
      <c r="D109" s="19" t="s">
        <v>64</v>
      </c>
      <c r="E109" s="20" t="n">
        <v>1200000</v>
      </c>
      <c r="F109" s="20" t="n">
        <v>6820023</v>
      </c>
    </row>
    <row r="110" customFormat="false" ht="15" hidden="false" customHeight="false" outlineLevel="0" collapsed="false">
      <c r="A110" s="22" t="n">
        <v>46119</v>
      </c>
      <c r="B110" s="19" t="s">
        <v>50</v>
      </c>
      <c r="C110" s="19" t="s">
        <v>12</v>
      </c>
      <c r="D110" s="19" t="s">
        <v>66</v>
      </c>
      <c r="E110" s="20" t="n">
        <v>193611</v>
      </c>
      <c r="F110" s="20" t="n">
        <v>0</v>
      </c>
    </row>
    <row r="111" customFormat="false" ht="15" hidden="false" customHeight="false" outlineLevel="0" collapsed="false">
      <c r="A111" s="22" t="n">
        <v>46119</v>
      </c>
      <c r="B111" s="19" t="s">
        <v>50</v>
      </c>
      <c r="C111" s="19" t="s">
        <v>12</v>
      </c>
      <c r="D111" s="19" t="s">
        <v>75</v>
      </c>
      <c r="E111" s="20" t="n">
        <v>32797</v>
      </c>
      <c r="F111" s="20" t="n">
        <v>0</v>
      </c>
    </row>
    <row r="112" customFormat="false" ht="15" hidden="false" customHeight="false" outlineLevel="0" collapsed="false">
      <c r="A112" s="22" t="n">
        <v>46119</v>
      </c>
      <c r="B112" s="19" t="s">
        <v>50</v>
      </c>
      <c r="C112" s="19" t="s">
        <v>13</v>
      </c>
      <c r="D112" s="19" t="s">
        <v>68</v>
      </c>
      <c r="E112" s="20" t="n">
        <v>215609</v>
      </c>
      <c r="F112" s="20" t="n">
        <v>1580612</v>
      </c>
    </row>
    <row r="113" customFormat="false" ht="15" hidden="false" customHeight="false" outlineLevel="0" collapsed="false">
      <c r="A113" s="22" t="n">
        <v>46119</v>
      </c>
      <c r="B113" s="19" t="s">
        <v>50</v>
      </c>
      <c r="C113" s="19" t="s">
        <v>14</v>
      </c>
      <c r="D113" s="19" t="s">
        <v>77</v>
      </c>
      <c r="E113" s="20" t="n">
        <v>199110</v>
      </c>
      <c r="F113" s="20" t="n">
        <v>0</v>
      </c>
    </row>
    <row r="114" customFormat="false" ht="15" hidden="false" customHeight="false" outlineLevel="0" collapsed="false">
      <c r="A114" s="22" t="n">
        <v>46119</v>
      </c>
      <c r="B114" s="19" t="s">
        <v>50</v>
      </c>
      <c r="C114" s="19" t="s">
        <v>12</v>
      </c>
      <c r="D114" s="19" t="s">
        <v>76</v>
      </c>
      <c r="E114" s="20" t="n">
        <v>299412</v>
      </c>
      <c r="F114" s="20" t="n">
        <v>164148</v>
      </c>
    </row>
    <row r="115" customFormat="false" ht="15" hidden="false" customHeight="false" outlineLevel="0" collapsed="false">
      <c r="A115" s="22" t="n">
        <v>46119</v>
      </c>
      <c r="B115" s="19" t="s">
        <v>50</v>
      </c>
      <c r="C115" s="19" t="s">
        <v>12</v>
      </c>
      <c r="D115" s="19" t="s">
        <v>65</v>
      </c>
      <c r="E115" s="20" t="n">
        <v>299850</v>
      </c>
      <c r="F115" s="20" t="n">
        <v>1140578</v>
      </c>
    </row>
    <row r="116" customFormat="false" ht="15" hidden="false" customHeight="false" outlineLevel="0" collapsed="false">
      <c r="A116" s="22" t="n">
        <v>46119</v>
      </c>
      <c r="B116" s="19" t="s">
        <v>50</v>
      </c>
      <c r="C116" s="19" t="s">
        <v>15</v>
      </c>
      <c r="D116" s="19" t="s">
        <v>67</v>
      </c>
      <c r="E116" s="20" t="n">
        <v>31725</v>
      </c>
      <c r="F116" s="20" t="n">
        <v>0</v>
      </c>
    </row>
    <row r="117" customFormat="false" ht="15" hidden="false" customHeight="false" outlineLevel="0" collapsed="false">
      <c r="A117" s="22" t="n">
        <v>46119</v>
      </c>
      <c r="B117" s="19" t="s">
        <v>50</v>
      </c>
      <c r="C117" s="19" t="s">
        <v>11</v>
      </c>
      <c r="D117" s="19" t="s">
        <v>69</v>
      </c>
      <c r="E117" s="20" t="n">
        <v>27118</v>
      </c>
      <c r="F117" s="20" t="n">
        <v>142868</v>
      </c>
    </row>
    <row r="118" customFormat="false" ht="15" hidden="false" customHeight="false" outlineLevel="0" collapsed="false">
      <c r="A118" s="22" t="n">
        <v>46119</v>
      </c>
      <c r="B118" s="19" t="s">
        <v>50</v>
      </c>
      <c r="C118" s="19" t="s">
        <v>70</v>
      </c>
      <c r="D118" s="19" t="s">
        <v>71</v>
      </c>
      <c r="E118" s="20" t="n">
        <v>61959</v>
      </c>
      <c r="F118" s="20" t="n">
        <v>185650</v>
      </c>
    </row>
    <row r="119" customFormat="false" ht="15" hidden="false" customHeight="false" outlineLevel="0" collapsed="false">
      <c r="A119" s="22" t="n">
        <v>46119</v>
      </c>
      <c r="B119" s="19" t="s">
        <v>50</v>
      </c>
      <c r="C119" s="19" t="s">
        <v>12</v>
      </c>
      <c r="D119" s="19" t="s">
        <v>78</v>
      </c>
      <c r="E119" s="20" t="n">
        <v>270</v>
      </c>
      <c r="F119" s="20" t="n">
        <v>0</v>
      </c>
    </row>
    <row r="120" customFormat="false" ht="15" hidden="false" customHeight="false" outlineLevel="0" collapsed="false">
      <c r="A120" s="22" t="n">
        <v>46120</v>
      </c>
      <c r="B120" s="19" t="s">
        <v>50</v>
      </c>
      <c r="C120" s="19" t="s">
        <v>12</v>
      </c>
      <c r="D120" s="19" t="s">
        <v>58</v>
      </c>
      <c r="E120" s="20" t="n">
        <v>115424</v>
      </c>
      <c r="F120" s="20" t="n">
        <v>257147</v>
      </c>
    </row>
    <row r="121" customFormat="false" ht="15" hidden="false" customHeight="false" outlineLevel="0" collapsed="false">
      <c r="A121" s="22" t="n">
        <v>46120</v>
      </c>
      <c r="B121" s="19" t="s">
        <v>50</v>
      </c>
      <c r="C121" s="19" t="s">
        <v>12</v>
      </c>
      <c r="D121" s="19" t="s">
        <v>72</v>
      </c>
      <c r="E121" s="20" t="n">
        <v>100000</v>
      </c>
      <c r="F121" s="20" t="n">
        <v>1175339</v>
      </c>
    </row>
    <row r="122" customFormat="false" ht="15" hidden="false" customHeight="false" outlineLevel="0" collapsed="false">
      <c r="A122" s="22" t="n">
        <v>46120</v>
      </c>
      <c r="B122" s="19" t="s">
        <v>50</v>
      </c>
      <c r="C122" s="19" t="s">
        <v>16</v>
      </c>
      <c r="D122" s="19" t="s">
        <v>59</v>
      </c>
      <c r="E122" s="20" t="n">
        <v>6396</v>
      </c>
      <c r="F122" s="20" t="n">
        <v>0</v>
      </c>
    </row>
    <row r="123" customFormat="false" ht="15" hidden="false" customHeight="false" outlineLevel="0" collapsed="false">
      <c r="A123" s="22" t="n">
        <v>46120</v>
      </c>
      <c r="B123" s="19" t="s">
        <v>50</v>
      </c>
      <c r="C123" s="19" t="s">
        <v>15</v>
      </c>
      <c r="D123" s="19" t="s">
        <v>15</v>
      </c>
      <c r="E123" s="20" t="n">
        <v>137369</v>
      </c>
      <c r="F123" s="20" t="n">
        <v>0</v>
      </c>
    </row>
    <row r="124" customFormat="false" ht="15" hidden="false" customHeight="false" outlineLevel="0" collapsed="false">
      <c r="A124" s="22" t="n">
        <v>46120</v>
      </c>
      <c r="B124" s="19" t="s">
        <v>50</v>
      </c>
      <c r="C124" s="19" t="s">
        <v>14</v>
      </c>
      <c r="D124" s="19" t="s">
        <v>73</v>
      </c>
      <c r="E124" s="20" t="n">
        <v>66000</v>
      </c>
      <c r="F124" s="20" t="n">
        <v>0</v>
      </c>
    </row>
    <row r="125" customFormat="false" ht="15" hidden="false" customHeight="false" outlineLevel="0" collapsed="false">
      <c r="A125" s="22" t="n">
        <v>46120</v>
      </c>
      <c r="B125" s="19" t="s">
        <v>50</v>
      </c>
      <c r="C125" s="19" t="s">
        <v>11</v>
      </c>
      <c r="D125" s="19" t="s">
        <v>60</v>
      </c>
      <c r="E125" s="20" t="n">
        <v>135176</v>
      </c>
      <c r="F125" s="20" t="n">
        <v>771892</v>
      </c>
    </row>
    <row r="126" customFormat="false" ht="15" hidden="false" customHeight="false" outlineLevel="0" collapsed="false">
      <c r="A126" s="22" t="n">
        <v>46120</v>
      </c>
      <c r="B126" s="19" t="s">
        <v>50</v>
      </c>
      <c r="C126" s="19" t="s">
        <v>12</v>
      </c>
      <c r="D126" s="19" t="s">
        <v>61</v>
      </c>
      <c r="E126" s="20" t="n">
        <v>18622</v>
      </c>
      <c r="F126" s="20" t="n">
        <v>0</v>
      </c>
    </row>
    <row r="127" customFormat="false" ht="15" hidden="false" customHeight="false" outlineLevel="0" collapsed="false">
      <c r="A127" s="22" t="n">
        <v>46120</v>
      </c>
      <c r="B127" s="19" t="s">
        <v>50</v>
      </c>
      <c r="C127" s="19" t="s">
        <v>16</v>
      </c>
      <c r="D127" s="19" t="s">
        <v>74</v>
      </c>
      <c r="E127" s="20" t="n">
        <v>12706</v>
      </c>
      <c r="F127" s="20" t="n">
        <v>240000</v>
      </c>
    </row>
    <row r="128" customFormat="false" ht="15" hidden="false" customHeight="false" outlineLevel="0" collapsed="false">
      <c r="A128" s="22" t="n">
        <v>46120</v>
      </c>
      <c r="B128" s="19" t="s">
        <v>50</v>
      </c>
      <c r="C128" s="19" t="s">
        <v>14</v>
      </c>
      <c r="D128" s="19" t="s">
        <v>62</v>
      </c>
      <c r="E128" s="20" t="n">
        <v>2783</v>
      </c>
      <c r="F128" s="20" t="n">
        <v>66930</v>
      </c>
    </row>
    <row r="129" customFormat="false" ht="15" hidden="false" customHeight="false" outlineLevel="0" collapsed="false">
      <c r="A129" s="22" t="n">
        <v>46120</v>
      </c>
      <c r="B129" s="19" t="s">
        <v>50</v>
      </c>
      <c r="C129" s="19" t="s">
        <v>11</v>
      </c>
      <c r="D129" s="19" t="s">
        <v>63</v>
      </c>
      <c r="E129" s="20" t="n">
        <v>7315</v>
      </c>
      <c r="F129" s="20" t="n">
        <v>36582</v>
      </c>
    </row>
    <row r="130" customFormat="false" ht="15" hidden="false" customHeight="false" outlineLevel="0" collapsed="false">
      <c r="A130" s="22" t="n">
        <v>46120</v>
      </c>
      <c r="B130" s="19" t="s">
        <v>50</v>
      </c>
      <c r="C130" s="19" t="s">
        <v>13</v>
      </c>
      <c r="D130" s="19" t="s">
        <v>64</v>
      </c>
      <c r="E130" s="20" t="n">
        <v>518346</v>
      </c>
      <c r="F130" s="20" t="n">
        <v>2925436</v>
      </c>
    </row>
    <row r="131" customFormat="false" ht="15" hidden="false" customHeight="false" outlineLevel="0" collapsed="false">
      <c r="A131" s="22" t="n">
        <v>46120</v>
      </c>
      <c r="B131" s="19" t="s">
        <v>50</v>
      </c>
      <c r="C131" s="19" t="s">
        <v>12</v>
      </c>
      <c r="D131" s="19" t="s">
        <v>75</v>
      </c>
      <c r="E131" s="20" t="n">
        <v>40260</v>
      </c>
      <c r="F131" s="20" t="n">
        <v>239590</v>
      </c>
    </row>
    <row r="132" customFormat="false" ht="15" hidden="false" customHeight="false" outlineLevel="0" collapsed="false">
      <c r="A132" s="22" t="n">
        <v>46120</v>
      </c>
      <c r="B132" s="19" t="s">
        <v>50</v>
      </c>
      <c r="C132" s="19" t="s">
        <v>12</v>
      </c>
      <c r="D132" s="19" t="s">
        <v>76</v>
      </c>
      <c r="E132" s="20" t="n">
        <v>300000</v>
      </c>
      <c r="F132" s="20" t="n">
        <v>0</v>
      </c>
    </row>
    <row r="133" customFormat="false" ht="15" hidden="false" customHeight="false" outlineLevel="0" collapsed="false">
      <c r="A133" s="22" t="n">
        <v>46120</v>
      </c>
      <c r="B133" s="19" t="s">
        <v>50</v>
      </c>
      <c r="C133" s="19" t="s">
        <v>11</v>
      </c>
      <c r="D133" s="19" t="s">
        <v>69</v>
      </c>
      <c r="E133" s="20" t="n">
        <v>163259</v>
      </c>
      <c r="F133" s="20" t="n">
        <v>890986</v>
      </c>
    </row>
    <row r="134" customFormat="false" ht="15" hidden="false" customHeight="false" outlineLevel="0" collapsed="false">
      <c r="A134" s="22" t="n">
        <v>46120</v>
      </c>
      <c r="B134" s="19" t="s">
        <v>50</v>
      </c>
      <c r="C134" s="19" t="s">
        <v>12</v>
      </c>
      <c r="D134" s="19" t="s">
        <v>66</v>
      </c>
      <c r="E134" s="20" t="n">
        <v>56648</v>
      </c>
      <c r="F134" s="20" t="n">
        <v>360950</v>
      </c>
    </row>
    <row r="135" customFormat="false" ht="15" hidden="false" customHeight="false" outlineLevel="0" collapsed="false">
      <c r="A135" s="22" t="n">
        <v>46120</v>
      </c>
      <c r="B135" s="19" t="s">
        <v>50</v>
      </c>
      <c r="C135" s="19" t="s">
        <v>14</v>
      </c>
      <c r="D135" s="19" t="s">
        <v>77</v>
      </c>
      <c r="E135" s="20" t="n">
        <v>196563</v>
      </c>
      <c r="F135" s="20" t="n">
        <v>96030</v>
      </c>
    </row>
    <row r="136" customFormat="false" ht="15" hidden="false" customHeight="false" outlineLevel="0" collapsed="false">
      <c r="A136" s="22" t="n">
        <v>46120</v>
      </c>
      <c r="B136" s="19" t="s">
        <v>50</v>
      </c>
      <c r="C136" s="19" t="s">
        <v>12</v>
      </c>
      <c r="D136" s="19" t="s">
        <v>65</v>
      </c>
      <c r="E136" s="20" t="n">
        <v>99978</v>
      </c>
      <c r="F136" s="20" t="n">
        <v>264000</v>
      </c>
    </row>
    <row r="137" customFormat="false" ht="15" hidden="false" customHeight="false" outlineLevel="0" collapsed="false">
      <c r="A137" s="22" t="n">
        <v>46120</v>
      </c>
      <c r="B137" s="19" t="s">
        <v>50</v>
      </c>
      <c r="C137" s="19" t="s">
        <v>15</v>
      </c>
      <c r="D137" s="19" t="s">
        <v>67</v>
      </c>
      <c r="E137" s="20" t="n">
        <v>42847</v>
      </c>
      <c r="F137" s="20" t="n">
        <v>258100</v>
      </c>
    </row>
    <row r="138" customFormat="false" ht="15" hidden="false" customHeight="false" outlineLevel="0" collapsed="false">
      <c r="A138" s="22" t="n">
        <v>46120</v>
      </c>
      <c r="B138" s="19" t="s">
        <v>50</v>
      </c>
      <c r="C138" s="19" t="s">
        <v>13</v>
      </c>
      <c r="D138" s="19" t="s">
        <v>68</v>
      </c>
      <c r="E138" s="20" t="n">
        <v>123583</v>
      </c>
      <c r="F138" s="20" t="n">
        <v>291000</v>
      </c>
    </row>
    <row r="139" customFormat="false" ht="15" hidden="false" customHeight="false" outlineLevel="0" collapsed="false">
      <c r="A139" s="22" t="n">
        <v>46120</v>
      </c>
      <c r="B139" s="19" t="s">
        <v>50</v>
      </c>
      <c r="C139" s="19" t="s">
        <v>70</v>
      </c>
      <c r="D139" s="19" t="s">
        <v>71</v>
      </c>
      <c r="E139" s="20" t="n">
        <v>38611</v>
      </c>
      <c r="F139" s="20" t="n">
        <v>110580</v>
      </c>
    </row>
    <row r="140" customFormat="false" ht="15" hidden="false" customHeight="false" outlineLevel="0" collapsed="false">
      <c r="A140" s="22" t="n">
        <v>46121</v>
      </c>
      <c r="B140" s="19" t="s">
        <v>50</v>
      </c>
      <c r="C140" s="19" t="s">
        <v>12</v>
      </c>
      <c r="D140" s="19" t="s">
        <v>58</v>
      </c>
      <c r="E140" s="20" t="n">
        <v>100000</v>
      </c>
      <c r="F140" s="20" t="n">
        <v>270456</v>
      </c>
    </row>
    <row r="141" customFormat="false" ht="15" hidden="false" customHeight="false" outlineLevel="0" collapsed="false">
      <c r="A141" s="22" t="n">
        <v>46121</v>
      </c>
      <c r="B141" s="19" t="s">
        <v>50</v>
      </c>
      <c r="C141" s="19" t="s">
        <v>12</v>
      </c>
      <c r="D141" s="19" t="s">
        <v>72</v>
      </c>
      <c r="E141" s="20" t="n">
        <v>69842</v>
      </c>
      <c r="F141" s="20" t="n">
        <v>850484</v>
      </c>
    </row>
    <row r="142" customFormat="false" ht="15" hidden="false" customHeight="false" outlineLevel="0" collapsed="false">
      <c r="A142" s="22" t="n">
        <v>46121</v>
      </c>
      <c r="B142" s="19" t="s">
        <v>50</v>
      </c>
      <c r="C142" s="19" t="s">
        <v>16</v>
      </c>
      <c r="D142" s="19" t="s">
        <v>59</v>
      </c>
      <c r="E142" s="20" t="n">
        <v>5442</v>
      </c>
      <c r="F142" s="20" t="n">
        <v>0</v>
      </c>
    </row>
    <row r="143" customFormat="false" ht="15" hidden="false" customHeight="false" outlineLevel="0" collapsed="false">
      <c r="A143" s="22" t="n">
        <v>46121</v>
      </c>
      <c r="B143" s="19" t="s">
        <v>50</v>
      </c>
      <c r="C143" s="19" t="s">
        <v>15</v>
      </c>
      <c r="D143" s="19" t="s">
        <v>15</v>
      </c>
      <c r="E143" s="20" t="n">
        <v>123522</v>
      </c>
      <c r="F143" s="20" t="n">
        <v>0</v>
      </c>
    </row>
    <row r="144" customFormat="false" ht="15" hidden="false" customHeight="false" outlineLevel="0" collapsed="false">
      <c r="A144" s="22" t="n">
        <v>46121</v>
      </c>
      <c r="B144" s="19" t="s">
        <v>50</v>
      </c>
      <c r="C144" s="19" t="s">
        <v>14</v>
      </c>
      <c r="D144" s="19" t="s">
        <v>73</v>
      </c>
      <c r="E144" s="20" t="n">
        <v>74802</v>
      </c>
      <c r="F144" s="20" t="n">
        <v>288090</v>
      </c>
    </row>
    <row r="145" customFormat="false" ht="15" hidden="false" customHeight="false" outlineLevel="0" collapsed="false">
      <c r="A145" s="22" t="n">
        <v>46121</v>
      </c>
      <c r="B145" s="19" t="s">
        <v>50</v>
      </c>
      <c r="C145" s="19" t="s">
        <v>16</v>
      </c>
      <c r="D145" s="19" t="s">
        <v>74</v>
      </c>
      <c r="E145" s="20" t="n">
        <v>173279</v>
      </c>
      <c r="F145" s="20" t="n">
        <v>703653</v>
      </c>
    </row>
    <row r="146" customFormat="false" ht="15" hidden="false" customHeight="false" outlineLevel="0" collapsed="false">
      <c r="A146" s="22" t="n">
        <v>46121</v>
      </c>
      <c r="B146" s="19" t="s">
        <v>50</v>
      </c>
      <c r="C146" s="19" t="s">
        <v>11</v>
      </c>
      <c r="D146" s="19" t="s">
        <v>60</v>
      </c>
      <c r="E146" s="20" t="n">
        <v>39537</v>
      </c>
      <c r="F146" s="20" t="n">
        <v>155250</v>
      </c>
    </row>
    <row r="147" customFormat="false" ht="15" hidden="false" customHeight="false" outlineLevel="0" collapsed="false">
      <c r="A147" s="22" t="n">
        <v>46121</v>
      </c>
      <c r="B147" s="19" t="s">
        <v>50</v>
      </c>
      <c r="C147" s="19" t="s">
        <v>12</v>
      </c>
      <c r="D147" s="19" t="s">
        <v>61</v>
      </c>
      <c r="E147" s="20" t="n">
        <v>10064</v>
      </c>
      <c r="F147" s="20" t="n">
        <v>0</v>
      </c>
    </row>
    <row r="148" customFormat="false" ht="15" hidden="false" customHeight="false" outlineLevel="0" collapsed="false">
      <c r="A148" s="22" t="n">
        <v>46121</v>
      </c>
      <c r="B148" s="19" t="s">
        <v>50</v>
      </c>
      <c r="C148" s="19" t="s">
        <v>14</v>
      </c>
      <c r="D148" s="19" t="s">
        <v>62</v>
      </c>
      <c r="E148" s="20" t="n">
        <v>21517</v>
      </c>
      <c r="F148" s="20" t="n">
        <v>99000</v>
      </c>
    </row>
    <row r="149" customFormat="false" ht="15" hidden="false" customHeight="false" outlineLevel="0" collapsed="false">
      <c r="A149" s="22" t="n">
        <v>46121</v>
      </c>
      <c r="B149" s="19" t="s">
        <v>50</v>
      </c>
      <c r="C149" s="19" t="s">
        <v>11</v>
      </c>
      <c r="D149" s="19" t="s">
        <v>63</v>
      </c>
      <c r="E149" s="20" t="n">
        <v>53097</v>
      </c>
      <c r="F149" s="20" t="n">
        <v>251131</v>
      </c>
    </row>
    <row r="150" customFormat="false" ht="15" hidden="false" customHeight="false" outlineLevel="0" collapsed="false">
      <c r="A150" s="22" t="n">
        <v>46121</v>
      </c>
      <c r="B150" s="19" t="s">
        <v>50</v>
      </c>
      <c r="C150" s="19" t="s">
        <v>13</v>
      </c>
      <c r="D150" s="19" t="s">
        <v>64</v>
      </c>
      <c r="E150" s="20" t="n">
        <v>600000</v>
      </c>
      <c r="F150" s="20" t="n">
        <v>3643503</v>
      </c>
    </row>
    <row r="151" customFormat="false" ht="15" hidden="false" customHeight="false" outlineLevel="0" collapsed="false">
      <c r="A151" s="22" t="n">
        <v>46121</v>
      </c>
      <c r="B151" s="19" t="s">
        <v>50</v>
      </c>
      <c r="C151" s="19" t="s">
        <v>15</v>
      </c>
      <c r="D151" s="19" t="s">
        <v>67</v>
      </c>
      <c r="E151" s="20" t="n">
        <v>32555</v>
      </c>
      <c r="F151" s="20" t="n">
        <v>107868</v>
      </c>
    </row>
    <row r="152" customFormat="false" ht="15" hidden="false" customHeight="false" outlineLevel="0" collapsed="false">
      <c r="A152" s="22" t="n">
        <v>46121</v>
      </c>
      <c r="B152" s="19" t="s">
        <v>50</v>
      </c>
      <c r="C152" s="19" t="s">
        <v>14</v>
      </c>
      <c r="D152" s="19" t="s">
        <v>77</v>
      </c>
      <c r="E152" s="20" t="n">
        <v>56870</v>
      </c>
      <c r="F152" s="20" t="n">
        <v>99000</v>
      </c>
    </row>
    <row r="153" customFormat="false" ht="15" hidden="false" customHeight="false" outlineLevel="0" collapsed="false">
      <c r="A153" s="22" t="n">
        <v>46121</v>
      </c>
      <c r="B153" s="19" t="s">
        <v>50</v>
      </c>
      <c r="C153" s="19" t="s">
        <v>11</v>
      </c>
      <c r="D153" s="19" t="s">
        <v>69</v>
      </c>
      <c r="E153" s="20" t="n">
        <v>78376</v>
      </c>
      <c r="F153" s="20" t="n">
        <v>289418</v>
      </c>
    </row>
    <row r="154" customFormat="false" ht="15" hidden="false" customHeight="false" outlineLevel="0" collapsed="false">
      <c r="A154" s="22" t="n">
        <v>46121</v>
      </c>
      <c r="B154" s="19" t="s">
        <v>50</v>
      </c>
      <c r="C154" s="19" t="s">
        <v>12</v>
      </c>
      <c r="D154" s="19" t="s">
        <v>65</v>
      </c>
      <c r="E154" s="20" t="n">
        <v>139359</v>
      </c>
      <c r="F154" s="20" t="n">
        <v>294795</v>
      </c>
    </row>
    <row r="155" customFormat="false" ht="15" hidden="false" customHeight="false" outlineLevel="0" collapsed="false">
      <c r="A155" s="22" t="n">
        <v>46121</v>
      </c>
      <c r="B155" s="19" t="s">
        <v>50</v>
      </c>
      <c r="C155" s="19" t="s">
        <v>12</v>
      </c>
      <c r="D155" s="19" t="s">
        <v>66</v>
      </c>
      <c r="E155" s="20" t="n">
        <v>24470</v>
      </c>
      <c r="F155" s="20" t="n">
        <v>96000</v>
      </c>
    </row>
    <row r="156" customFormat="false" ht="15" hidden="false" customHeight="false" outlineLevel="0" collapsed="false">
      <c r="A156" s="22" t="n">
        <v>46121</v>
      </c>
      <c r="B156" s="19" t="s">
        <v>50</v>
      </c>
      <c r="C156" s="19" t="s">
        <v>12</v>
      </c>
      <c r="D156" s="19" t="s">
        <v>76</v>
      </c>
      <c r="E156" s="20" t="n">
        <v>100000</v>
      </c>
      <c r="F156" s="20" t="n">
        <v>139760</v>
      </c>
    </row>
    <row r="157" customFormat="false" ht="15" hidden="false" customHeight="false" outlineLevel="0" collapsed="false">
      <c r="A157" s="22" t="n">
        <v>46121</v>
      </c>
      <c r="B157" s="19" t="s">
        <v>50</v>
      </c>
      <c r="C157" s="19" t="s">
        <v>12</v>
      </c>
      <c r="D157" s="19" t="s">
        <v>75</v>
      </c>
      <c r="E157" s="20" t="n">
        <v>44682</v>
      </c>
      <c r="F157" s="20" t="n">
        <v>225600</v>
      </c>
    </row>
    <row r="158" customFormat="false" ht="15" hidden="false" customHeight="false" outlineLevel="0" collapsed="false">
      <c r="A158" s="22" t="n">
        <v>46121</v>
      </c>
      <c r="B158" s="19" t="s">
        <v>50</v>
      </c>
      <c r="C158" s="19" t="s">
        <v>13</v>
      </c>
      <c r="D158" s="19" t="s">
        <v>68</v>
      </c>
      <c r="E158" s="20" t="n">
        <v>29182</v>
      </c>
      <c r="F158" s="20" t="n">
        <v>0</v>
      </c>
    </row>
    <row r="159" customFormat="false" ht="15" hidden="false" customHeight="false" outlineLevel="0" collapsed="false">
      <c r="A159" s="22" t="n">
        <v>46121</v>
      </c>
      <c r="B159" s="19" t="s">
        <v>50</v>
      </c>
      <c r="C159" s="19" t="s">
        <v>12</v>
      </c>
      <c r="D159" s="19" t="s">
        <v>78</v>
      </c>
      <c r="E159" s="20" t="n">
        <v>5660</v>
      </c>
      <c r="F159" s="20" t="n">
        <v>0</v>
      </c>
    </row>
    <row r="160" customFormat="false" ht="15" hidden="false" customHeight="false" outlineLevel="0" collapsed="false">
      <c r="A160" s="22" t="n">
        <v>46121</v>
      </c>
      <c r="B160" s="19" t="s">
        <v>50</v>
      </c>
      <c r="C160" s="19" t="s">
        <v>70</v>
      </c>
      <c r="D160" s="19" t="s">
        <v>71</v>
      </c>
      <c r="E160" s="20" t="n">
        <v>3956</v>
      </c>
      <c r="F160" s="20" t="n">
        <v>0</v>
      </c>
    </row>
    <row r="161" customFormat="false" ht="15" hidden="false" customHeight="false" outlineLevel="0" collapsed="false">
      <c r="A161" s="22" t="n">
        <v>46122</v>
      </c>
      <c r="B161" s="19" t="s">
        <v>50</v>
      </c>
      <c r="C161" s="19" t="s">
        <v>12</v>
      </c>
      <c r="D161" s="19" t="s">
        <v>72</v>
      </c>
      <c r="E161" s="20" t="n">
        <v>150000</v>
      </c>
      <c r="F161" s="20" t="n">
        <v>1447927</v>
      </c>
    </row>
    <row r="162" customFormat="false" ht="15" hidden="false" customHeight="false" outlineLevel="0" collapsed="false">
      <c r="A162" s="22" t="n">
        <v>46122</v>
      </c>
      <c r="B162" s="19" t="s">
        <v>50</v>
      </c>
      <c r="C162" s="19" t="s">
        <v>16</v>
      </c>
      <c r="D162" s="19" t="s">
        <v>59</v>
      </c>
      <c r="E162" s="20" t="n">
        <v>48765</v>
      </c>
      <c r="F162" s="20" t="n">
        <v>0</v>
      </c>
    </row>
    <row r="163" customFormat="false" ht="15" hidden="false" customHeight="false" outlineLevel="0" collapsed="false">
      <c r="A163" s="22" t="n">
        <v>46122</v>
      </c>
      <c r="B163" s="19" t="s">
        <v>50</v>
      </c>
      <c r="C163" s="19" t="s">
        <v>12</v>
      </c>
      <c r="D163" s="19" t="s">
        <v>58</v>
      </c>
      <c r="E163" s="20" t="n">
        <v>100000</v>
      </c>
      <c r="F163" s="20" t="n">
        <v>319340</v>
      </c>
    </row>
    <row r="164" customFormat="false" ht="15" hidden="false" customHeight="false" outlineLevel="0" collapsed="false">
      <c r="A164" s="22" t="n">
        <v>46122</v>
      </c>
      <c r="B164" s="19" t="s">
        <v>50</v>
      </c>
      <c r="C164" s="19" t="s">
        <v>11</v>
      </c>
      <c r="D164" s="19" t="s">
        <v>60</v>
      </c>
      <c r="E164" s="20" t="n">
        <v>109015</v>
      </c>
      <c r="F164" s="20" t="n">
        <v>443195</v>
      </c>
    </row>
    <row r="165" customFormat="false" ht="15" hidden="false" customHeight="false" outlineLevel="0" collapsed="false">
      <c r="A165" s="22" t="n">
        <v>46122</v>
      </c>
      <c r="B165" s="19" t="s">
        <v>50</v>
      </c>
      <c r="C165" s="19" t="s">
        <v>14</v>
      </c>
      <c r="D165" s="19" t="s">
        <v>73</v>
      </c>
      <c r="E165" s="20" t="n">
        <v>99557</v>
      </c>
      <c r="F165" s="20" t="n">
        <v>202446</v>
      </c>
    </row>
    <row r="166" customFormat="false" ht="15" hidden="false" customHeight="false" outlineLevel="0" collapsed="false">
      <c r="A166" s="22" t="n">
        <v>46122</v>
      </c>
      <c r="B166" s="19" t="s">
        <v>50</v>
      </c>
      <c r="C166" s="19" t="s">
        <v>15</v>
      </c>
      <c r="D166" s="19" t="s">
        <v>15</v>
      </c>
      <c r="E166" s="20" t="n">
        <v>71340</v>
      </c>
      <c r="F166" s="20" t="n">
        <v>178466</v>
      </c>
    </row>
    <row r="167" customFormat="false" ht="15" hidden="false" customHeight="false" outlineLevel="0" collapsed="false">
      <c r="A167" s="22" t="n">
        <v>46122</v>
      </c>
      <c r="B167" s="19" t="s">
        <v>50</v>
      </c>
      <c r="C167" s="19" t="s">
        <v>16</v>
      </c>
      <c r="D167" s="19" t="s">
        <v>74</v>
      </c>
      <c r="E167" s="20" t="n">
        <v>162750</v>
      </c>
      <c r="F167" s="20" t="n">
        <v>769104</v>
      </c>
    </row>
    <row r="168" customFormat="false" ht="15" hidden="false" customHeight="false" outlineLevel="0" collapsed="false">
      <c r="A168" s="22" t="n">
        <v>46122</v>
      </c>
      <c r="B168" s="19" t="s">
        <v>50</v>
      </c>
      <c r="C168" s="19" t="s">
        <v>12</v>
      </c>
      <c r="D168" s="19" t="s">
        <v>61</v>
      </c>
      <c r="E168" s="20" t="n">
        <v>12688</v>
      </c>
      <c r="F168" s="20" t="n">
        <v>0</v>
      </c>
    </row>
    <row r="169" customFormat="false" ht="15" hidden="false" customHeight="false" outlineLevel="0" collapsed="false">
      <c r="A169" s="22" t="n">
        <v>46122</v>
      </c>
      <c r="B169" s="19" t="s">
        <v>50</v>
      </c>
      <c r="C169" s="19" t="s">
        <v>14</v>
      </c>
      <c r="D169" s="19" t="s">
        <v>62</v>
      </c>
      <c r="E169" s="20" t="n">
        <v>6750</v>
      </c>
      <c r="F169" s="20" t="n">
        <v>0</v>
      </c>
    </row>
    <row r="170" customFormat="false" ht="15" hidden="false" customHeight="false" outlineLevel="0" collapsed="false">
      <c r="A170" s="22" t="n">
        <v>46122</v>
      </c>
      <c r="B170" s="19" t="s">
        <v>50</v>
      </c>
      <c r="C170" s="19" t="s">
        <v>11</v>
      </c>
      <c r="D170" s="19" t="s">
        <v>63</v>
      </c>
      <c r="E170" s="20" t="n">
        <v>15583</v>
      </c>
      <c r="F170" s="20" t="n">
        <v>0</v>
      </c>
    </row>
    <row r="171" customFormat="false" ht="15" hidden="false" customHeight="false" outlineLevel="0" collapsed="false">
      <c r="A171" s="22" t="n">
        <v>46122</v>
      </c>
      <c r="B171" s="19" t="s">
        <v>50</v>
      </c>
      <c r="C171" s="19" t="s">
        <v>13</v>
      </c>
      <c r="D171" s="19" t="s">
        <v>64</v>
      </c>
      <c r="E171" s="20" t="n">
        <v>150000</v>
      </c>
      <c r="F171" s="20" t="n">
        <v>691419</v>
      </c>
    </row>
    <row r="172" customFormat="false" ht="15" hidden="false" customHeight="false" outlineLevel="0" collapsed="false">
      <c r="A172" s="22" t="n">
        <v>46122</v>
      </c>
      <c r="B172" s="19" t="s">
        <v>50</v>
      </c>
      <c r="C172" s="19" t="s">
        <v>15</v>
      </c>
      <c r="D172" s="19" t="s">
        <v>67</v>
      </c>
      <c r="E172" s="20" t="n">
        <v>110131</v>
      </c>
      <c r="F172" s="20" t="n">
        <v>443900</v>
      </c>
    </row>
    <row r="173" customFormat="false" ht="15" hidden="false" customHeight="false" outlineLevel="0" collapsed="false">
      <c r="A173" s="22" t="n">
        <v>46122</v>
      </c>
      <c r="B173" s="19" t="s">
        <v>50</v>
      </c>
      <c r="C173" s="19" t="s">
        <v>12</v>
      </c>
      <c r="D173" s="19" t="s">
        <v>75</v>
      </c>
      <c r="E173" s="20" t="n">
        <v>160377</v>
      </c>
      <c r="F173" s="20" t="n">
        <v>888473</v>
      </c>
    </row>
    <row r="174" customFormat="false" ht="15" hidden="false" customHeight="false" outlineLevel="0" collapsed="false">
      <c r="A174" s="22" t="n">
        <v>46122</v>
      </c>
      <c r="B174" s="19" t="s">
        <v>50</v>
      </c>
      <c r="C174" s="19" t="s">
        <v>12</v>
      </c>
      <c r="D174" s="19" t="s">
        <v>66</v>
      </c>
      <c r="E174" s="20" t="n">
        <v>71077</v>
      </c>
      <c r="F174" s="20" t="n">
        <v>299667</v>
      </c>
    </row>
    <row r="175" customFormat="false" ht="15" hidden="false" customHeight="false" outlineLevel="0" collapsed="false">
      <c r="A175" s="22" t="n">
        <v>46122</v>
      </c>
      <c r="B175" s="19" t="s">
        <v>50</v>
      </c>
      <c r="C175" s="19" t="s">
        <v>12</v>
      </c>
      <c r="D175" s="19" t="s">
        <v>65</v>
      </c>
      <c r="E175" s="20" t="n">
        <v>414211</v>
      </c>
      <c r="F175" s="20" t="n">
        <v>1825888</v>
      </c>
    </row>
    <row r="176" customFormat="false" ht="15" hidden="false" customHeight="false" outlineLevel="0" collapsed="false">
      <c r="A176" s="22" t="n">
        <v>46122</v>
      </c>
      <c r="B176" s="19" t="s">
        <v>50</v>
      </c>
      <c r="C176" s="19" t="s">
        <v>13</v>
      </c>
      <c r="D176" s="19" t="s">
        <v>68</v>
      </c>
      <c r="E176" s="20" t="n">
        <v>33827</v>
      </c>
      <c r="F176" s="20" t="n">
        <v>179450</v>
      </c>
    </row>
    <row r="177" customFormat="false" ht="15" hidden="false" customHeight="false" outlineLevel="0" collapsed="false">
      <c r="A177" s="22" t="n">
        <v>46122</v>
      </c>
      <c r="B177" s="19" t="s">
        <v>50</v>
      </c>
      <c r="C177" s="19" t="s">
        <v>11</v>
      </c>
      <c r="D177" s="19" t="s">
        <v>69</v>
      </c>
      <c r="E177" s="20" t="n">
        <v>19972</v>
      </c>
      <c r="F177" s="20" t="n">
        <v>0</v>
      </c>
    </row>
    <row r="178" customFormat="false" ht="15" hidden="false" customHeight="false" outlineLevel="0" collapsed="false">
      <c r="A178" s="22" t="n">
        <v>46122</v>
      </c>
      <c r="B178" s="19" t="s">
        <v>50</v>
      </c>
      <c r="C178" s="19" t="s">
        <v>12</v>
      </c>
      <c r="D178" s="19" t="s">
        <v>76</v>
      </c>
      <c r="E178" s="20" t="n">
        <v>100000</v>
      </c>
      <c r="F178" s="20" t="n">
        <v>0</v>
      </c>
    </row>
    <row r="179" customFormat="false" ht="15" hidden="false" customHeight="false" outlineLevel="0" collapsed="false">
      <c r="A179" s="22" t="n">
        <v>46122</v>
      </c>
      <c r="B179" s="19" t="s">
        <v>50</v>
      </c>
      <c r="C179" s="19" t="s">
        <v>70</v>
      </c>
      <c r="D179" s="19" t="s">
        <v>71</v>
      </c>
      <c r="E179" s="20" t="n">
        <v>11066</v>
      </c>
      <c r="F179" s="20" t="n">
        <v>0</v>
      </c>
    </row>
    <row r="180" customFormat="false" ht="15" hidden="false" customHeight="false" outlineLevel="0" collapsed="false">
      <c r="A180" s="22" t="n">
        <v>46122</v>
      </c>
      <c r="B180" s="19" t="s">
        <v>50</v>
      </c>
      <c r="C180" s="19" t="s">
        <v>14</v>
      </c>
      <c r="D180" s="19" t="s">
        <v>77</v>
      </c>
      <c r="E180" s="20" t="n">
        <v>4423</v>
      </c>
      <c r="F180" s="20" t="n">
        <v>0</v>
      </c>
    </row>
    <row r="181" customFormat="false" ht="15" hidden="false" customHeight="false" outlineLevel="0" collapsed="false">
      <c r="A181" s="22" t="n">
        <v>46122</v>
      </c>
      <c r="B181" s="19" t="s">
        <v>50</v>
      </c>
      <c r="C181" s="19" t="s">
        <v>12</v>
      </c>
      <c r="D181" s="19" t="s">
        <v>78</v>
      </c>
      <c r="E181" s="20" t="n">
        <v>7040</v>
      </c>
      <c r="F181" s="20" t="n">
        <v>0</v>
      </c>
    </row>
    <row r="182" customFormat="false" ht="15" hidden="false" customHeight="false" outlineLevel="0" collapsed="false">
      <c r="A182" s="22" t="n">
        <v>46123</v>
      </c>
      <c r="B182" s="19" t="s">
        <v>50</v>
      </c>
      <c r="C182" s="19" t="s">
        <v>12</v>
      </c>
      <c r="D182" s="19" t="s">
        <v>58</v>
      </c>
      <c r="E182" s="20" t="n">
        <v>55964</v>
      </c>
      <c r="F182" s="20" t="n">
        <v>379991</v>
      </c>
    </row>
    <row r="183" customFormat="false" ht="15" hidden="false" customHeight="false" outlineLevel="0" collapsed="false">
      <c r="A183" s="22" t="n">
        <v>46123</v>
      </c>
      <c r="B183" s="19" t="s">
        <v>50</v>
      </c>
      <c r="C183" s="19" t="s">
        <v>12</v>
      </c>
      <c r="D183" s="19" t="s">
        <v>72</v>
      </c>
      <c r="E183" s="20" t="n">
        <v>98417</v>
      </c>
      <c r="F183" s="20" t="n">
        <v>369550</v>
      </c>
    </row>
    <row r="184" customFormat="false" ht="15" hidden="false" customHeight="false" outlineLevel="0" collapsed="false">
      <c r="A184" s="22" t="n">
        <v>46123</v>
      </c>
      <c r="B184" s="19" t="s">
        <v>50</v>
      </c>
      <c r="C184" s="19" t="s">
        <v>16</v>
      </c>
      <c r="D184" s="19" t="s">
        <v>59</v>
      </c>
      <c r="E184" s="20" t="n">
        <v>93022</v>
      </c>
      <c r="F184" s="20" t="n">
        <v>362866</v>
      </c>
    </row>
    <row r="185" customFormat="false" ht="15" hidden="false" customHeight="false" outlineLevel="0" collapsed="false">
      <c r="A185" s="22" t="n">
        <v>46123</v>
      </c>
      <c r="B185" s="19" t="s">
        <v>50</v>
      </c>
      <c r="C185" s="19" t="s">
        <v>11</v>
      </c>
      <c r="D185" s="19" t="s">
        <v>60</v>
      </c>
      <c r="E185" s="20" t="n">
        <v>219388</v>
      </c>
      <c r="F185" s="20" t="n">
        <v>1138834</v>
      </c>
    </row>
    <row r="186" customFormat="false" ht="15" hidden="false" customHeight="false" outlineLevel="0" collapsed="false">
      <c r="A186" s="22" t="n">
        <v>46123</v>
      </c>
      <c r="B186" s="19" t="s">
        <v>50</v>
      </c>
      <c r="C186" s="19" t="s">
        <v>12</v>
      </c>
      <c r="D186" s="19" t="s">
        <v>61</v>
      </c>
      <c r="E186" s="20" t="n">
        <v>47803</v>
      </c>
      <c r="F186" s="20" t="n">
        <v>200640</v>
      </c>
    </row>
    <row r="187" customFormat="false" ht="15" hidden="false" customHeight="false" outlineLevel="0" collapsed="false">
      <c r="A187" s="22" t="n">
        <v>46123</v>
      </c>
      <c r="B187" s="19" t="s">
        <v>50</v>
      </c>
      <c r="C187" s="19" t="s">
        <v>14</v>
      </c>
      <c r="D187" s="19" t="s">
        <v>73</v>
      </c>
      <c r="E187" s="20" t="n">
        <v>33909</v>
      </c>
      <c r="F187" s="20" t="n">
        <v>0</v>
      </c>
    </row>
    <row r="188" customFormat="false" ht="15" hidden="false" customHeight="false" outlineLevel="0" collapsed="false">
      <c r="A188" s="22" t="n">
        <v>46123</v>
      </c>
      <c r="B188" s="19" t="s">
        <v>50</v>
      </c>
      <c r="C188" s="19" t="s">
        <v>16</v>
      </c>
      <c r="D188" s="19" t="s">
        <v>74</v>
      </c>
      <c r="E188" s="20" t="n">
        <v>54399</v>
      </c>
      <c r="F188" s="20" t="n">
        <v>224640</v>
      </c>
    </row>
    <row r="189" customFormat="false" ht="15" hidden="false" customHeight="false" outlineLevel="0" collapsed="false">
      <c r="A189" s="22" t="n">
        <v>46123</v>
      </c>
      <c r="B189" s="19" t="s">
        <v>50</v>
      </c>
      <c r="C189" s="19" t="s">
        <v>14</v>
      </c>
      <c r="D189" s="19" t="s">
        <v>62</v>
      </c>
      <c r="E189" s="20" t="n">
        <v>214</v>
      </c>
      <c r="F189" s="20" t="n">
        <v>0</v>
      </c>
    </row>
    <row r="190" customFormat="false" ht="15" hidden="false" customHeight="false" outlineLevel="0" collapsed="false">
      <c r="A190" s="22" t="n">
        <v>46123</v>
      </c>
      <c r="B190" s="19" t="s">
        <v>50</v>
      </c>
      <c r="C190" s="19" t="s">
        <v>15</v>
      </c>
      <c r="D190" s="19" t="s">
        <v>15</v>
      </c>
      <c r="E190" s="20" t="n">
        <v>1118</v>
      </c>
      <c r="F190" s="20" t="n">
        <v>0</v>
      </c>
    </row>
    <row r="191" customFormat="false" ht="15" hidden="false" customHeight="false" outlineLevel="0" collapsed="false">
      <c r="A191" s="22" t="n">
        <v>46123</v>
      </c>
      <c r="B191" s="19" t="s">
        <v>50</v>
      </c>
      <c r="C191" s="19" t="s">
        <v>11</v>
      </c>
      <c r="D191" s="19" t="s">
        <v>63</v>
      </c>
      <c r="E191" s="20" t="n">
        <v>7762</v>
      </c>
      <c r="F191" s="20" t="n">
        <v>39000</v>
      </c>
    </row>
    <row r="192" customFormat="false" ht="15" hidden="false" customHeight="false" outlineLevel="0" collapsed="false">
      <c r="A192" s="22" t="n">
        <v>46123</v>
      </c>
      <c r="B192" s="19" t="s">
        <v>50</v>
      </c>
      <c r="C192" s="19" t="s">
        <v>13</v>
      </c>
      <c r="D192" s="19" t="s">
        <v>64</v>
      </c>
      <c r="E192" s="20" t="n">
        <v>164519</v>
      </c>
      <c r="F192" s="20" t="n">
        <v>928532</v>
      </c>
    </row>
    <row r="193" customFormat="false" ht="15" hidden="false" customHeight="false" outlineLevel="0" collapsed="false">
      <c r="A193" s="22" t="n">
        <v>46123</v>
      </c>
      <c r="B193" s="19" t="s">
        <v>50</v>
      </c>
      <c r="C193" s="19" t="s">
        <v>13</v>
      </c>
      <c r="D193" s="19" t="s">
        <v>68</v>
      </c>
      <c r="E193" s="20" t="n">
        <v>115492</v>
      </c>
      <c r="F193" s="20" t="n">
        <v>496550</v>
      </c>
    </row>
    <row r="194" customFormat="false" ht="15" hidden="false" customHeight="false" outlineLevel="0" collapsed="false">
      <c r="A194" s="22" t="n">
        <v>46123</v>
      </c>
      <c r="B194" s="19" t="s">
        <v>50</v>
      </c>
      <c r="C194" s="19" t="s">
        <v>12</v>
      </c>
      <c r="D194" s="19" t="s">
        <v>66</v>
      </c>
      <c r="E194" s="20" t="n">
        <v>51532</v>
      </c>
      <c r="F194" s="20" t="n">
        <v>231000</v>
      </c>
    </row>
    <row r="195" customFormat="false" ht="15" hidden="false" customHeight="false" outlineLevel="0" collapsed="false">
      <c r="A195" s="22" t="n">
        <v>46123</v>
      </c>
      <c r="B195" s="19" t="s">
        <v>50</v>
      </c>
      <c r="C195" s="19" t="s">
        <v>12</v>
      </c>
      <c r="D195" s="19" t="s">
        <v>75</v>
      </c>
      <c r="E195" s="20" t="n">
        <v>51507</v>
      </c>
      <c r="F195" s="20" t="n">
        <v>225600</v>
      </c>
    </row>
    <row r="196" customFormat="false" ht="15" hidden="false" customHeight="false" outlineLevel="0" collapsed="false">
      <c r="A196" s="22" t="n">
        <v>46123</v>
      </c>
      <c r="B196" s="19" t="s">
        <v>50</v>
      </c>
      <c r="C196" s="19" t="s">
        <v>15</v>
      </c>
      <c r="D196" s="19" t="s">
        <v>67</v>
      </c>
      <c r="E196" s="20" t="n">
        <v>36115</v>
      </c>
      <c r="F196" s="20" t="n">
        <v>146550</v>
      </c>
    </row>
    <row r="197" customFormat="false" ht="15" hidden="false" customHeight="false" outlineLevel="0" collapsed="false">
      <c r="A197" s="22" t="n">
        <v>46123</v>
      </c>
      <c r="B197" s="19" t="s">
        <v>50</v>
      </c>
      <c r="C197" s="19" t="s">
        <v>11</v>
      </c>
      <c r="D197" s="19" t="s">
        <v>69</v>
      </c>
      <c r="E197" s="20" t="n">
        <v>62040</v>
      </c>
      <c r="F197" s="20" t="n">
        <v>140962</v>
      </c>
    </row>
    <row r="198" customFormat="false" ht="15" hidden="false" customHeight="false" outlineLevel="0" collapsed="false">
      <c r="A198" s="22" t="n">
        <v>46123</v>
      </c>
      <c r="B198" s="19" t="s">
        <v>50</v>
      </c>
      <c r="C198" s="19" t="s">
        <v>12</v>
      </c>
      <c r="D198" s="19" t="s">
        <v>65</v>
      </c>
      <c r="E198" s="20" t="n">
        <v>114230</v>
      </c>
      <c r="F198" s="20" t="n">
        <v>260400</v>
      </c>
    </row>
    <row r="199" customFormat="false" ht="15" hidden="false" customHeight="false" outlineLevel="0" collapsed="false">
      <c r="A199" s="22" t="n">
        <v>46123</v>
      </c>
      <c r="B199" s="19" t="s">
        <v>50</v>
      </c>
      <c r="C199" s="19" t="s">
        <v>12</v>
      </c>
      <c r="D199" s="19" t="s">
        <v>76</v>
      </c>
      <c r="E199" s="20" t="n">
        <v>75624</v>
      </c>
      <c r="F199" s="20" t="n">
        <v>337250</v>
      </c>
    </row>
    <row r="200" customFormat="false" ht="15" hidden="false" customHeight="false" outlineLevel="0" collapsed="false">
      <c r="A200" s="22" t="n">
        <v>46123</v>
      </c>
      <c r="B200" s="19" t="s">
        <v>50</v>
      </c>
      <c r="C200" s="19" t="s">
        <v>70</v>
      </c>
      <c r="D200" s="19" t="s">
        <v>71</v>
      </c>
      <c r="E200" s="20" t="n">
        <v>57783</v>
      </c>
      <c r="F200" s="20" t="n">
        <v>281300</v>
      </c>
    </row>
    <row r="201" customFormat="false" ht="15" hidden="false" customHeight="false" outlineLevel="0" collapsed="false">
      <c r="A201" s="22" t="n">
        <v>46123</v>
      </c>
      <c r="B201" s="19" t="s">
        <v>50</v>
      </c>
      <c r="C201" s="19" t="s">
        <v>14</v>
      </c>
      <c r="D201" s="19" t="s">
        <v>77</v>
      </c>
      <c r="E201" s="20" t="n">
        <v>3499</v>
      </c>
      <c r="F201" s="20" t="n">
        <v>0</v>
      </c>
    </row>
    <row r="202" customFormat="false" ht="15" hidden="false" customHeight="false" outlineLevel="0" collapsed="false">
      <c r="A202" s="22" t="n">
        <v>46123</v>
      </c>
      <c r="B202" s="19" t="s">
        <v>50</v>
      </c>
      <c r="C202" s="19" t="s">
        <v>12</v>
      </c>
      <c r="D202" s="19" t="s">
        <v>78</v>
      </c>
      <c r="E202" s="20" t="n">
        <v>1593</v>
      </c>
      <c r="F202" s="20" t="n">
        <v>0</v>
      </c>
    </row>
    <row r="203" customFormat="false" ht="15" hidden="false" customHeight="false" outlineLevel="0" collapsed="false">
      <c r="A203" s="22" t="n">
        <v>46124</v>
      </c>
      <c r="B203" s="19" t="s">
        <v>50</v>
      </c>
      <c r="C203" s="19" t="s">
        <v>16</v>
      </c>
      <c r="D203" s="19" t="s">
        <v>59</v>
      </c>
      <c r="E203" s="20" t="n">
        <v>39186</v>
      </c>
      <c r="F203" s="20" t="n">
        <v>0</v>
      </c>
    </row>
    <row r="204" customFormat="false" ht="15" hidden="false" customHeight="false" outlineLevel="0" collapsed="false">
      <c r="A204" s="22" t="n">
        <v>46124</v>
      </c>
      <c r="B204" s="19" t="s">
        <v>50</v>
      </c>
      <c r="C204" s="19" t="s">
        <v>12</v>
      </c>
      <c r="D204" s="19" t="s">
        <v>58</v>
      </c>
      <c r="E204" s="20" t="n">
        <v>15293</v>
      </c>
      <c r="F204" s="20" t="n">
        <v>0</v>
      </c>
    </row>
    <row r="205" customFormat="false" ht="15" hidden="false" customHeight="false" outlineLevel="0" collapsed="false">
      <c r="A205" s="22" t="n">
        <v>46124</v>
      </c>
      <c r="B205" s="19" t="s">
        <v>50</v>
      </c>
      <c r="C205" s="19" t="s">
        <v>12</v>
      </c>
      <c r="D205" s="19" t="s">
        <v>72</v>
      </c>
      <c r="E205" s="20" t="n">
        <v>32963</v>
      </c>
      <c r="F205" s="20" t="n">
        <v>0</v>
      </c>
    </row>
    <row r="206" customFormat="false" ht="15" hidden="false" customHeight="false" outlineLevel="0" collapsed="false">
      <c r="A206" s="22" t="n">
        <v>46124</v>
      </c>
      <c r="B206" s="19" t="s">
        <v>50</v>
      </c>
      <c r="C206" s="19" t="s">
        <v>11</v>
      </c>
      <c r="D206" s="19" t="s">
        <v>60</v>
      </c>
      <c r="E206" s="20" t="n">
        <v>118398</v>
      </c>
      <c r="F206" s="20" t="n">
        <v>579256</v>
      </c>
    </row>
    <row r="207" customFormat="false" ht="15" hidden="false" customHeight="false" outlineLevel="0" collapsed="false">
      <c r="A207" s="22" t="n">
        <v>46124</v>
      </c>
      <c r="B207" s="19" t="s">
        <v>50</v>
      </c>
      <c r="C207" s="19" t="s">
        <v>16</v>
      </c>
      <c r="D207" s="19" t="s">
        <v>74</v>
      </c>
      <c r="E207" s="20" t="n">
        <v>173015</v>
      </c>
      <c r="F207" s="20" t="n">
        <v>1203976</v>
      </c>
    </row>
    <row r="208" customFormat="false" ht="15" hidden="false" customHeight="false" outlineLevel="0" collapsed="false">
      <c r="A208" s="22" t="n">
        <v>46124</v>
      </c>
      <c r="B208" s="19" t="s">
        <v>50</v>
      </c>
      <c r="C208" s="19" t="s">
        <v>12</v>
      </c>
      <c r="D208" s="19" t="s">
        <v>61</v>
      </c>
      <c r="E208" s="20" t="n">
        <v>2373</v>
      </c>
      <c r="F208" s="20" t="n">
        <v>0</v>
      </c>
    </row>
    <row r="209" customFormat="false" ht="15" hidden="false" customHeight="false" outlineLevel="0" collapsed="false">
      <c r="A209" s="22" t="n">
        <v>46124</v>
      </c>
      <c r="B209" s="19" t="s">
        <v>50</v>
      </c>
      <c r="C209" s="19" t="s">
        <v>14</v>
      </c>
      <c r="D209" s="19" t="s">
        <v>73</v>
      </c>
      <c r="E209" s="20" t="n">
        <v>26527</v>
      </c>
      <c r="F209" s="20" t="n">
        <v>202860</v>
      </c>
    </row>
    <row r="210" customFormat="false" ht="15" hidden="false" customHeight="false" outlineLevel="0" collapsed="false">
      <c r="A210" s="22" t="n">
        <v>46124</v>
      </c>
      <c r="B210" s="19" t="s">
        <v>50</v>
      </c>
      <c r="C210" s="19" t="s">
        <v>14</v>
      </c>
      <c r="D210" s="19" t="s">
        <v>62</v>
      </c>
      <c r="E210" s="20" t="n">
        <v>541</v>
      </c>
      <c r="F210" s="20" t="n">
        <v>0</v>
      </c>
    </row>
    <row r="211" customFormat="false" ht="15" hidden="false" customHeight="false" outlineLevel="0" collapsed="false">
      <c r="A211" s="22" t="n">
        <v>46124</v>
      </c>
      <c r="B211" s="19" t="s">
        <v>50</v>
      </c>
      <c r="C211" s="19" t="s">
        <v>15</v>
      </c>
      <c r="D211" s="19" t="s">
        <v>15</v>
      </c>
      <c r="E211" s="20" t="n">
        <v>599</v>
      </c>
      <c r="F211" s="20" t="n">
        <v>0</v>
      </c>
    </row>
    <row r="212" customFormat="false" ht="15" hidden="false" customHeight="false" outlineLevel="0" collapsed="false">
      <c r="A212" s="22" t="n">
        <v>46124</v>
      </c>
      <c r="B212" s="19" t="s">
        <v>50</v>
      </c>
      <c r="C212" s="19" t="s">
        <v>11</v>
      </c>
      <c r="D212" s="19" t="s">
        <v>63</v>
      </c>
      <c r="E212" s="20" t="n">
        <v>11396</v>
      </c>
      <c r="F212" s="20" t="n">
        <v>39000</v>
      </c>
    </row>
    <row r="213" customFormat="false" ht="15" hidden="false" customHeight="false" outlineLevel="0" collapsed="false">
      <c r="A213" s="22" t="n">
        <v>46124</v>
      </c>
      <c r="B213" s="19" t="s">
        <v>50</v>
      </c>
      <c r="C213" s="19" t="s">
        <v>13</v>
      </c>
      <c r="D213" s="19" t="s">
        <v>64</v>
      </c>
      <c r="E213" s="20" t="n">
        <v>597753</v>
      </c>
      <c r="F213" s="20" t="n">
        <v>2711913</v>
      </c>
    </row>
    <row r="214" customFormat="false" ht="15" hidden="false" customHeight="false" outlineLevel="0" collapsed="false">
      <c r="A214" s="22" t="n">
        <v>46124</v>
      </c>
      <c r="B214" s="19" t="s">
        <v>50</v>
      </c>
      <c r="C214" s="19" t="s">
        <v>12</v>
      </c>
      <c r="D214" s="19" t="s">
        <v>66</v>
      </c>
      <c r="E214" s="20" t="n">
        <v>63885</v>
      </c>
      <c r="F214" s="20" t="n">
        <v>312163</v>
      </c>
    </row>
    <row r="215" customFormat="false" ht="15" hidden="false" customHeight="false" outlineLevel="0" collapsed="false">
      <c r="A215" s="22" t="n">
        <v>46124</v>
      </c>
      <c r="B215" s="19" t="s">
        <v>50</v>
      </c>
      <c r="C215" s="19" t="s">
        <v>13</v>
      </c>
      <c r="D215" s="19" t="s">
        <v>68</v>
      </c>
      <c r="E215" s="20" t="n">
        <v>163382</v>
      </c>
      <c r="F215" s="20" t="n">
        <v>821700</v>
      </c>
    </row>
    <row r="216" customFormat="false" ht="15" hidden="false" customHeight="false" outlineLevel="0" collapsed="false">
      <c r="A216" s="22" t="n">
        <v>46124</v>
      </c>
      <c r="B216" s="19" t="s">
        <v>50</v>
      </c>
      <c r="C216" s="19" t="s">
        <v>12</v>
      </c>
      <c r="D216" s="19" t="s">
        <v>65</v>
      </c>
      <c r="E216" s="20" t="n">
        <v>197024</v>
      </c>
      <c r="F216" s="20" t="n">
        <v>464500</v>
      </c>
    </row>
    <row r="217" customFormat="false" ht="15" hidden="false" customHeight="false" outlineLevel="0" collapsed="false">
      <c r="A217" s="22" t="n">
        <v>46124</v>
      </c>
      <c r="B217" s="19" t="s">
        <v>50</v>
      </c>
      <c r="C217" s="19" t="s">
        <v>12</v>
      </c>
      <c r="D217" s="19" t="s">
        <v>75</v>
      </c>
      <c r="E217" s="20" t="n">
        <v>22566</v>
      </c>
      <c r="F217" s="20" t="n">
        <v>135000</v>
      </c>
    </row>
    <row r="218" customFormat="false" ht="15" hidden="false" customHeight="false" outlineLevel="0" collapsed="false">
      <c r="A218" s="22" t="n">
        <v>46124</v>
      </c>
      <c r="B218" s="19" t="s">
        <v>50</v>
      </c>
      <c r="C218" s="19" t="s">
        <v>15</v>
      </c>
      <c r="D218" s="19" t="s">
        <v>67</v>
      </c>
      <c r="E218" s="20" t="n">
        <v>12442</v>
      </c>
      <c r="F218" s="20" t="n">
        <v>0</v>
      </c>
    </row>
    <row r="219" customFormat="false" ht="15" hidden="false" customHeight="false" outlineLevel="0" collapsed="false">
      <c r="A219" s="22" t="n">
        <v>46124</v>
      </c>
      <c r="B219" s="19" t="s">
        <v>50</v>
      </c>
      <c r="C219" s="19" t="s">
        <v>11</v>
      </c>
      <c r="D219" s="19" t="s">
        <v>69</v>
      </c>
      <c r="E219" s="20" t="n">
        <v>23887</v>
      </c>
      <c r="F219" s="20" t="n">
        <v>0</v>
      </c>
    </row>
    <row r="220" customFormat="false" ht="15" hidden="false" customHeight="false" outlineLevel="0" collapsed="false">
      <c r="A220" s="22" t="n">
        <v>46124</v>
      </c>
      <c r="B220" s="19" t="s">
        <v>50</v>
      </c>
      <c r="C220" s="19" t="s">
        <v>12</v>
      </c>
      <c r="D220" s="19" t="s">
        <v>76</v>
      </c>
      <c r="E220" s="20" t="n">
        <v>28983</v>
      </c>
      <c r="F220" s="20" t="n">
        <v>166185</v>
      </c>
    </row>
    <row r="221" customFormat="false" ht="15" hidden="false" customHeight="false" outlineLevel="0" collapsed="false">
      <c r="A221" s="22" t="n">
        <v>46124</v>
      </c>
      <c r="B221" s="19" t="s">
        <v>50</v>
      </c>
      <c r="C221" s="19" t="s">
        <v>70</v>
      </c>
      <c r="D221" s="19" t="s">
        <v>71</v>
      </c>
      <c r="E221" s="20" t="n">
        <v>63059</v>
      </c>
      <c r="F221" s="20" t="n">
        <v>273704</v>
      </c>
    </row>
    <row r="222" customFormat="false" ht="15" hidden="false" customHeight="false" outlineLevel="0" collapsed="false">
      <c r="A222" s="22" t="n">
        <v>46124</v>
      </c>
      <c r="B222" s="19" t="s">
        <v>50</v>
      </c>
      <c r="C222" s="19" t="s">
        <v>14</v>
      </c>
      <c r="D222" s="19" t="s">
        <v>77</v>
      </c>
      <c r="E222" s="20" t="n">
        <v>1215</v>
      </c>
      <c r="F222" s="20" t="n">
        <v>0</v>
      </c>
    </row>
    <row r="223" customFormat="false" ht="15" hidden="false" customHeight="false" outlineLevel="0" collapsed="false">
      <c r="A223" s="22" t="n">
        <v>46124</v>
      </c>
      <c r="B223" s="19" t="s">
        <v>50</v>
      </c>
      <c r="C223" s="19" t="s">
        <v>12</v>
      </c>
      <c r="D223" s="19" t="s">
        <v>78</v>
      </c>
      <c r="E223" s="20" t="n">
        <v>9006</v>
      </c>
      <c r="F223" s="20" t="n">
        <v>0</v>
      </c>
    </row>
    <row r="224" customFormat="false" ht="15" hidden="false" customHeight="false" outlineLevel="0" collapsed="false">
      <c r="A224" s="22" t="n">
        <v>46125</v>
      </c>
      <c r="B224" s="19" t="s">
        <v>50</v>
      </c>
      <c r="C224" s="19" t="s">
        <v>16</v>
      </c>
      <c r="D224" s="19" t="s">
        <v>59</v>
      </c>
      <c r="E224" s="20" t="n">
        <v>94433</v>
      </c>
      <c r="F224" s="20" t="n">
        <v>410800</v>
      </c>
    </row>
    <row r="225" customFormat="false" ht="15" hidden="false" customHeight="false" outlineLevel="0" collapsed="false">
      <c r="A225" s="22" t="n">
        <v>46125</v>
      </c>
      <c r="B225" s="19" t="s">
        <v>50</v>
      </c>
      <c r="C225" s="19" t="s">
        <v>12</v>
      </c>
      <c r="D225" s="19" t="s">
        <v>72</v>
      </c>
      <c r="E225" s="20" t="n">
        <v>47735</v>
      </c>
      <c r="F225" s="20" t="n">
        <v>0</v>
      </c>
    </row>
    <row r="226" customFormat="false" ht="15" hidden="false" customHeight="false" outlineLevel="0" collapsed="false">
      <c r="A226" s="22" t="n">
        <v>46125</v>
      </c>
      <c r="B226" s="19" t="s">
        <v>50</v>
      </c>
      <c r="C226" s="19" t="s">
        <v>12</v>
      </c>
      <c r="D226" s="19" t="s">
        <v>58</v>
      </c>
      <c r="E226" s="20" t="n">
        <v>17391</v>
      </c>
      <c r="F226" s="20" t="n">
        <v>0</v>
      </c>
    </row>
    <row r="227" customFormat="false" ht="15" hidden="false" customHeight="false" outlineLevel="0" collapsed="false">
      <c r="A227" s="22" t="n">
        <v>46125</v>
      </c>
      <c r="B227" s="19" t="s">
        <v>50</v>
      </c>
      <c r="C227" s="19" t="s">
        <v>11</v>
      </c>
      <c r="D227" s="19" t="s">
        <v>60</v>
      </c>
      <c r="E227" s="20" t="n">
        <v>35462</v>
      </c>
      <c r="F227" s="20" t="n">
        <v>169394</v>
      </c>
    </row>
    <row r="228" customFormat="false" ht="15" hidden="false" customHeight="false" outlineLevel="0" collapsed="false">
      <c r="A228" s="22" t="n">
        <v>46125</v>
      </c>
      <c r="B228" s="19" t="s">
        <v>50</v>
      </c>
      <c r="C228" s="19" t="s">
        <v>12</v>
      </c>
      <c r="D228" s="19" t="s">
        <v>61</v>
      </c>
      <c r="E228" s="20" t="n">
        <v>3926</v>
      </c>
      <c r="F228" s="20" t="n">
        <v>0</v>
      </c>
    </row>
    <row r="229" customFormat="false" ht="15" hidden="false" customHeight="false" outlineLevel="0" collapsed="false">
      <c r="A229" s="22" t="n">
        <v>46125</v>
      </c>
      <c r="B229" s="19" t="s">
        <v>50</v>
      </c>
      <c r="C229" s="19" t="s">
        <v>16</v>
      </c>
      <c r="D229" s="19" t="s">
        <v>74</v>
      </c>
      <c r="E229" s="20" t="n">
        <v>18749</v>
      </c>
      <c r="F229" s="20" t="n">
        <v>0</v>
      </c>
    </row>
    <row r="230" customFormat="false" ht="15" hidden="false" customHeight="false" outlineLevel="0" collapsed="false">
      <c r="A230" s="22" t="n">
        <v>46125</v>
      </c>
      <c r="B230" s="19" t="s">
        <v>50</v>
      </c>
      <c r="C230" s="19" t="s">
        <v>14</v>
      </c>
      <c r="D230" s="19" t="s">
        <v>73</v>
      </c>
      <c r="E230" s="20" t="n">
        <v>540</v>
      </c>
      <c r="F230" s="20" t="n">
        <v>0</v>
      </c>
    </row>
    <row r="231" customFormat="false" ht="15" hidden="false" customHeight="false" outlineLevel="0" collapsed="false">
      <c r="A231" s="22" t="n">
        <v>46125</v>
      </c>
      <c r="B231" s="19" t="s">
        <v>50</v>
      </c>
      <c r="C231" s="19" t="s">
        <v>14</v>
      </c>
      <c r="D231" s="19" t="s">
        <v>62</v>
      </c>
      <c r="E231" s="20" t="n">
        <v>3020</v>
      </c>
      <c r="F231" s="20" t="n">
        <v>0</v>
      </c>
    </row>
    <row r="232" customFormat="false" ht="15" hidden="false" customHeight="false" outlineLevel="0" collapsed="false">
      <c r="A232" s="22" t="n">
        <v>46125</v>
      </c>
      <c r="B232" s="19" t="s">
        <v>50</v>
      </c>
      <c r="C232" s="19" t="s">
        <v>11</v>
      </c>
      <c r="D232" s="19" t="s">
        <v>63</v>
      </c>
      <c r="E232" s="20" t="n">
        <v>1742</v>
      </c>
      <c r="F232" s="20" t="n">
        <v>0</v>
      </c>
    </row>
    <row r="233" customFormat="false" ht="15" hidden="false" customHeight="false" outlineLevel="0" collapsed="false">
      <c r="A233" s="22" t="n">
        <v>46125</v>
      </c>
      <c r="B233" s="19" t="s">
        <v>50</v>
      </c>
      <c r="C233" s="19" t="s">
        <v>12</v>
      </c>
      <c r="D233" s="19" t="s">
        <v>66</v>
      </c>
      <c r="E233" s="20" t="n">
        <v>281346</v>
      </c>
      <c r="F233" s="20" t="n">
        <v>1652062</v>
      </c>
    </row>
    <row r="234" customFormat="false" ht="15" hidden="false" customHeight="false" outlineLevel="0" collapsed="false">
      <c r="A234" s="22" t="n">
        <v>46125</v>
      </c>
      <c r="B234" s="19" t="s">
        <v>50</v>
      </c>
      <c r="C234" s="19" t="s">
        <v>13</v>
      </c>
      <c r="D234" s="19" t="s">
        <v>64</v>
      </c>
      <c r="E234" s="20" t="n">
        <v>466450</v>
      </c>
      <c r="F234" s="20" t="n">
        <v>2721567</v>
      </c>
    </row>
    <row r="235" customFormat="false" ht="15" hidden="false" customHeight="false" outlineLevel="0" collapsed="false">
      <c r="A235" s="22" t="n">
        <v>46125</v>
      </c>
      <c r="B235" s="19" t="s">
        <v>50</v>
      </c>
      <c r="C235" s="19" t="s">
        <v>11</v>
      </c>
      <c r="D235" s="19" t="s">
        <v>69</v>
      </c>
      <c r="E235" s="20" t="n">
        <v>95772</v>
      </c>
      <c r="F235" s="20" t="n">
        <v>436957</v>
      </c>
    </row>
    <row r="236" customFormat="false" ht="15" hidden="false" customHeight="false" outlineLevel="0" collapsed="false">
      <c r="A236" s="22" t="n">
        <v>46125</v>
      </c>
      <c r="B236" s="19" t="s">
        <v>50</v>
      </c>
      <c r="C236" s="19" t="s">
        <v>12</v>
      </c>
      <c r="D236" s="19" t="s">
        <v>65</v>
      </c>
      <c r="E236" s="20" t="n">
        <v>122652</v>
      </c>
      <c r="F236" s="20" t="n">
        <v>358900</v>
      </c>
    </row>
    <row r="237" customFormat="false" ht="15" hidden="false" customHeight="false" outlineLevel="0" collapsed="false">
      <c r="A237" s="22" t="n">
        <v>46125</v>
      </c>
      <c r="B237" s="19" t="s">
        <v>50</v>
      </c>
      <c r="C237" s="19" t="s">
        <v>12</v>
      </c>
      <c r="D237" s="19" t="s">
        <v>75</v>
      </c>
      <c r="E237" s="20" t="n">
        <v>75266</v>
      </c>
      <c r="F237" s="20" t="n">
        <v>371650</v>
      </c>
    </row>
    <row r="238" customFormat="false" ht="15" hidden="false" customHeight="false" outlineLevel="0" collapsed="false">
      <c r="A238" s="22" t="n">
        <v>46125</v>
      </c>
      <c r="B238" s="19" t="s">
        <v>50</v>
      </c>
      <c r="C238" s="19" t="s">
        <v>13</v>
      </c>
      <c r="D238" s="19" t="s">
        <v>68</v>
      </c>
      <c r="E238" s="20" t="n">
        <v>85609</v>
      </c>
      <c r="F238" s="20" t="n">
        <v>952820</v>
      </c>
    </row>
    <row r="239" customFormat="false" ht="15" hidden="false" customHeight="false" outlineLevel="0" collapsed="false">
      <c r="A239" s="22" t="n">
        <v>46125</v>
      </c>
      <c r="B239" s="19" t="s">
        <v>50</v>
      </c>
      <c r="C239" s="19" t="s">
        <v>15</v>
      </c>
      <c r="D239" s="19" t="s">
        <v>67</v>
      </c>
      <c r="E239" s="20" t="n">
        <v>11691</v>
      </c>
      <c r="F239" s="20" t="n">
        <v>35000</v>
      </c>
    </row>
    <row r="240" customFormat="false" ht="15" hidden="false" customHeight="false" outlineLevel="0" collapsed="false">
      <c r="A240" s="22" t="n">
        <v>46125</v>
      </c>
      <c r="B240" s="19" t="s">
        <v>50</v>
      </c>
      <c r="C240" s="19" t="s">
        <v>12</v>
      </c>
      <c r="D240" s="19" t="s">
        <v>76</v>
      </c>
      <c r="E240" s="20" t="n">
        <v>21149</v>
      </c>
      <c r="F240" s="20" t="n">
        <v>0</v>
      </c>
    </row>
    <row r="241" customFormat="false" ht="15" hidden="false" customHeight="false" outlineLevel="0" collapsed="false">
      <c r="A241" s="22" t="n">
        <v>46125</v>
      </c>
      <c r="B241" s="19" t="s">
        <v>50</v>
      </c>
      <c r="C241" s="19" t="s">
        <v>70</v>
      </c>
      <c r="D241" s="19" t="s">
        <v>71</v>
      </c>
      <c r="E241" s="20" t="n">
        <v>26578</v>
      </c>
      <c r="F241" s="20" t="n">
        <v>110580</v>
      </c>
    </row>
    <row r="242" customFormat="false" ht="15" hidden="false" customHeight="false" outlineLevel="0" collapsed="false">
      <c r="A242" s="22" t="n">
        <v>46125</v>
      </c>
      <c r="B242" s="19" t="s">
        <v>50</v>
      </c>
      <c r="C242" s="19" t="s">
        <v>14</v>
      </c>
      <c r="D242" s="19" t="s">
        <v>77</v>
      </c>
      <c r="E242" s="20" t="n">
        <v>2733</v>
      </c>
      <c r="F242" s="20" t="n">
        <v>0</v>
      </c>
    </row>
    <row r="243" customFormat="false" ht="15" hidden="false" customHeight="false" outlineLevel="0" collapsed="false">
      <c r="A243" s="22" t="n">
        <v>46125</v>
      </c>
      <c r="B243" s="19" t="s">
        <v>50</v>
      </c>
      <c r="C243" s="19" t="s">
        <v>12</v>
      </c>
      <c r="D243" s="19" t="s">
        <v>78</v>
      </c>
      <c r="E243" s="20" t="n">
        <v>21406</v>
      </c>
      <c r="F243" s="20" t="n">
        <v>0</v>
      </c>
    </row>
    <row r="244" customFormat="false" ht="15" hidden="false" customHeight="false" outlineLevel="0" collapsed="false">
      <c r="A244" s="22" t="n">
        <v>46126</v>
      </c>
      <c r="B244" s="19" t="s">
        <v>50</v>
      </c>
      <c r="C244" s="19" t="s">
        <v>12</v>
      </c>
      <c r="D244" s="19" t="s">
        <v>58</v>
      </c>
      <c r="E244" s="20" t="n">
        <v>60818</v>
      </c>
      <c r="F244" s="20" t="n">
        <v>289060</v>
      </c>
    </row>
    <row r="245" customFormat="false" ht="15" hidden="false" customHeight="false" outlineLevel="0" collapsed="false">
      <c r="A245" s="22" t="n">
        <v>46126</v>
      </c>
      <c r="B245" s="19" t="s">
        <v>50</v>
      </c>
      <c r="C245" s="19" t="s">
        <v>16</v>
      </c>
      <c r="D245" s="19" t="s">
        <v>59</v>
      </c>
      <c r="E245" s="20" t="n">
        <v>77685</v>
      </c>
      <c r="F245" s="20" t="n">
        <v>693500</v>
      </c>
    </row>
    <row r="246" customFormat="false" ht="15" hidden="false" customHeight="false" outlineLevel="0" collapsed="false">
      <c r="A246" s="22" t="n">
        <v>46126</v>
      </c>
      <c r="B246" s="19" t="s">
        <v>50</v>
      </c>
      <c r="C246" s="19" t="s">
        <v>12</v>
      </c>
      <c r="D246" s="19" t="s">
        <v>72</v>
      </c>
      <c r="E246" s="20" t="n">
        <v>16496</v>
      </c>
      <c r="F246" s="20" t="n">
        <v>137750</v>
      </c>
    </row>
    <row r="247" customFormat="false" ht="15" hidden="false" customHeight="false" outlineLevel="0" collapsed="false">
      <c r="A247" s="22" t="n">
        <v>46126</v>
      </c>
      <c r="B247" s="19" t="s">
        <v>50</v>
      </c>
      <c r="C247" s="19" t="s">
        <v>11</v>
      </c>
      <c r="D247" s="19" t="s">
        <v>60</v>
      </c>
      <c r="E247" s="20" t="n">
        <v>43810</v>
      </c>
      <c r="F247" s="20" t="n">
        <v>379500</v>
      </c>
    </row>
    <row r="248" customFormat="false" ht="15" hidden="false" customHeight="false" outlineLevel="0" collapsed="false">
      <c r="A248" s="22" t="n">
        <v>46126</v>
      </c>
      <c r="B248" s="19" t="s">
        <v>50</v>
      </c>
      <c r="C248" s="19" t="s">
        <v>15</v>
      </c>
      <c r="D248" s="19" t="s">
        <v>15</v>
      </c>
      <c r="E248" s="20" t="n">
        <v>11745</v>
      </c>
      <c r="F248" s="20" t="n">
        <v>367800</v>
      </c>
    </row>
    <row r="249" customFormat="false" ht="15" hidden="false" customHeight="false" outlineLevel="0" collapsed="false">
      <c r="A249" s="22" t="n">
        <v>46126</v>
      </c>
      <c r="B249" s="19" t="s">
        <v>50</v>
      </c>
      <c r="C249" s="19" t="s">
        <v>12</v>
      </c>
      <c r="D249" s="19" t="s">
        <v>61</v>
      </c>
      <c r="E249" s="20" t="n">
        <v>5472</v>
      </c>
      <c r="F249" s="20" t="n">
        <v>0</v>
      </c>
    </row>
    <row r="250" customFormat="false" ht="15" hidden="false" customHeight="false" outlineLevel="0" collapsed="false">
      <c r="A250" s="22" t="n">
        <v>46126</v>
      </c>
      <c r="B250" s="19" t="s">
        <v>50</v>
      </c>
      <c r="C250" s="19" t="s">
        <v>14</v>
      </c>
      <c r="D250" s="19" t="s">
        <v>73</v>
      </c>
      <c r="E250" s="20" t="n">
        <v>13740</v>
      </c>
      <c r="F250" s="20" t="n">
        <v>95733</v>
      </c>
    </row>
    <row r="251" customFormat="false" ht="15" hidden="false" customHeight="false" outlineLevel="0" collapsed="false">
      <c r="A251" s="22" t="n">
        <v>46126</v>
      </c>
      <c r="B251" s="19" t="s">
        <v>50</v>
      </c>
      <c r="C251" s="19" t="s">
        <v>14</v>
      </c>
      <c r="D251" s="19" t="s">
        <v>62</v>
      </c>
      <c r="E251" s="20" t="n">
        <v>28720</v>
      </c>
      <c r="F251" s="20" t="n">
        <v>162960</v>
      </c>
    </row>
    <row r="252" customFormat="false" ht="15" hidden="false" customHeight="false" outlineLevel="0" collapsed="false">
      <c r="A252" s="22" t="n">
        <v>46126</v>
      </c>
      <c r="B252" s="19" t="s">
        <v>50</v>
      </c>
      <c r="C252" s="19" t="s">
        <v>16</v>
      </c>
      <c r="D252" s="19" t="s">
        <v>74</v>
      </c>
      <c r="E252" s="20" t="n">
        <v>719</v>
      </c>
      <c r="F252" s="20" t="n">
        <v>0</v>
      </c>
    </row>
    <row r="253" customFormat="false" ht="15" hidden="false" customHeight="false" outlineLevel="0" collapsed="false">
      <c r="A253" s="22" t="n">
        <v>46126</v>
      </c>
      <c r="B253" s="19" t="s">
        <v>50</v>
      </c>
      <c r="C253" s="19" t="s">
        <v>11</v>
      </c>
      <c r="D253" s="19" t="s">
        <v>63</v>
      </c>
      <c r="E253" s="20" t="n">
        <v>5636</v>
      </c>
      <c r="F253" s="20" t="n">
        <v>0</v>
      </c>
    </row>
    <row r="254" customFormat="false" ht="15" hidden="false" customHeight="false" outlineLevel="0" collapsed="false">
      <c r="A254" s="22" t="n">
        <v>46126</v>
      </c>
      <c r="B254" s="19" t="s">
        <v>50</v>
      </c>
      <c r="C254" s="19" t="s">
        <v>12</v>
      </c>
      <c r="D254" s="19" t="s">
        <v>66</v>
      </c>
      <c r="E254" s="20" t="n">
        <v>222011</v>
      </c>
      <c r="F254" s="20" t="n">
        <v>879750</v>
      </c>
    </row>
    <row r="255" customFormat="false" ht="15" hidden="false" customHeight="false" outlineLevel="0" collapsed="false">
      <c r="A255" s="22" t="n">
        <v>46126</v>
      </c>
      <c r="B255" s="19" t="s">
        <v>50</v>
      </c>
      <c r="C255" s="19" t="s">
        <v>13</v>
      </c>
      <c r="D255" s="19" t="s">
        <v>64</v>
      </c>
      <c r="E255" s="20" t="n">
        <v>482050</v>
      </c>
      <c r="F255" s="20" t="n">
        <v>2703746</v>
      </c>
    </row>
    <row r="256" customFormat="false" ht="15" hidden="false" customHeight="false" outlineLevel="0" collapsed="false">
      <c r="A256" s="22" t="n">
        <v>46126</v>
      </c>
      <c r="B256" s="19" t="s">
        <v>50</v>
      </c>
      <c r="C256" s="19" t="s">
        <v>13</v>
      </c>
      <c r="D256" s="19" t="s">
        <v>68</v>
      </c>
      <c r="E256" s="20" t="n">
        <v>300000</v>
      </c>
      <c r="F256" s="20" t="n">
        <v>1672218</v>
      </c>
    </row>
    <row r="257" customFormat="false" ht="15" hidden="false" customHeight="false" outlineLevel="0" collapsed="false">
      <c r="A257" s="22" t="n">
        <v>46126</v>
      </c>
      <c r="B257" s="19" t="s">
        <v>50</v>
      </c>
      <c r="C257" s="19" t="s">
        <v>12</v>
      </c>
      <c r="D257" s="19" t="s">
        <v>65</v>
      </c>
      <c r="E257" s="20" t="n">
        <v>301686</v>
      </c>
      <c r="F257" s="20" t="n">
        <v>1440220</v>
      </c>
    </row>
    <row r="258" customFormat="false" ht="15" hidden="false" customHeight="false" outlineLevel="0" collapsed="false">
      <c r="A258" s="22" t="n">
        <v>46126</v>
      </c>
      <c r="B258" s="19" t="s">
        <v>50</v>
      </c>
      <c r="C258" s="19" t="s">
        <v>11</v>
      </c>
      <c r="D258" s="19" t="s">
        <v>69</v>
      </c>
      <c r="E258" s="20" t="n">
        <v>97650</v>
      </c>
      <c r="F258" s="20" t="n">
        <v>415425</v>
      </c>
    </row>
    <row r="259" customFormat="false" ht="15" hidden="false" customHeight="false" outlineLevel="0" collapsed="false">
      <c r="A259" s="22" t="n">
        <v>46126</v>
      </c>
      <c r="B259" s="19" t="s">
        <v>50</v>
      </c>
      <c r="C259" s="19" t="s">
        <v>12</v>
      </c>
      <c r="D259" s="19" t="s">
        <v>75</v>
      </c>
      <c r="E259" s="20" t="n">
        <v>40731</v>
      </c>
      <c r="F259" s="20" t="n">
        <v>223250</v>
      </c>
    </row>
    <row r="260" customFormat="false" ht="15" hidden="false" customHeight="false" outlineLevel="0" collapsed="false">
      <c r="A260" s="22" t="n">
        <v>46126</v>
      </c>
      <c r="B260" s="19" t="s">
        <v>50</v>
      </c>
      <c r="C260" s="19" t="s">
        <v>15</v>
      </c>
      <c r="D260" s="19" t="s">
        <v>67</v>
      </c>
      <c r="E260" s="20" t="n">
        <v>8934</v>
      </c>
      <c r="F260" s="20" t="n">
        <v>0</v>
      </c>
    </row>
    <row r="261" customFormat="false" ht="15" hidden="false" customHeight="false" outlineLevel="0" collapsed="false">
      <c r="A261" s="22" t="n">
        <v>46126</v>
      </c>
      <c r="B261" s="19" t="s">
        <v>50</v>
      </c>
      <c r="C261" s="19" t="s">
        <v>12</v>
      </c>
      <c r="D261" s="19" t="s">
        <v>76</v>
      </c>
      <c r="E261" s="20" t="n">
        <v>27573</v>
      </c>
      <c r="F261" s="20" t="n">
        <v>111550</v>
      </c>
    </row>
    <row r="262" customFormat="false" ht="15" hidden="false" customHeight="false" outlineLevel="0" collapsed="false">
      <c r="A262" s="22" t="n">
        <v>46126</v>
      </c>
      <c r="B262" s="19" t="s">
        <v>50</v>
      </c>
      <c r="C262" s="19" t="s">
        <v>70</v>
      </c>
      <c r="D262" s="19" t="s">
        <v>71</v>
      </c>
      <c r="E262" s="20" t="n">
        <v>12875</v>
      </c>
      <c r="F262" s="20" t="n">
        <v>0</v>
      </c>
    </row>
    <row r="263" customFormat="false" ht="15" hidden="false" customHeight="false" outlineLevel="0" collapsed="false">
      <c r="A263" s="22" t="n">
        <v>46126</v>
      </c>
      <c r="B263" s="19" t="s">
        <v>50</v>
      </c>
      <c r="C263" s="19" t="s">
        <v>12</v>
      </c>
      <c r="D263" s="19" t="s">
        <v>78</v>
      </c>
      <c r="E263" s="20" t="n">
        <v>548</v>
      </c>
      <c r="F263" s="20" t="n">
        <v>0</v>
      </c>
    </row>
    <row r="264" customFormat="false" ht="15" hidden="false" customHeight="false" outlineLevel="0" collapsed="false">
      <c r="A264" s="22" t="n">
        <v>46126</v>
      </c>
      <c r="B264" s="19" t="s">
        <v>50</v>
      </c>
      <c r="C264" s="19" t="s">
        <v>14</v>
      </c>
      <c r="D264" s="19" t="s">
        <v>77</v>
      </c>
      <c r="E264" s="20" t="n">
        <v>7178</v>
      </c>
      <c r="F264" s="20" t="n">
        <v>0</v>
      </c>
    </row>
    <row r="265" customFormat="false" ht="15" hidden="false" customHeight="false" outlineLevel="0" collapsed="false">
      <c r="A265" s="22" t="n">
        <v>46127</v>
      </c>
      <c r="B265" s="19" t="s">
        <v>50</v>
      </c>
      <c r="C265" s="19" t="s">
        <v>12</v>
      </c>
      <c r="D265" s="19" t="s">
        <v>58</v>
      </c>
      <c r="E265" s="20" t="n">
        <v>88189</v>
      </c>
      <c r="F265" s="20" t="n">
        <v>427839</v>
      </c>
    </row>
    <row r="266" customFormat="false" ht="15" hidden="false" customHeight="false" outlineLevel="0" collapsed="false">
      <c r="A266" s="22" t="n">
        <v>46127</v>
      </c>
      <c r="B266" s="19" t="s">
        <v>50</v>
      </c>
      <c r="C266" s="19" t="s">
        <v>12</v>
      </c>
      <c r="D266" s="19" t="s">
        <v>72</v>
      </c>
      <c r="E266" s="20" t="n">
        <v>37097</v>
      </c>
      <c r="F266" s="20" t="n">
        <v>283200</v>
      </c>
    </row>
    <row r="267" customFormat="false" ht="15" hidden="false" customHeight="false" outlineLevel="0" collapsed="false">
      <c r="A267" s="22" t="n">
        <v>46127</v>
      </c>
      <c r="B267" s="19" t="s">
        <v>50</v>
      </c>
      <c r="C267" s="19" t="s">
        <v>16</v>
      </c>
      <c r="D267" s="19" t="s">
        <v>59</v>
      </c>
      <c r="E267" s="20" t="n">
        <v>9540</v>
      </c>
      <c r="F267" s="20" t="n">
        <v>0</v>
      </c>
    </row>
    <row r="268" customFormat="false" ht="15" hidden="false" customHeight="false" outlineLevel="0" collapsed="false">
      <c r="A268" s="22" t="n">
        <v>46127</v>
      </c>
      <c r="B268" s="19" t="s">
        <v>50</v>
      </c>
      <c r="C268" s="19" t="s">
        <v>11</v>
      </c>
      <c r="D268" s="19" t="s">
        <v>60</v>
      </c>
      <c r="E268" s="20" t="n">
        <v>181565</v>
      </c>
      <c r="F268" s="20" t="n">
        <v>1272456</v>
      </c>
    </row>
    <row r="269" customFormat="false" ht="15" hidden="false" customHeight="false" outlineLevel="0" collapsed="false">
      <c r="A269" s="22" t="n">
        <v>46127</v>
      </c>
      <c r="B269" s="19" t="s">
        <v>50</v>
      </c>
      <c r="C269" s="19" t="s">
        <v>14</v>
      </c>
      <c r="D269" s="19" t="s">
        <v>73</v>
      </c>
      <c r="E269" s="20" t="n">
        <v>1753</v>
      </c>
      <c r="F269" s="20" t="n">
        <v>0</v>
      </c>
    </row>
    <row r="270" customFormat="false" ht="15" hidden="false" customHeight="false" outlineLevel="0" collapsed="false">
      <c r="A270" s="22" t="n">
        <v>46127</v>
      </c>
      <c r="B270" s="19" t="s">
        <v>50</v>
      </c>
      <c r="C270" s="19" t="s">
        <v>12</v>
      </c>
      <c r="D270" s="19" t="s">
        <v>61</v>
      </c>
      <c r="E270" s="20" t="n">
        <v>4732</v>
      </c>
      <c r="F270" s="20" t="n">
        <v>0</v>
      </c>
    </row>
    <row r="271" customFormat="false" ht="15" hidden="false" customHeight="false" outlineLevel="0" collapsed="false">
      <c r="A271" s="22" t="n">
        <v>46127</v>
      </c>
      <c r="B271" s="19" t="s">
        <v>50</v>
      </c>
      <c r="C271" s="19" t="s">
        <v>15</v>
      </c>
      <c r="D271" s="19" t="s">
        <v>15</v>
      </c>
      <c r="E271" s="20" t="n">
        <v>34828</v>
      </c>
      <c r="F271" s="20" t="n">
        <v>0</v>
      </c>
    </row>
    <row r="272" customFormat="false" ht="15" hidden="false" customHeight="false" outlineLevel="0" collapsed="false">
      <c r="A272" s="22" t="n">
        <v>46127</v>
      </c>
      <c r="B272" s="19" t="s">
        <v>50</v>
      </c>
      <c r="C272" s="19" t="s">
        <v>16</v>
      </c>
      <c r="D272" s="19" t="s">
        <v>74</v>
      </c>
      <c r="E272" s="20" t="n">
        <v>33551</v>
      </c>
      <c r="F272" s="20" t="n">
        <v>180500</v>
      </c>
    </row>
    <row r="273" customFormat="false" ht="15" hidden="false" customHeight="false" outlineLevel="0" collapsed="false">
      <c r="A273" s="22" t="n">
        <v>46127</v>
      </c>
      <c r="B273" s="19" t="s">
        <v>50</v>
      </c>
      <c r="C273" s="19" t="s">
        <v>14</v>
      </c>
      <c r="D273" s="19" t="s">
        <v>62</v>
      </c>
      <c r="E273" s="20" t="n">
        <v>3404</v>
      </c>
      <c r="F273" s="20" t="n">
        <v>0</v>
      </c>
    </row>
    <row r="274" customFormat="false" ht="15" hidden="false" customHeight="false" outlineLevel="0" collapsed="false">
      <c r="A274" s="22" t="n">
        <v>46127</v>
      </c>
      <c r="B274" s="19" t="s">
        <v>50</v>
      </c>
      <c r="C274" s="19" t="s">
        <v>11</v>
      </c>
      <c r="D274" s="19" t="s">
        <v>63</v>
      </c>
      <c r="E274" s="20" t="n">
        <v>5915</v>
      </c>
      <c r="F274" s="20" t="n">
        <v>0</v>
      </c>
    </row>
    <row r="275" customFormat="false" ht="15" hidden="false" customHeight="false" outlineLevel="0" collapsed="false">
      <c r="A275" s="22" t="n">
        <v>46127</v>
      </c>
      <c r="B275" s="19" t="s">
        <v>50</v>
      </c>
      <c r="C275" s="19" t="s">
        <v>12</v>
      </c>
      <c r="D275" s="19" t="s">
        <v>66</v>
      </c>
      <c r="E275" s="20" t="n">
        <v>500000</v>
      </c>
      <c r="F275" s="20" t="n">
        <v>3088924</v>
      </c>
    </row>
    <row r="276" customFormat="false" ht="15" hidden="false" customHeight="false" outlineLevel="0" collapsed="false">
      <c r="A276" s="22" t="n">
        <v>46127</v>
      </c>
      <c r="B276" s="19" t="s">
        <v>50</v>
      </c>
      <c r="C276" s="19" t="s">
        <v>13</v>
      </c>
      <c r="D276" s="19" t="s">
        <v>64</v>
      </c>
      <c r="E276" s="20" t="n">
        <v>900000</v>
      </c>
      <c r="F276" s="20" t="n">
        <v>7739714</v>
      </c>
    </row>
    <row r="277" customFormat="false" ht="15" hidden="false" customHeight="false" outlineLevel="0" collapsed="false">
      <c r="A277" s="22" t="n">
        <v>46127</v>
      </c>
      <c r="B277" s="19" t="s">
        <v>50</v>
      </c>
      <c r="C277" s="19" t="s">
        <v>15</v>
      </c>
      <c r="D277" s="19" t="s">
        <v>67</v>
      </c>
      <c r="E277" s="20" t="n">
        <v>106995</v>
      </c>
      <c r="F277" s="20" t="n">
        <v>430136</v>
      </c>
    </row>
    <row r="278" customFormat="false" ht="15" hidden="false" customHeight="false" outlineLevel="0" collapsed="false">
      <c r="A278" s="22" t="n">
        <v>46127</v>
      </c>
      <c r="B278" s="19" t="s">
        <v>50</v>
      </c>
      <c r="C278" s="19" t="s">
        <v>12</v>
      </c>
      <c r="D278" s="19" t="s">
        <v>65</v>
      </c>
      <c r="E278" s="20" t="n">
        <v>190062</v>
      </c>
      <c r="F278" s="20" t="n">
        <v>802829</v>
      </c>
    </row>
    <row r="279" customFormat="false" ht="15" hidden="false" customHeight="false" outlineLevel="0" collapsed="false">
      <c r="A279" s="22" t="n">
        <v>46127</v>
      </c>
      <c r="B279" s="19" t="s">
        <v>50</v>
      </c>
      <c r="C279" s="19" t="s">
        <v>13</v>
      </c>
      <c r="D279" s="19" t="s">
        <v>68</v>
      </c>
      <c r="E279" s="20" t="n">
        <v>108765</v>
      </c>
      <c r="F279" s="20" t="n">
        <v>178340</v>
      </c>
    </row>
    <row r="280" customFormat="false" ht="15" hidden="false" customHeight="false" outlineLevel="0" collapsed="false">
      <c r="A280" s="22" t="n">
        <v>46127</v>
      </c>
      <c r="B280" s="19" t="s">
        <v>50</v>
      </c>
      <c r="C280" s="19" t="s">
        <v>14</v>
      </c>
      <c r="D280" s="19" t="s">
        <v>77</v>
      </c>
      <c r="E280" s="20" t="n">
        <v>70930</v>
      </c>
      <c r="F280" s="20" t="n">
        <v>173401</v>
      </c>
    </row>
    <row r="281" customFormat="false" ht="15" hidden="false" customHeight="false" outlineLevel="0" collapsed="false">
      <c r="A281" s="22" t="n">
        <v>46127</v>
      </c>
      <c r="B281" s="19" t="s">
        <v>50</v>
      </c>
      <c r="C281" s="19" t="s">
        <v>11</v>
      </c>
      <c r="D281" s="19" t="s">
        <v>69</v>
      </c>
      <c r="E281" s="20" t="n">
        <v>27813</v>
      </c>
      <c r="F281" s="20" t="n">
        <v>105526</v>
      </c>
    </row>
    <row r="282" customFormat="false" ht="15" hidden="false" customHeight="false" outlineLevel="0" collapsed="false">
      <c r="A282" s="22" t="n">
        <v>46127</v>
      </c>
      <c r="B282" s="19" t="s">
        <v>50</v>
      </c>
      <c r="C282" s="19" t="s">
        <v>12</v>
      </c>
      <c r="D282" s="19" t="s">
        <v>76</v>
      </c>
      <c r="E282" s="20" t="n">
        <v>45853</v>
      </c>
      <c r="F282" s="20" t="n">
        <v>0</v>
      </c>
    </row>
    <row r="283" customFormat="false" ht="15" hidden="false" customHeight="false" outlineLevel="0" collapsed="false">
      <c r="A283" s="22" t="n">
        <v>46127</v>
      </c>
      <c r="B283" s="19" t="s">
        <v>50</v>
      </c>
      <c r="C283" s="19" t="s">
        <v>12</v>
      </c>
      <c r="D283" s="19" t="s">
        <v>75</v>
      </c>
      <c r="E283" s="20" t="n">
        <v>5314</v>
      </c>
      <c r="F283" s="20" t="n">
        <v>0</v>
      </c>
    </row>
    <row r="284" customFormat="false" ht="15" hidden="false" customHeight="false" outlineLevel="0" collapsed="false">
      <c r="A284" s="22" t="n">
        <v>46127</v>
      </c>
      <c r="B284" s="19" t="s">
        <v>50</v>
      </c>
      <c r="C284" s="19" t="s">
        <v>70</v>
      </c>
      <c r="D284" s="19" t="s">
        <v>71</v>
      </c>
      <c r="E284" s="20" t="n">
        <v>14066</v>
      </c>
      <c r="F284" s="20" t="n">
        <v>0</v>
      </c>
    </row>
    <row r="285" customFormat="false" ht="15" hidden="false" customHeight="false" outlineLevel="0" collapsed="false">
      <c r="A285" s="22" t="n">
        <v>46127</v>
      </c>
      <c r="B285" s="19" t="s">
        <v>50</v>
      </c>
      <c r="C285" s="19" t="s">
        <v>12</v>
      </c>
      <c r="D285" s="19" t="s">
        <v>78</v>
      </c>
      <c r="E285" s="20" t="n">
        <v>2494</v>
      </c>
      <c r="F285" s="20" t="n">
        <v>0</v>
      </c>
    </row>
    <row r="286" customFormat="false" ht="15" hidden="false" customHeight="false" outlineLevel="0" collapsed="false">
      <c r="A286" s="22" t="n">
        <v>46128</v>
      </c>
      <c r="B286" s="19" t="s">
        <v>50</v>
      </c>
      <c r="C286" s="19" t="s">
        <v>12</v>
      </c>
      <c r="D286" s="19" t="s">
        <v>58</v>
      </c>
      <c r="E286" s="20" t="n">
        <v>59885</v>
      </c>
      <c r="F286" s="20" t="n">
        <v>974120</v>
      </c>
    </row>
    <row r="287" customFormat="false" ht="15" hidden="false" customHeight="false" outlineLevel="0" collapsed="false">
      <c r="A287" s="22" t="n">
        <v>46128</v>
      </c>
      <c r="B287" s="19" t="s">
        <v>50</v>
      </c>
      <c r="C287" s="19" t="s">
        <v>16</v>
      </c>
      <c r="D287" s="19" t="s">
        <v>59</v>
      </c>
      <c r="E287" s="20" t="n">
        <v>59120</v>
      </c>
      <c r="F287" s="20" t="n">
        <v>453148</v>
      </c>
    </row>
    <row r="288" customFormat="false" ht="15" hidden="false" customHeight="false" outlineLevel="0" collapsed="false">
      <c r="A288" s="22" t="n">
        <v>46128</v>
      </c>
      <c r="B288" s="19" t="s">
        <v>50</v>
      </c>
      <c r="C288" s="19" t="s">
        <v>12</v>
      </c>
      <c r="D288" s="19" t="s">
        <v>72</v>
      </c>
      <c r="E288" s="20" t="n">
        <v>21500</v>
      </c>
      <c r="F288" s="20" t="n">
        <v>0</v>
      </c>
    </row>
    <row r="289" customFormat="false" ht="15" hidden="false" customHeight="false" outlineLevel="0" collapsed="false">
      <c r="A289" s="22" t="n">
        <v>46128</v>
      </c>
      <c r="B289" s="19" t="s">
        <v>50</v>
      </c>
      <c r="C289" s="19" t="s">
        <v>11</v>
      </c>
      <c r="D289" s="19" t="s">
        <v>60</v>
      </c>
      <c r="E289" s="20" t="n">
        <v>81707</v>
      </c>
      <c r="F289" s="20" t="n">
        <v>310500</v>
      </c>
    </row>
    <row r="290" customFormat="false" ht="15" hidden="false" customHeight="false" outlineLevel="0" collapsed="false">
      <c r="A290" s="22" t="n">
        <v>46128</v>
      </c>
      <c r="B290" s="19" t="s">
        <v>50</v>
      </c>
      <c r="C290" s="19" t="s">
        <v>12</v>
      </c>
      <c r="D290" s="19" t="s">
        <v>61</v>
      </c>
      <c r="E290" s="20" t="n">
        <v>21828</v>
      </c>
      <c r="F290" s="20" t="n">
        <v>105730</v>
      </c>
    </row>
    <row r="291" customFormat="false" ht="15" hidden="false" customHeight="false" outlineLevel="0" collapsed="false">
      <c r="A291" s="22" t="n">
        <v>46128</v>
      </c>
      <c r="B291" s="19" t="s">
        <v>50</v>
      </c>
      <c r="C291" s="19" t="s">
        <v>15</v>
      </c>
      <c r="D291" s="19" t="s">
        <v>15</v>
      </c>
      <c r="E291" s="20" t="n">
        <v>10182</v>
      </c>
      <c r="F291" s="20" t="n">
        <v>0</v>
      </c>
    </row>
    <row r="292" customFormat="false" ht="15" hidden="false" customHeight="false" outlineLevel="0" collapsed="false">
      <c r="A292" s="22" t="n">
        <v>46128</v>
      </c>
      <c r="B292" s="19" t="s">
        <v>50</v>
      </c>
      <c r="C292" s="19" t="s">
        <v>14</v>
      </c>
      <c r="D292" s="19" t="s">
        <v>73</v>
      </c>
      <c r="E292" s="20" t="n">
        <v>1130</v>
      </c>
      <c r="F292" s="20" t="n">
        <v>0</v>
      </c>
    </row>
    <row r="293" customFormat="false" ht="15" hidden="false" customHeight="false" outlineLevel="0" collapsed="false">
      <c r="A293" s="22" t="n">
        <v>46128</v>
      </c>
      <c r="B293" s="19" t="s">
        <v>50</v>
      </c>
      <c r="C293" s="19" t="s">
        <v>16</v>
      </c>
      <c r="D293" s="19" t="s">
        <v>74</v>
      </c>
      <c r="E293" s="20" t="n">
        <v>1034</v>
      </c>
      <c r="F293" s="20" t="n">
        <v>0</v>
      </c>
    </row>
    <row r="294" customFormat="false" ht="15" hidden="false" customHeight="false" outlineLevel="0" collapsed="false">
      <c r="A294" s="22" t="n">
        <v>46128</v>
      </c>
      <c r="B294" s="19" t="s">
        <v>50</v>
      </c>
      <c r="C294" s="19" t="s">
        <v>11</v>
      </c>
      <c r="D294" s="19" t="s">
        <v>63</v>
      </c>
      <c r="E294" s="20" t="n">
        <v>8648</v>
      </c>
      <c r="F294" s="20" t="n">
        <v>39000</v>
      </c>
    </row>
    <row r="295" customFormat="false" ht="15" hidden="false" customHeight="false" outlineLevel="0" collapsed="false">
      <c r="A295" s="22" t="n">
        <v>46128</v>
      </c>
      <c r="B295" s="19" t="s">
        <v>50</v>
      </c>
      <c r="C295" s="19" t="s">
        <v>12</v>
      </c>
      <c r="D295" s="19" t="s">
        <v>66</v>
      </c>
      <c r="E295" s="20" t="n">
        <v>447956</v>
      </c>
      <c r="F295" s="20" t="n">
        <v>760937</v>
      </c>
    </row>
    <row r="296" customFormat="false" ht="15" hidden="false" customHeight="false" outlineLevel="0" collapsed="false">
      <c r="A296" s="22" t="n">
        <v>46128</v>
      </c>
      <c r="B296" s="19" t="s">
        <v>50</v>
      </c>
      <c r="C296" s="19" t="s">
        <v>13</v>
      </c>
      <c r="D296" s="19" t="s">
        <v>64</v>
      </c>
      <c r="E296" s="20" t="n">
        <v>636572</v>
      </c>
      <c r="F296" s="20" t="n">
        <v>2659267</v>
      </c>
    </row>
    <row r="297" customFormat="false" ht="15" hidden="false" customHeight="false" outlineLevel="0" collapsed="false">
      <c r="A297" s="22" t="n">
        <v>46128</v>
      </c>
      <c r="B297" s="19" t="s">
        <v>50</v>
      </c>
      <c r="C297" s="19" t="s">
        <v>12</v>
      </c>
      <c r="D297" s="19" t="s">
        <v>65</v>
      </c>
      <c r="E297" s="20" t="n">
        <v>228453</v>
      </c>
      <c r="F297" s="20" t="n">
        <v>1030100</v>
      </c>
    </row>
    <row r="298" customFormat="false" ht="15" hidden="false" customHeight="false" outlineLevel="0" collapsed="false">
      <c r="A298" s="22" t="n">
        <v>46128</v>
      </c>
      <c r="B298" s="19" t="s">
        <v>50</v>
      </c>
      <c r="C298" s="19" t="s">
        <v>15</v>
      </c>
      <c r="D298" s="19" t="s">
        <v>67</v>
      </c>
      <c r="E298" s="20" t="n">
        <v>16516</v>
      </c>
      <c r="F298" s="20" t="n">
        <v>0</v>
      </c>
    </row>
    <row r="299" customFormat="false" ht="15" hidden="false" customHeight="false" outlineLevel="0" collapsed="false">
      <c r="A299" s="22" t="n">
        <v>46128</v>
      </c>
      <c r="B299" s="19" t="s">
        <v>50</v>
      </c>
      <c r="C299" s="19" t="s">
        <v>12</v>
      </c>
      <c r="D299" s="19" t="s">
        <v>76</v>
      </c>
      <c r="E299" s="20" t="n">
        <v>68677</v>
      </c>
      <c r="F299" s="20" t="n">
        <v>355990</v>
      </c>
    </row>
    <row r="300" customFormat="false" ht="15" hidden="false" customHeight="false" outlineLevel="0" collapsed="false">
      <c r="A300" s="22" t="n">
        <v>46128</v>
      </c>
      <c r="B300" s="19" t="s">
        <v>50</v>
      </c>
      <c r="C300" s="19" t="s">
        <v>11</v>
      </c>
      <c r="D300" s="19" t="s">
        <v>69</v>
      </c>
      <c r="E300" s="20" t="n">
        <v>25701</v>
      </c>
      <c r="F300" s="20" t="n">
        <v>111550</v>
      </c>
    </row>
    <row r="301" customFormat="false" ht="15" hidden="false" customHeight="false" outlineLevel="0" collapsed="false">
      <c r="A301" s="22" t="n">
        <v>46128</v>
      </c>
      <c r="B301" s="19" t="s">
        <v>50</v>
      </c>
      <c r="C301" s="19" t="s">
        <v>70</v>
      </c>
      <c r="D301" s="19" t="s">
        <v>71</v>
      </c>
      <c r="E301" s="20" t="n">
        <v>100000</v>
      </c>
      <c r="F301" s="20" t="n">
        <v>566950</v>
      </c>
    </row>
    <row r="302" customFormat="false" ht="15" hidden="false" customHeight="false" outlineLevel="0" collapsed="false">
      <c r="A302" s="22" t="n">
        <v>46128</v>
      </c>
      <c r="B302" s="19" t="s">
        <v>50</v>
      </c>
      <c r="C302" s="19" t="s">
        <v>12</v>
      </c>
      <c r="D302" s="19" t="s">
        <v>75</v>
      </c>
      <c r="E302" s="20" t="n">
        <v>14553</v>
      </c>
      <c r="F302" s="20" t="n">
        <v>0</v>
      </c>
    </row>
    <row r="303" customFormat="false" ht="15" hidden="false" customHeight="false" outlineLevel="0" collapsed="false">
      <c r="A303" s="22" t="n">
        <v>46128</v>
      </c>
      <c r="B303" s="19" t="s">
        <v>50</v>
      </c>
      <c r="C303" s="19" t="s">
        <v>13</v>
      </c>
      <c r="D303" s="19" t="s">
        <v>68</v>
      </c>
      <c r="E303" s="20" t="n">
        <v>6262</v>
      </c>
      <c r="F303" s="20" t="n">
        <v>0</v>
      </c>
    </row>
    <row r="304" customFormat="false" ht="15" hidden="false" customHeight="false" outlineLevel="0" collapsed="false">
      <c r="A304" s="22" t="n">
        <v>46128</v>
      </c>
      <c r="B304" s="19" t="s">
        <v>50</v>
      </c>
      <c r="C304" s="19" t="s">
        <v>14</v>
      </c>
      <c r="D304" s="19" t="s">
        <v>77</v>
      </c>
      <c r="E304" s="20" t="n">
        <v>21404</v>
      </c>
      <c r="F304" s="20" t="n">
        <v>56316</v>
      </c>
    </row>
    <row r="305" customFormat="false" ht="15" hidden="false" customHeight="false" outlineLevel="0" collapsed="false">
      <c r="A305" s="22" t="n">
        <v>46128</v>
      </c>
      <c r="B305" s="19" t="s">
        <v>50</v>
      </c>
      <c r="C305" s="19" t="s">
        <v>12</v>
      </c>
      <c r="D305" s="19" t="s">
        <v>78</v>
      </c>
      <c r="E305" s="20" t="n">
        <v>28576</v>
      </c>
      <c r="F305" s="20" t="n">
        <v>0</v>
      </c>
    </row>
    <row r="306" customFormat="false" ht="15" hidden="false" customHeight="false" outlineLevel="0" collapsed="false">
      <c r="A306" s="22" t="n">
        <v>46129</v>
      </c>
      <c r="B306" s="19" t="s">
        <v>50</v>
      </c>
      <c r="C306" s="19" t="s">
        <v>12</v>
      </c>
      <c r="D306" s="19" t="s">
        <v>58</v>
      </c>
      <c r="E306" s="20" t="n">
        <v>99644</v>
      </c>
      <c r="F306" s="20" t="n">
        <v>214000</v>
      </c>
    </row>
    <row r="307" customFormat="false" ht="15" hidden="false" customHeight="false" outlineLevel="0" collapsed="false">
      <c r="A307" s="22" t="n">
        <v>46129</v>
      </c>
      <c r="B307" s="19" t="s">
        <v>50</v>
      </c>
      <c r="C307" s="19" t="s">
        <v>16</v>
      </c>
      <c r="D307" s="19" t="s">
        <v>59</v>
      </c>
      <c r="E307" s="20" t="n">
        <v>21394</v>
      </c>
      <c r="F307" s="20" t="n">
        <v>0</v>
      </c>
    </row>
    <row r="308" customFormat="false" ht="15" hidden="false" customHeight="false" outlineLevel="0" collapsed="false">
      <c r="A308" s="22" t="n">
        <v>46129</v>
      </c>
      <c r="B308" s="19" t="s">
        <v>50</v>
      </c>
      <c r="C308" s="19" t="s">
        <v>12</v>
      </c>
      <c r="D308" s="19" t="s">
        <v>72</v>
      </c>
      <c r="E308" s="20" t="n">
        <v>27366</v>
      </c>
      <c r="F308" s="20" t="n">
        <v>544310</v>
      </c>
    </row>
    <row r="309" customFormat="false" ht="15" hidden="false" customHeight="false" outlineLevel="0" collapsed="false">
      <c r="A309" s="22" t="n">
        <v>46129</v>
      </c>
      <c r="B309" s="19" t="s">
        <v>50</v>
      </c>
      <c r="C309" s="19" t="s">
        <v>11</v>
      </c>
      <c r="D309" s="19" t="s">
        <v>60</v>
      </c>
      <c r="E309" s="20" t="n">
        <v>34220</v>
      </c>
      <c r="F309" s="20" t="n">
        <v>138000</v>
      </c>
    </row>
    <row r="310" customFormat="false" ht="15" hidden="false" customHeight="false" outlineLevel="0" collapsed="false">
      <c r="A310" s="22" t="n">
        <v>46129</v>
      </c>
      <c r="B310" s="19" t="s">
        <v>50</v>
      </c>
      <c r="C310" s="19" t="s">
        <v>12</v>
      </c>
      <c r="D310" s="19" t="s">
        <v>61</v>
      </c>
      <c r="E310" s="20" t="n">
        <v>2576</v>
      </c>
      <c r="F310" s="20" t="n">
        <v>0</v>
      </c>
    </row>
    <row r="311" customFormat="false" ht="15" hidden="false" customHeight="false" outlineLevel="0" collapsed="false">
      <c r="A311" s="22" t="n">
        <v>46129</v>
      </c>
      <c r="B311" s="19" t="s">
        <v>50</v>
      </c>
      <c r="C311" s="19" t="s">
        <v>15</v>
      </c>
      <c r="D311" s="19" t="s">
        <v>15</v>
      </c>
      <c r="E311" s="20" t="n">
        <v>7063</v>
      </c>
      <c r="F311" s="20" t="n">
        <v>87750</v>
      </c>
    </row>
    <row r="312" customFormat="false" ht="15" hidden="false" customHeight="false" outlineLevel="0" collapsed="false">
      <c r="A312" s="22" t="n">
        <v>46129</v>
      </c>
      <c r="B312" s="19" t="s">
        <v>50</v>
      </c>
      <c r="C312" s="19" t="s">
        <v>14</v>
      </c>
      <c r="D312" s="19" t="s">
        <v>73</v>
      </c>
      <c r="E312" s="20" t="n">
        <v>3808</v>
      </c>
      <c r="F312" s="20" t="n">
        <v>0</v>
      </c>
    </row>
    <row r="313" customFormat="false" ht="15" hidden="false" customHeight="false" outlineLevel="0" collapsed="false">
      <c r="A313" s="22" t="n">
        <v>46129</v>
      </c>
      <c r="B313" s="19" t="s">
        <v>50</v>
      </c>
      <c r="C313" s="19" t="s">
        <v>16</v>
      </c>
      <c r="D313" s="19" t="s">
        <v>74</v>
      </c>
      <c r="E313" s="20" t="n">
        <v>8095</v>
      </c>
      <c r="F313" s="20" t="n">
        <v>0</v>
      </c>
    </row>
    <row r="314" customFormat="false" ht="15" hidden="false" customHeight="false" outlineLevel="0" collapsed="false">
      <c r="A314" s="22" t="n">
        <v>46129</v>
      </c>
      <c r="B314" s="19" t="s">
        <v>50</v>
      </c>
      <c r="C314" s="19" t="s">
        <v>14</v>
      </c>
      <c r="D314" s="19" t="s">
        <v>62</v>
      </c>
      <c r="E314" s="20" t="n">
        <v>1399</v>
      </c>
      <c r="F314" s="20" t="n">
        <v>0</v>
      </c>
    </row>
    <row r="315" customFormat="false" ht="15" hidden="false" customHeight="false" outlineLevel="0" collapsed="false">
      <c r="A315" s="22" t="n">
        <v>46129</v>
      </c>
      <c r="B315" s="19" t="s">
        <v>50</v>
      </c>
      <c r="C315" s="19" t="s">
        <v>11</v>
      </c>
      <c r="D315" s="19" t="s">
        <v>63</v>
      </c>
      <c r="E315" s="20" t="n">
        <v>4768</v>
      </c>
      <c r="F315" s="20" t="n">
        <v>29250</v>
      </c>
    </row>
    <row r="316" customFormat="false" ht="15" hidden="false" customHeight="false" outlineLevel="0" collapsed="false">
      <c r="A316" s="22" t="n">
        <v>46129</v>
      </c>
      <c r="B316" s="19" t="s">
        <v>50</v>
      </c>
      <c r="C316" s="19" t="s">
        <v>13</v>
      </c>
      <c r="D316" s="19" t="s">
        <v>64</v>
      </c>
      <c r="E316" s="20" t="n">
        <v>663895</v>
      </c>
      <c r="F316" s="20" t="n">
        <v>3898830</v>
      </c>
    </row>
    <row r="317" customFormat="false" ht="15" hidden="false" customHeight="false" outlineLevel="0" collapsed="false">
      <c r="A317" s="22" t="n">
        <v>46129</v>
      </c>
      <c r="B317" s="19" t="s">
        <v>50</v>
      </c>
      <c r="C317" s="19" t="s">
        <v>12</v>
      </c>
      <c r="D317" s="19" t="s">
        <v>66</v>
      </c>
      <c r="E317" s="20" t="n">
        <v>240073</v>
      </c>
      <c r="F317" s="20" t="n">
        <v>1348501</v>
      </c>
    </row>
    <row r="318" customFormat="false" ht="15" hidden="false" customHeight="false" outlineLevel="0" collapsed="false">
      <c r="A318" s="22" t="n">
        <v>46129</v>
      </c>
      <c r="B318" s="19" t="s">
        <v>50</v>
      </c>
      <c r="C318" s="19" t="s">
        <v>12</v>
      </c>
      <c r="D318" s="19" t="s">
        <v>65</v>
      </c>
      <c r="E318" s="20" t="n">
        <v>91126</v>
      </c>
      <c r="F318" s="20" t="n">
        <v>326120</v>
      </c>
    </row>
    <row r="319" customFormat="false" ht="15" hidden="false" customHeight="false" outlineLevel="0" collapsed="false">
      <c r="A319" s="22" t="n">
        <v>46129</v>
      </c>
      <c r="B319" s="19" t="s">
        <v>50</v>
      </c>
      <c r="C319" s="19" t="s">
        <v>11</v>
      </c>
      <c r="D319" s="19" t="s">
        <v>69</v>
      </c>
      <c r="E319" s="20" t="n">
        <v>77824</v>
      </c>
      <c r="F319" s="20" t="n">
        <v>316934</v>
      </c>
    </row>
    <row r="320" customFormat="false" ht="15" hidden="false" customHeight="false" outlineLevel="0" collapsed="false">
      <c r="A320" s="22" t="n">
        <v>46129</v>
      </c>
      <c r="B320" s="19" t="s">
        <v>50</v>
      </c>
      <c r="C320" s="19" t="s">
        <v>15</v>
      </c>
      <c r="D320" s="19" t="s">
        <v>67</v>
      </c>
      <c r="E320" s="20" t="n">
        <v>27665</v>
      </c>
      <c r="F320" s="20" t="n">
        <v>108203</v>
      </c>
    </row>
    <row r="321" customFormat="false" ht="15" hidden="false" customHeight="false" outlineLevel="0" collapsed="false">
      <c r="A321" s="22" t="n">
        <v>46129</v>
      </c>
      <c r="B321" s="19" t="s">
        <v>50</v>
      </c>
      <c r="C321" s="19" t="s">
        <v>12</v>
      </c>
      <c r="D321" s="19" t="s">
        <v>76</v>
      </c>
      <c r="E321" s="20" t="n">
        <v>27768</v>
      </c>
      <c r="F321" s="20" t="n">
        <v>0</v>
      </c>
    </row>
    <row r="322" customFormat="false" ht="15" hidden="false" customHeight="false" outlineLevel="0" collapsed="false">
      <c r="A322" s="22" t="n">
        <v>46129</v>
      </c>
      <c r="B322" s="19" t="s">
        <v>50</v>
      </c>
      <c r="C322" s="19" t="s">
        <v>13</v>
      </c>
      <c r="D322" s="19" t="s">
        <v>68</v>
      </c>
      <c r="E322" s="20" t="n">
        <v>15267</v>
      </c>
      <c r="F322" s="20" t="n">
        <v>0</v>
      </c>
    </row>
    <row r="323" customFormat="false" ht="15" hidden="false" customHeight="false" outlineLevel="0" collapsed="false">
      <c r="A323" s="22" t="n">
        <v>46129</v>
      </c>
      <c r="B323" s="19" t="s">
        <v>50</v>
      </c>
      <c r="C323" s="19" t="s">
        <v>12</v>
      </c>
      <c r="D323" s="19" t="s">
        <v>78</v>
      </c>
      <c r="E323" s="20" t="n">
        <v>29665</v>
      </c>
      <c r="F323" s="20" t="n">
        <v>0</v>
      </c>
    </row>
    <row r="324" customFormat="false" ht="15" hidden="false" customHeight="false" outlineLevel="0" collapsed="false">
      <c r="A324" s="22" t="n">
        <v>46129</v>
      </c>
      <c r="B324" s="19" t="s">
        <v>50</v>
      </c>
      <c r="C324" s="19" t="s">
        <v>70</v>
      </c>
      <c r="D324" s="19" t="s">
        <v>71</v>
      </c>
      <c r="E324" s="20" t="n">
        <v>26558</v>
      </c>
      <c r="F324" s="20" t="n">
        <v>0</v>
      </c>
    </row>
    <row r="325" customFormat="false" ht="15" hidden="false" customHeight="false" outlineLevel="0" collapsed="false">
      <c r="A325" s="22" t="n">
        <v>46129</v>
      </c>
      <c r="B325" s="19" t="s">
        <v>50</v>
      </c>
      <c r="C325" s="19" t="s">
        <v>12</v>
      </c>
      <c r="D325" s="19" t="s">
        <v>75</v>
      </c>
      <c r="E325" s="20" t="n">
        <v>2820</v>
      </c>
      <c r="F325" s="20" t="n">
        <v>0</v>
      </c>
    </row>
    <row r="326" customFormat="false" ht="15" hidden="false" customHeight="false" outlineLevel="0" collapsed="false">
      <c r="A326" s="22" t="n">
        <v>46129</v>
      </c>
      <c r="B326" s="19" t="s">
        <v>50</v>
      </c>
      <c r="C326" s="19" t="s">
        <v>14</v>
      </c>
      <c r="D326" s="19" t="s">
        <v>77</v>
      </c>
      <c r="E326" s="20" t="n">
        <v>2602</v>
      </c>
      <c r="F326" s="20" t="n">
        <v>0</v>
      </c>
    </row>
    <row r="327" customFormat="false" ht="15" hidden="false" customHeight="false" outlineLevel="0" collapsed="false">
      <c r="A327" s="22" t="n">
        <v>46130</v>
      </c>
      <c r="B327" s="19" t="s">
        <v>50</v>
      </c>
      <c r="C327" s="19" t="s">
        <v>12</v>
      </c>
      <c r="D327" s="19" t="s">
        <v>58</v>
      </c>
      <c r="E327" s="20" t="n">
        <v>92132</v>
      </c>
      <c r="F327" s="20" t="n">
        <v>583298</v>
      </c>
    </row>
    <row r="328" customFormat="false" ht="15" hidden="false" customHeight="false" outlineLevel="0" collapsed="false">
      <c r="A328" s="22" t="n">
        <v>46130</v>
      </c>
      <c r="B328" s="19" t="s">
        <v>50</v>
      </c>
      <c r="C328" s="19" t="s">
        <v>16</v>
      </c>
      <c r="D328" s="19" t="s">
        <v>59</v>
      </c>
      <c r="E328" s="20" t="n">
        <v>48367</v>
      </c>
      <c r="F328" s="20" t="n">
        <v>354334</v>
      </c>
    </row>
    <row r="329" customFormat="false" ht="15" hidden="false" customHeight="false" outlineLevel="0" collapsed="false">
      <c r="A329" s="22" t="n">
        <v>46130</v>
      </c>
      <c r="B329" s="19" t="s">
        <v>50</v>
      </c>
      <c r="C329" s="19" t="s">
        <v>12</v>
      </c>
      <c r="D329" s="19" t="s">
        <v>72</v>
      </c>
      <c r="E329" s="20" t="n">
        <v>39293</v>
      </c>
      <c r="F329" s="20" t="n">
        <v>0</v>
      </c>
    </row>
    <row r="330" customFormat="false" ht="15" hidden="false" customHeight="false" outlineLevel="0" collapsed="false">
      <c r="A330" s="22" t="n">
        <v>46130</v>
      </c>
      <c r="B330" s="19" t="s">
        <v>50</v>
      </c>
      <c r="C330" s="19" t="s">
        <v>11</v>
      </c>
      <c r="D330" s="19" t="s">
        <v>60</v>
      </c>
      <c r="E330" s="20" t="n">
        <v>185893</v>
      </c>
      <c r="F330" s="20" t="n">
        <v>1389860</v>
      </c>
    </row>
    <row r="331" customFormat="false" ht="15" hidden="false" customHeight="false" outlineLevel="0" collapsed="false">
      <c r="A331" s="22" t="n">
        <v>46130</v>
      </c>
      <c r="B331" s="19" t="s">
        <v>50</v>
      </c>
      <c r="C331" s="19" t="s">
        <v>15</v>
      </c>
      <c r="D331" s="19" t="s">
        <v>15</v>
      </c>
      <c r="E331" s="20" t="n">
        <v>79788</v>
      </c>
      <c r="F331" s="20" t="n">
        <v>530890</v>
      </c>
    </row>
    <row r="332" customFormat="false" ht="15" hidden="false" customHeight="false" outlineLevel="0" collapsed="false">
      <c r="A332" s="22" t="n">
        <v>46130</v>
      </c>
      <c r="B332" s="19" t="s">
        <v>50</v>
      </c>
      <c r="C332" s="19" t="s">
        <v>16</v>
      </c>
      <c r="D332" s="19" t="s">
        <v>74</v>
      </c>
      <c r="E332" s="20" t="n">
        <v>23115</v>
      </c>
      <c r="F332" s="20" t="n">
        <v>179450</v>
      </c>
    </row>
    <row r="333" customFormat="false" ht="15" hidden="false" customHeight="false" outlineLevel="0" collapsed="false">
      <c r="A333" s="22" t="n">
        <v>46130</v>
      </c>
      <c r="B333" s="19" t="s">
        <v>50</v>
      </c>
      <c r="C333" s="19" t="s">
        <v>14</v>
      </c>
      <c r="D333" s="19" t="s">
        <v>73</v>
      </c>
      <c r="E333" s="20" t="n">
        <v>6779</v>
      </c>
      <c r="F333" s="20" t="n">
        <v>277617</v>
      </c>
    </row>
    <row r="334" customFormat="false" ht="15" hidden="false" customHeight="false" outlineLevel="0" collapsed="false">
      <c r="A334" s="22" t="n">
        <v>46130</v>
      </c>
      <c r="B334" s="19" t="s">
        <v>50</v>
      </c>
      <c r="C334" s="19" t="s">
        <v>12</v>
      </c>
      <c r="D334" s="19" t="s">
        <v>61</v>
      </c>
      <c r="E334" s="20" t="n">
        <v>885</v>
      </c>
      <c r="F334" s="20" t="n">
        <v>0</v>
      </c>
    </row>
    <row r="335" customFormat="false" ht="15" hidden="false" customHeight="false" outlineLevel="0" collapsed="false">
      <c r="A335" s="22" t="n">
        <v>46130</v>
      </c>
      <c r="B335" s="19" t="s">
        <v>50</v>
      </c>
      <c r="C335" s="19" t="s">
        <v>11</v>
      </c>
      <c r="D335" s="19" t="s">
        <v>63</v>
      </c>
      <c r="E335" s="20" t="n">
        <v>15839</v>
      </c>
      <c r="F335" s="20" t="n">
        <v>78000</v>
      </c>
    </row>
    <row r="336" customFormat="false" ht="15" hidden="false" customHeight="false" outlineLevel="0" collapsed="false">
      <c r="A336" s="22" t="n">
        <v>46130</v>
      </c>
      <c r="B336" s="19" t="s">
        <v>50</v>
      </c>
      <c r="C336" s="19" t="s">
        <v>13</v>
      </c>
      <c r="D336" s="19" t="s">
        <v>64</v>
      </c>
      <c r="E336" s="20" t="n">
        <v>526636</v>
      </c>
      <c r="F336" s="20" t="n">
        <v>2892152</v>
      </c>
    </row>
    <row r="337" customFormat="false" ht="15" hidden="false" customHeight="false" outlineLevel="0" collapsed="false">
      <c r="A337" s="22" t="n">
        <v>46130</v>
      </c>
      <c r="B337" s="19" t="s">
        <v>50</v>
      </c>
      <c r="C337" s="19" t="s">
        <v>12</v>
      </c>
      <c r="D337" s="19" t="s">
        <v>66</v>
      </c>
      <c r="E337" s="20" t="n">
        <v>110889</v>
      </c>
      <c r="F337" s="20" t="n">
        <v>491697</v>
      </c>
    </row>
    <row r="338" customFormat="false" ht="15" hidden="false" customHeight="false" outlineLevel="0" collapsed="false">
      <c r="A338" s="22" t="n">
        <v>46130</v>
      </c>
      <c r="B338" s="19" t="s">
        <v>50</v>
      </c>
      <c r="C338" s="19" t="s">
        <v>12</v>
      </c>
      <c r="D338" s="19" t="s">
        <v>65</v>
      </c>
      <c r="E338" s="20" t="n">
        <v>232924</v>
      </c>
      <c r="F338" s="20" t="n">
        <v>1150501</v>
      </c>
    </row>
    <row r="339" customFormat="false" ht="15" hidden="false" customHeight="false" outlineLevel="0" collapsed="false">
      <c r="A339" s="22" t="n">
        <v>46130</v>
      </c>
      <c r="B339" s="19" t="s">
        <v>50</v>
      </c>
      <c r="C339" s="19" t="s">
        <v>15</v>
      </c>
      <c r="D339" s="19" t="s">
        <v>67</v>
      </c>
      <c r="E339" s="20" t="n">
        <v>50537</v>
      </c>
      <c r="F339" s="20" t="n">
        <v>111550</v>
      </c>
    </row>
    <row r="340" customFormat="false" ht="15" hidden="false" customHeight="false" outlineLevel="0" collapsed="false">
      <c r="A340" s="22" t="n">
        <v>46130</v>
      </c>
      <c r="B340" s="19" t="s">
        <v>50</v>
      </c>
      <c r="C340" s="19" t="s">
        <v>11</v>
      </c>
      <c r="D340" s="19" t="s">
        <v>69</v>
      </c>
      <c r="E340" s="20" t="n">
        <v>57868</v>
      </c>
      <c r="F340" s="20" t="n">
        <v>218080</v>
      </c>
    </row>
    <row r="341" customFormat="false" ht="15" hidden="false" customHeight="false" outlineLevel="0" collapsed="false">
      <c r="A341" s="22" t="n">
        <v>46130</v>
      </c>
      <c r="B341" s="19" t="s">
        <v>50</v>
      </c>
      <c r="C341" s="19" t="s">
        <v>12</v>
      </c>
      <c r="D341" s="19" t="s">
        <v>76</v>
      </c>
      <c r="E341" s="20" t="n">
        <v>82823</v>
      </c>
      <c r="F341" s="20" t="n">
        <v>283200</v>
      </c>
    </row>
    <row r="342" customFormat="false" ht="15" hidden="false" customHeight="false" outlineLevel="0" collapsed="false">
      <c r="A342" s="22" t="n">
        <v>46130</v>
      </c>
      <c r="B342" s="19" t="s">
        <v>50</v>
      </c>
      <c r="C342" s="19" t="s">
        <v>13</v>
      </c>
      <c r="D342" s="19" t="s">
        <v>68</v>
      </c>
      <c r="E342" s="20" t="n">
        <v>87066</v>
      </c>
      <c r="F342" s="20" t="n">
        <v>492039</v>
      </c>
    </row>
    <row r="343" customFormat="false" ht="15" hidden="false" customHeight="false" outlineLevel="0" collapsed="false">
      <c r="A343" s="22" t="n">
        <v>46130</v>
      </c>
      <c r="B343" s="19" t="s">
        <v>50</v>
      </c>
      <c r="C343" s="19" t="s">
        <v>12</v>
      </c>
      <c r="D343" s="19" t="s">
        <v>78</v>
      </c>
      <c r="E343" s="20" t="n">
        <v>26080</v>
      </c>
      <c r="F343" s="20" t="n">
        <v>0</v>
      </c>
    </row>
    <row r="344" customFormat="false" ht="15" hidden="false" customHeight="false" outlineLevel="0" collapsed="false">
      <c r="A344" s="22" t="n">
        <v>46130</v>
      </c>
      <c r="B344" s="19" t="s">
        <v>50</v>
      </c>
      <c r="C344" s="19" t="s">
        <v>70</v>
      </c>
      <c r="D344" s="19" t="s">
        <v>71</v>
      </c>
      <c r="E344" s="20" t="n">
        <v>29167</v>
      </c>
      <c r="F344" s="20" t="n">
        <v>0</v>
      </c>
    </row>
    <row r="345" customFormat="false" ht="15" hidden="false" customHeight="false" outlineLevel="0" collapsed="false">
      <c r="A345" s="22" t="n">
        <v>46130</v>
      </c>
      <c r="B345" s="19" t="s">
        <v>50</v>
      </c>
      <c r="C345" s="19" t="s">
        <v>12</v>
      </c>
      <c r="D345" s="19" t="s">
        <v>75</v>
      </c>
      <c r="E345" s="20" t="n">
        <v>390</v>
      </c>
      <c r="F345" s="20" t="n">
        <v>0</v>
      </c>
    </row>
    <row r="346" customFormat="false" ht="15" hidden="false" customHeight="false" outlineLevel="0" collapsed="false">
      <c r="A346" s="22" t="n">
        <v>46130</v>
      </c>
      <c r="B346" s="19" t="s">
        <v>50</v>
      </c>
      <c r="C346" s="19" t="s">
        <v>14</v>
      </c>
      <c r="D346" s="19" t="s">
        <v>77</v>
      </c>
      <c r="E346" s="20" t="n">
        <v>4132</v>
      </c>
      <c r="F346" s="20" t="n">
        <v>0</v>
      </c>
    </row>
    <row r="347" customFormat="false" ht="15" hidden="false" customHeight="false" outlineLevel="0" collapsed="false">
      <c r="A347" s="22" t="n">
        <v>46131</v>
      </c>
      <c r="B347" s="19" t="s">
        <v>50</v>
      </c>
      <c r="C347" s="19" t="s">
        <v>12</v>
      </c>
      <c r="D347" s="19" t="s">
        <v>58</v>
      </c>
      <c r="E347" s="20" t="n">
        <v>52056</v>
      </c>
      <c r="F347" s="20" t="n">
        <v>533470</v>
      </c>
    </row>
    <row r="348" customFormat="false" ht="15" hidden="false" customHeight="false" outlineLevel="0" collapsed="false">
      <c r="A348" s="22" t="n">
        <v>46131</v>
      </c>
      <c r="B348" s="19" t="s">
        <v>50</v>
      </c>
      <c r="C348" s="19" t="s">
        <v>16</v>
      </c>
      <c r="D348" s="19" t="s">
        <v>59</v>
      </c>
      <c r="E348" s="20" t="n">
        <v>28514</v>
      </c>
      <c r="F348" s="20" t="n">
        <v>0</v>
      </c>
    </row>
    <row r="349" customFormat="false" ht="15" hidden="false" customHeight="false" outlineLevel="0" collapsed="false">
      <c r="A349" s="22" t="n">
        <v>46131</v>
      </c>
      <c r="B349" s="19" t="s">
        <v>50</v>
      </c>
      <c r="C349" s="19" t="s">
        <v>12</v>
      </c>
      <c r="D349" s="19" t="s">
        <v>72</v>
      </c>
      <c r="E349" s="20" t="n">
        <v>7881</v>
      </c>
      <c r="F349" s="20" t="n">
        <v>0</v>
      </c>
    </row>
    <row r="350" customFormat="false" ht="15" hidden="false" customHeight="false" outlineLevel="0" collapsed="false">
      <c r="A350" s="22" t="n">
        <v>46131</v>
      </c>
      <c r="B350" s="19" t="s">
        <v>50</v>
      </c>
      <c r="C350" s="19" t="s">
        <v>11</v>
      </c>
      <c r="D350" s="19" t="s">
        <v>60</v>
      </c>
      <c r="E350" s="20" t="n">
        <v>69969</v>
      </c>
      <c r="F350" s="20" t="n">
        <v>276000</v>
      </c>
    </row>
    <row r="351" customFormat="false" ht="15" hidden="false" customHeight="false" outlineLevel="0" collapsed="false">
      <c r="A351" s="22" t="n">
        <v>46131</v>
      </c>
      <c r="B351" s="19" t="s">
        <v>50</v>
      </c>
      <c r="C351" s="19" t="s">
        <v>15</v>
      </c>
      <c r="D351" s="19" t="s">
        <v>15</v>
      </c>
      <c r="E351" s="20" t="n">
        <v>28814</v>
      </c>
      <c r="F351" s="20" t="n">
        <v>0</v>
      </c>
    </row>
    <row r="352" customFormat="false" ht="15" hidden="false" customHeight="false" outlineLevel="0" collapsed="false">
      <c r="A352" s="22" t="n">
        <v>46131</v>
      </c>
      <c r="B352" s="19" t="s">
        <v>50</v>
      </c>
      <c r="C352" s="19" t="s">
        <v>12</v>
      </c>
      <c r="D352" s="19" t="s">
        <v>61</v>
      </c>
      <c r="E352" s="20" t="n">
        <v>2914</v>
      </c>
      <c r="F352" s="20" t="n">
        <v>0</v>
      </c>
    </row>
    <row r="353" customFormat="false" ht="15" hidden="false" customHeight="false" outlineLevel="0" collapsed="false">
      <c r="A353" s="22" t="n">
        <v>46131</v>
      </c>
      <c r="B353" s="19" t="s">
        <v>50</v>
      </c>
      <c r="C353" s="19" t="s">
        <v>14</v>
      </c>
      <c r="D353" s="19" t="s">
        <v>73</v>
      </c>
      <c r="E353" s="20" t="n">
        <v>6686</v>
      </c>
      <c r="F353" s="20" t="n">
        <v>0</v>
      </c>
    </row>
    <row r="354" customFormat="false" ht="15" hidden="false" customHeight="false" outlineLevel="0" collapsed="false">
      <c r="A354" s="22" t="n">
        <v>46131</v>
      </c>
      <c r="B354" s="19" t="s">
        <v>50</v>
      </c>
      <c r="C354" s="19" t="s">
        <v>16</v>
      </c>
      <c r="D354" s="19" t="s">
        <v>74</v>
      </c>
      <c r="E354" s="20" t="n">
        <v>8339</v>
      </c>
      <c r="F354" s="20" t="n">
        <v>0</v>
      </c>
    </row>
    <row r="355" customFormat="false" ht="15" hidden="false" customHeight="false" outlineLevel="0" collapsed="false">
      <c r="A355" s="22" t="n">
        <v>46131</v>
      </c>
      <c r="B355" s="19" t="s">
        <v>50</v>
      </c>
      <c r="C355" s="19" t="s">
        <v>14</v>
      </c>
      <c r="D355" s="19" t="s">
        <v>62</v>
      </c>
      <c r="E355" s="20" t="n">
        <v>697</v>
      </c>
      <c r="F355" s="20" t="n">
        <v>0</v>
      </c>
    </row>
    <row r="356" customFormat="false" ht="15" hidden="false" customHeight="false" outlineLevel="0" collapsed="false">
      <c r="A356" s="22" t="n">
        <v>46131</v>
      </c>
      <c r="B356" s="19" t="s">
        <v>50</v>
      </c>
      <c r="C356" s="19" t="s">
        <v>11</v>
      </c>
      <c r="D356" s="19" t="s">
        <v>63</v>
      </c>
      <c r="E356" s="20" t="n">
        <v>6465</v>
      </c>
      <c r="F356" s="20" t="n">
        <v>0</v>
      </c>
    </row>
    <row r="357" customFormat="false" ht="15" hidden="false" customHeight="false" outlineLevel="0" collapsed="false">
      <c r="A357" s="22" t="n">
        <v>46131</v>
      </c>
      <c r="B357" s="19" t="s">
        <v>50</v>
      </c>
      <c r="C357" s="19" t="s">
        <v>13</v>
      </c>
      <c r="D357" s="19" t="s">
        <v>64</v>
      </c>
      <c r="E357" s="20" t="n">
        <v>553675</v>
      </c>
      <c r="F357" s="20" t="n">
        <v>3055491</v>
      </c>
    </row>
    <row r="358" customFormat="false" ht="15" hidden="false" customHeight="false" outlineLevel="0" collapsed="false">
      <c r="A358" s="22" t="n">
        <v>46131</v>
      </c>
      <c r="B358" s="19" t="s">
        <v>50</v>
      </c>
      <c r="C358" s="19" t="s">
        <v>12</v>
      </c>
      <c r="D358" s="19" t="s">
        <v>66</v>
      </c>
      <c r="E358" s="20" t="n">
        <v>67948</v>
      </c>
      <c r="F358" s="20" t="n">
        <v>295000</v>
      </c>
    </row>
    <row r="359" customFormat="false" ht="15" hidden="false" customHeight="false" outlineLevel="0" collapsed="false">
      <c r="A359" s="22" t="n">
        <v>46131</v>
      </c>
      <c r="B359" s="19" t="s">
        <v>50</v>
      </c>
      <c r="C359" s="19" t="s">
        <v>12</v>
      </c>
      <c r="D359" s="19" t="s">
        <v>65</v>
      </c>
      <c r="E359" s="20" t="n">
        <v>215491</v>
      </c>
      <c r="F359" s="20" t="n">
        <v>858009</v>
      </c>
    </row>
    <row r="360" customFormat="false" ht="15" hidden="false" customHeight="false" outlineLevel="0" collapsed="false">
      <c r="A360" s="22" t="n">
        <v>46131</v>
      </c>
      <c r="B360" s="19" t="s">
        <v>50</v>
      </c>
      <c r="C360" s="19" t="s">
        <v>13</v>
      </c>
      <c r="D360" s="19" t="s">
        <v>68</v>
      </c>
      <c r="E360" s="20" t="n">
        <v>120122</v>
      </c>
      <c r="F360" s="20" t="n">
        <v>680408</v>
      </c>
    </row>
    <row r="361" customFormat="false" ht="15" hidden="false" customHeight="false" outlineLevel="0" collapsed="false">
      <c r="A361" s="22" t="n">
        <v>46131</v>
      </c>
      <c r="B361" s="19" t="s">
        <v>50</v>
      </c>
      <c r="C361" s="19" t="s">
        <v>15</v>
      </c>
      <c r="D361" s="19" t="s">
        <v>67</v>
      </c>
      <c r="E361" s="20" t="n">
        <v>28523</v>
      </c>
      <c r="F361" s="20" t="n">
        <v>111550</v>
      </c>
    </row>
    <row r="362" customFormat="false" ht="15" hidden="false" customHeight="false" outlineLevel="0" collapsed="false">
      <c r="A362" s="22" t="n">
        <v>46131</v>
      </c>
      <c r="B362" s="19" t="s">
        <v>50</v>
      </c>
      <c r="C362" s="19" t="s">
        <v>11</v>
      </c>
      <c r="D362" s="19" t="s">
        <v>69</v>
      </c>
      <c r="E362" s="20" t="n">
        <v>57649</v>
      </c>
      <c r="F362" s="20" t="n">
        <v>213520</v>
      </c>
    </row>
    <row r="363" customFormat="false" ht="15" hidden="false" customHeight="false" outlineLevel="0" collapsed="false">
      <c r="A363" s="22" t="n">
        <v>46131</v>
      </c>
      <c r="B363" s="19" t="s">
        <v>50</v>
      </c>
      <c r="C363" s="19" t="s">
        <v>12</v>
      </c>
      <c r="D363" s="19" t="s">
        <v>76</v>
      </c>
      <c r="E363" s="20" t="n">
        <v>75606</v>
      </c>
      <c r="F363" s="20" t="n">
        <v>337250</v>
      </c>
    </row>
    <row r="364" customFormat="false" ht="15" hidden="false" customHeight="false" outlineLevel="0" collapsed="false">
      <c r="A364" s="22" t="n">
        <v>46131</v>
      </c>
      <c r="B364" s="19" t="s">
        <v>50</v>
      </c>
      <c r="C364" s="19" t="s">
        <v>12</v>
      </c>
      <c r="D364" s="19" t="s">
        <v>78</v>
      </c>
      <c r="E364" s="20" t="n">
        <v>30379</v>
      </c>
      <c r="F364" s="20" t="n">
        <v>0</v>
      </c>
    </row>
    <row r="365" customFormat="false" ht="15" hidden="false" customHeight="false" outlineLevel="0" collapsed="false">
      <c r="A365" s="22" t="n">
        <v>46131</v>
      </c>
      <c r="B365" s="19" t="s">
        <v>50</v>
      </c>
      <c r="C365" s="19" t="s">
        <v>14</v>
      </c>
      <c r="D365" s="19" t="s">
        <v>77</v>
      </c>
      <c r="E365" s="20" t="n">
        <v>42275</v>
      </c>
      <c r="F365" s="20" t="n">
        <v>190080</v>
      </c>
    </row>
    <row r="366" customFormat="false" ht="15" hidden="false" customHeight="false" outlineLevel="0" collapsed="false">
      <c r="A366" s="22" t="n">
        <v>46131</v>
      </c>
      <c r="B366" s="19" t="s">
        <v>50</v>
      </c>
      <c r="C366" s="19" t="s">
        <v>12</v>
      </c>
      <c r="D366" s="19" t="s">
        <v>75</v>
      </c>
      <c r="E366" s="20" t="n">
        <v>748</v>
      </c>
      <c r="F366" s="20" t="n">
        <v>0</v>
      </c>
    </row>
    <row r="367" customFormat="false" ht="15" hidden="false" customHeight="false" outlineLevel="0" collapsed="false">
      <c r="A367" s="22" t="n">
        <v>46131</v>
      </c>
      <c r="B367" s="19" t="s">
        <v>50</v>
      </c>
      <c r="C367" s="19" t="s">
        <v>70</v>
      </c>
      <c r="D367" s="19" t="s">
        <v>71</v>
      </c>
      <c r="E367" s="20" t="n">
        <v>19757</v>
      </c>
      <c r="F367" s="20" t="n">
        <v>0</v>
      </c>
    </row>
    <row r="368" customFormat="false" ht="15" hidden="false" customHeight="false" outlineLevel="0" collapsed="false">
      <c r="A368" s="22" t="n">
        <v>46132</v>
      </c>
      <c r="B368" s="19" t="s">
        <v>50</v>
      </c>
      <c r="C368" s="19" t="s">
        <v>12</v>
      </c>
      <c r="D368" s="19" t="s">
        <v>58</v>
      </c>
      <c r="E368" s="20" t="n">
        <v>99746</v>
      </c>
      <c r="F368" s="20" t="n">
        <v>271305</v>
      </c>
    </row>
    <row r="369" customFormat="false" ht="15" hidden="false" customHeight="false" outlineLevel="0" collapsed="false">
      <c r="A369" s="22" t="n">
        <v>46132</v>
      </c>
      <c r="B369" s="19" t="s">
        <v>50</v>
      </c>
      <c r="C369" s="19" t="s">
        <v>16</v>
      </c>
      <c r="D369" s="19" t="s">
        <v>59</v>
      </c>
      <c r="E369" s="20" t="n">
        <v>50262</v>
      </c>
      <c r="F369" s="20" t="n">
        <v>302153</v>
      </c>
    </row>
    <row r="370" customFormat="false" ht="15" hidden="false" customHeight="false" outlineLevel="0" collapsed="false">
      <c r="A370" s="22" t="n">
        <v>46132</v>
      </c>
      <c r="B370" s="19" t="s">
        <v>50</v>
      </c>
      <c r="C370" s="19" t="s">
        <v>12</v>
      </c>
      <c r="D370" s="19" t="s">
        <v>72</v>
      </c>
      <c r="E370" s="20" t="n">
        <v>20257</v>
      </c>
      <c r="F370" s="20" t="n">
        <v>0</v>
      </c>
    </row>
    <row r="371" customFormat="false" ht="15" hidden="false" customHeight="false" outlineLevel="0" collapsed="false">
      <c r="A371" s="22" t="n">
        <v>46132</v>
      </c>
      <c r="B371" s="19" t="s">
        <v>50</v>
      </c>
      <c r="C371" s="19" t="s">
        <v>11</v>
      </c>
      <c r="D371" s="19" t="s">
        <v>60</v>
      </c>
      <c r="E371" s="20" t="n">
        <v>86935</v>
      </c>
      <c r="F371" s="20" t="n">
        <v>607545</v>
      </c>
    </row>
    <row r="372" customFormat="false" ht="15" hidden="false" customHeight="false" outlineLevel="0" collapsed="false">
      <c r="A372" s="22" t="n">
        <v>46132</v>
      </c>
      <c r="B372" s="19" t="s">
        <v>50</v>
      </c>
      <c r="C372" s="19" t="s">
        <v>16</v>
      </c>
      <c r="D372" s="19" t="s">
        <v>74</v>
      </c>
      <c r="E372" s="20" t="n">
        <v>50038</v>
      </c>
      <c r="F372" s="20" t="n">
        <v>294856</v>
      </c>
    </row>
    <row r="373" customFormat="false" ht="15" hidden="false" customHeight="false" outlineLevel="0" collapsed="false">
      <c r="A373" s="22" t="n">
        <v>46132</v>
      </c>
      <c r="B373" s="19" t="s">
        <v>50</v>
      </c>
      <c r="C373" s="19" t="s">
        <v>15</v>
      </c>
      <c r="D373" s="19" t="s">
        <v>15</v>
      </c>
      <c r="E373" s="20" t="n">
        <v>9991</v>
      </c>
      <c r="F373" s="20" t="n">
        <v>0</v>
      </c>
    </row>
    <row r="374" customFormat="false" ht="15" hidden="false" customHeight="false" outlineLevel="0" collapsed="false">
      <c r="A374" s="22" t="n">
        <v>46132</v>
      </c>
      <c r="B374" s="19" t="s">
        <v>50</v>
      </c>
      <c r="C374" s="19" t="s">
        <v>14</v>
      </c>
      <c r="D374" s="19" t="s">
        <v>73</v>
      </c>
      <c r="E374" s="20" t="n">
        <v>7356</v>
      </c>
      <c r="F374" s="20" t="n">
        <v>0</v>
      </c>
    </row>
    <row r="375" customFormat="false" ht="15" hidden="false" customHeight="false" outlineLevel="0" collapsed="false">
      <c r="A375" s="22" t="n">
        <v>46132</v>
      </c>
      <c r="B375" s="19" t="s">
        <v>50</v>
      </c>
      <c r="C375" s="19" t="s">
        <v>12</v>
      </c>
      <c r="D375" s="19" t="s">
        <v>61</v>
      </c>
      <c r="E375" s="20" t="n">
        <v>3237</v>
      </c>
      <c r="F375" s="20" t="n">
        <v>0</v>
      </c>
    </row>
    <row r="376" customFormat="false" ht="15" hidden="false" customHeight="false" outlineLevel="0" collapsed="false">
      <c r="A376" s="22" t="n">
        <v>46132</v>
      </c>
      <c r="B376" s="19" t="s">
        <v>50</v>
      </c>
      <c r="C376" s="19" t="s">
        <v>11</v>
      </c>
      <c r="D376" s="19" t="s">
        <v>63</v>
      </c>
      <c r="E376" s="20" t="n">
        <v>50721</v>
      </c>
      <c r="F376" s="20" t="n">
        <v>268372</v>
      </c>
    </row>
    <row r="377" customFormat="false" ht="15" hidden="false" customHeight="false" outlineLevel="0" collapsed="false">
      <c r="A377" s="22" t="n">
        <v>46132</v>
      </c>
      <c r="B377" s="19" t="s">
        <v>50</v>
      </c>
      <c r="C377" s="19" t="s">
        <v>13</v>
      </c>
      <c r="D377" s="19" t="s">
        <v>64</v>
      </c>
      <c r="E377" s="20" t="n">
        <v>706562</v>
      </c>
      <c r="F377" s="20" t="n">
        <v>3722575</v>
      </c>
    </row>
    <row r="378" customFormat="false" ht="15" hidden="false" customHeight="false" outlineLevel="0" collapsed="false">
      <c r="A378" s="22" t="n">
        <v>46132</v>
      </c>
      <c r="B378" s="19" t="s">
        <v>50</v>
      </c>
      <c r="C378" s="19" t="s">
        <v>12</v>
      </c>
      <c r="D378" s="19" t="s">
        <v>65</v>
      </c>
      <c r="E378" s="20" t="n">
        <v>317121</v>
      </c>
      <c r="F378" s="20" t="n">
        <v>1496020</v>
      </c>
    </row>
    <row r="379" customFormat="false" ht="15" hidden="false" customHeight="false" outlineLevel="0" collapsed="false">
      <c r="A379" s="22" t="n">
        <v>46132</v>
      </c>
      <c r="B379" s="19" t="s">
        <v>50</v>
      </c>
      <c r="C379" s="19" t="s">
        <v>15</v>
      </c>
      <c r="D379" s="19" t="s">
        <v>67</v>
      </c>
      <c r="E379" s="20" t="n">
        <v>85618</v>
      </c>
      <c r="F379" s="20" t="n">
        <v>331303</v>
      </c>
    </row>
    <row r="380" customFormat="false" ht="15" hidden="false" customHeight="false" outlineLevel="0" collapsed="false">
      <c r="A380" s="22" t="n">
        <v>46132</v>
      </c>
      <c r="B380" s="19" t="s">
        <v>50</v>
      </c>
      <c r="C380" s="19" t="s">
        <v>12</v>
      </c>
      <c r="D380" s="19" t="s">
        <v>66</v>
      </c>
      <c r="E380" s="20" t="n">
        <v>44477</v>
      </c>
      <c r="F380" s="20" t="n">
        <v>225321</v>
      </c>
    </row>
    <row r="381" customFormat="false" ht="15" hidden="false" customHeight="false" outlineLevel="0" collapsed="false">
      <c r="A381" s="22" t="n">
        <v>46132</v>
      </c>
      <c r="B381" s="19" t="s">
        <v>50</v>
      </c>
      <c r="C381" s="19" t="s">
        <v>11</v>
      </c>
      <c r="D381" s="19" t="s">
        <v>69</v>
      </c>
      <c r="E381" s="20" t="n">
        <v>100000</v>
      </c>
      <c r="F381" s="20" t="n">
        <v>447350</v>
      </c>
    </row>
    <row r="382" customFormat="false" ht="15" hidden="false" customHeight="false" outlineLevel="0" collapsed="false">
      <c r="A382" s="22" t="n">
        <v>46132</v>
      </c>
      <c r="B382" s="19" t="s">
        <v>50</v>
      </c>
      <c r="C382" s="19" t="s">
        <v>12</v>
      </c>
      <c r="D382" s="19" t="s">
        <v>78</v>
      </c>
      <c r="E382" s="20" t="n">
        <v>5172</v>
      </c>
      <c r="F382" s="20" t="n">
        <v>0</v>
      </c>
    </row>
    <row r="383" customFormat="false" ht="15" hidden="false" customHeight="false" outlineLevel="0" collapsed="false">
      <c r="A383" s="22" t="n">
        <v>46132</v>
      </c>
      <c r="B383" s="19" t="s">
        <v>50</v>
      </c>
      <c r="C383" s="19" t="s">
        <v>13</v>
      </c>
      <c r="D383" s="19" t="s">
        <v>68</v>
      </c>
      <c r="E383" s="20" t="n">
        <v>6462</v>
      </c>
      <c r="F383" s="20" t="n">
        <v>0</v>
      </c>
    </row>
    <row r="384" customFormat="false" ht="15" hidden="false" customHeight="false" outlineLevel="0" collapsed="false">
      <c r="A384" s="22" t="n">
        <v>46132</v>
      </c>
      <c r="B384" s="19" t="s">
        <v>50</v>
      </c>
      <c r="C384" s="19" t="s">
        <v>12</v>
      </c>
      <c r="D384" s="19" t="s">
        <v>76</v>
      </c>
      <c r="E384" s="20" t="n">
        <v>29391</v>
      </c>
      <c r="F384" s="20" t="n">
        <v>0</v>
      </c>
    </row>
    <row r="385" customFormat="false" ht="15" hidden="false" customHeight="false" outlineLevel="0" collapsed="false">
      <c r="A385" s="22" t="n">
        <v>46132</v>
      </c>
      <c r="B385" s="19" t="s">
        <v>50</v>
      </c>
      <c r="C385" s="19" t="s">
        <v>12</v>
      </c>
      <c r="D385" s="19" t="s">
        <v>75</v>
      </c>
      <c r="E385" s="20" t="n">
        <v>5320</v>
      </c>
      <c r="F385" s="20" t="n">
        <v>0</v>
      </c>
    </row>
    <row r="386" customFormat="false" ht="15" hidden="false" customHeight="false" outlineLevel="0" collapsed="false">
      <c r="A386" s="22" t="n">
        <v>46132</v>
      </c>
      <c r="B386" s="19" t="s">
        <v>50</v>
      </c>
      <c r="C386" s="19" t="s">
        <v>70</v>
      </c>
      <c r="D386" s="19" t="s">
        <v>71</v>
      </c>
      <c r="E386" s="20" t="n">
        <v>13444</v>
      </c>
      <c r="F386" s="20" t="n">
        <v>0</v>
      </c>
    </row>
    <row r="387" customFormat="false" ht="15" hidden="false" customHeight="false" outlineLevel="0" collapsed="false">
      <c r="A387" s="22" t="n">
        <v>46132</v>
      </c>
      <c r="B387" s="19" t="s">
        <v>50</v>
      </c>
      <c r="C387" s="19" t="s">
        <v>14</v>
      </c>
      <c r="D387" s="19" t="s">
        <v>77</v>
      </c>
      <c r="E387" s="20" t="n">
        <v>10737</v>
      </c>
      <c r="F387" s="20" t="n">
        <v>0</v>
      </c>
    </row>
    <row r="388" customFormat="false" ht="15" hidden="false" customHeight="false" outlineLevel="0" collapsed="false">
      <c r="A388" s="22" t="n">
        <v>46133</v>
      </c>
      <c r="B388" s="19" t="s">
        <v>50</v>
      </c>
      <c r="C388" s="19" t="s">
        <v>12</v>
      </c>
      <c r="D388" s="19" t="s">
        <v>58</v>
      </c>
      <c r="E388" s="20" t="n">
        <v>100000</v>
      </c>
      <c r="F388" s="20" t="n">
        <v>587194</v>
      </c>
    </row>
    <row r="389" customFormat="false" ht="15" hidden="false" customHeight="false" outlineLevel="0" collapsed="false">
      <c r="A389" s="22" t="n">
        <v>46133</v>
      </c>
      <c r="B389" s="19" t="s">
        <v>50</v>
      </c>
      <c r="C389" s="19" t="s">
        <v>16</v>
      </c>
      <c r="D389" s="19" t="s">
        <v>59</v>
      </c>
      <c r="E389" s="20" t="n">
        <v>5724</v>
      </c>
      <c r="F389" s="20" t="n">
        <v>0</v>
      </c>
    </row>
    <row r="390" customFormat="false" ht="15" hidden="false" customHeight="false" outlineLevel="0" collapsed="false">
      <c r="A390" s="22" t="n">
        <v>46133</v>
      </c>
      <c r="B390" s="19" t="s">
        <v>50</v>
      </c>
      <c r="C390" s="19" t="s">
        <v>12</v>
      </c>
      <c r="D390" s="19" t="s">
        <v>72</v>
      </c>
      <c r="E390" s="20" t="n">
        <v>5049</v>
      </c>
      <c r="F390" s="20" t="n">
        <v>0</v>
      </c>
    </row>
    <row r="391" customFormat="false" ht="15" hidden="false" customHeight="false" outlineLevel="0" collapsed="false">
      <c r="A391" s="22" t="n">
        <v>46133</v>
      </c>
      <c r="B391" s="19" t="s">
        <v>50</v>
      </c>
      <c r="C391" s="19" t="s">
        <v>11</v>
      </c>
      <c r="D391" s="19" t="s">
        <v>60</v>
      </c>
      <c r="E391" s="20" t="n">
        <v>104447</v>
      </c>
      <c r="F391" s="20" t="n">
        <v>730840</v>
      </c>
    </row>
    <row r="392" customFormat="false" ht="15" hidden="false" customHeight="false" outlineLevel="0" collapsed="false">
      <c r="A392" s="22" t="n">
        <v>46133</v>
      </c>
      <c r="B392" s="19" t="s">
        <v>50</v>
      </c>
      <c r="C392" s="19" t="s">
        <v>16</v>
      </c>
      <c r="D392" s="19" t="s">
        <v>74</v>
      </c>
      <c r="E392" s="20" t="n">
        <v>105407</v>
      </c>
      <c r="F392" s="20" t="n">
        <v>772410</v>
      </c>
    </row>
    <row r="393" customFormat="false" ht="15" hidden="false" customHeight="false" outlineLevel="0" collapsed="false">
      <c r="A393" s="22" t="n">
        <v>46133</v>
      </c>
      <c r="B393" s="19" t="s">
        <v>50</v>
      </c>
      <c r="C393" s="19" t="s">
        <v>14</v>
      </c>
      <c r="D393" s="19" t="s">
        <v>73</v>
      </c>
      <c r="E393" s="20" t="n">
        <v>9003</v>
      </c>
      <c r="F393" s="20" t="n">
        <v>69000</v>
      </c>
    </row>
    <row r="394" customFormat="false" ht="15" hidden="false" customHeight="false" outlineLevel="0" collapsed="false">
      <c r="A394" s="22" t="n">
        <v>46133</v>
      </c>
      <c r="B394" s="19" t="s">
        <v>50</v>
      </c>
      <c r="C394" s="19" t="s">
        <v>12</v>
      </c>
      <c r="D394" s="19" t="s">
        <v>61</v>
      </c>
      <c r="E394" s="20" t="n">
        <v>3662</v>
      </c>
      <c r="F394" s="20" t="n">
        <v>0</v>
      </c>
    </row>
    <row r="395" customFormat="false" ht="15" hidden="false" customHeight="false" outlineLevel="0" collapsed="false">
      <c r="A395" s="22" t="n">
        <v>46133</v>
      </c>
      <c r="B395" s="19" t="s">
        <v>50</v>
      </c>
      <c r="C395" s="19" t="s">
        <v>15</v>
      </c>
      <c r="D395" s="19" t="s">
        <v>15</v>
      </c>
      <c r="E395" s="20" t="n">
        <v>2210</v>
      </c>
      <c r="F395" s="20" t="n">
        <v>0</v>
      </c>
    </row>
    <row r="396" customFormat="false" ht="15" hidden="false" customHeight="false" outlineLevel="0" collapsed="false">
      <c r="A396" s="22" t="n">
        <v>46133</v>
      </c>
      <c r="B396" s="19" t="s">
        <v>50</v>
      </c>
      <c r="C396" s="19" t="s">
        <v>14</v>
      </c>
      <c r="D396" s="19" t="s">
        <v>62</v>
      </c>
      <c r="E396" s="20" t="n">
        <v>1</v>
      </c>
      <c r="F396" s="20" t="n">
        <v>0</v>
      </c>
    </row>
    <row r="397" customFormat="false" ht="15" hidden="false" customHeight="false" outlineLevel="0" collapsed="false">
      <c r="A397" s="22" t="n">
        <v>46133</v>
      </c>
      <c r="B397" s="19" t="s">
        <v>50</v>
      </c>
      <c r="C397" s="19" t="s">
        <v>11</v>
      </c>
      <c r="D397" s="19" t="s">
        <v>63</v>
      </c>
      <c r="E397" s="20" t="n">
        <v>7476</v>
      </c>
      <c r="F397" s="20" t="n">
        <v>39000</v>
      </c>
    </row>
    <row r="398" customFormat="false" ht="15" hidden="false" customHeight="false" outlineLevel="0" collapsed="false">
      <c r="A398" s="22" t="n">
        <v>46133</v>
      </c>
      <c r="B398" s="19" t="s">
        <v>50</v>
      </c>
      <c r="C398" s="19" t="s">
        <v>13</v>
      </c>
      <c r="D398" s="19" t="s">
        <v>64</v>
      </c>
      <c r="E398" s="20" t="n">
        <v>900000</v>
      </c>
      <c r="F398" s="20" t="n">
        <v>4811604</v>
      </c>
    </row>
    <row r="399" customFormat="false" ht="15" hidden="false" customHeight="false" outlineLevel="0" collapsed="false">
      <c r="A399" s="22" t="n">
        <v>46133</v>
      </c>
      <c r="B399" s="19" t="s">
        <v>50</v>
      </c>
      <c r="C399" s="19" t="s">
        <v>12</v>
      </c>
      <c r="D399" s="19" t="s">
        <v>66</v>
      </c>
      <c r="E399" s="20" t="n">
        <v>307042</v>
      </c>
      <c r="F399" s="20" t="n">
        <v>1520621</v>
      </c>
    </row>
    <row r="400" customFormat="false" ht="15" hidden="false" customHeight="false" outlineLevel="0" collapsed="false">
      <c r="A400" s="22" t="n">
        <v>46133</v>
      </c>
      <c r="B400" s="19" t="s">
        <v>50</v>
      </c>
      <c r="C400" s="19" t="s">
        <v>15</v>
      </c>
      <c r="D400" s="19" t="s">
        <v>67</v>
      </c>
      <c r="E400" s="20" t="n">
        <v>90406</v>
      </c>
      <c r="F400" s="20" t="n">
        <v>367307</v>
      </c>
    </row>
    <row r="401" customFormat="false" ht="15" hidden="false" customHeight="false" outlineLevel="0" collapsed="false">
      <c r="A401" s="22" t="n">
        <v>46133</v>
      </c>
      <c r="B401" s="19" t="s">
        <v>50</v>
      </c>
      <c r="C401" s="19" t="s">
        <v>12</v>
      </c>
      <c r="D401" s="19" t="s">
        <v>65</v>
      </c>
      <c r="E401" s="20" t="n">
        <v>249974</v>
      </c>
      <c r="F401" s="20" t="n">
        <v>1178013</v>
      </c>
    </row>
    <row r="402" customFormat="false" ht="15" hidden="false" customHeight="false" outlineLevel="0" collapsed="false">
      <c r="A402" s="22" t="n">
        <v>46133</v>
      </c>
      <c r="B402" s="19" t="s">
        <v>50</v>
      </c>
      <c r="C402" s="19" t="s">
        <v>12</v>
      </c>
      <c r="D402" s="19" t="s">
        <v>75</v>
      </c>
      <c r="E402" s="20" t="n">
        <v>46261</v>
      </c>
      <c r="F402" s="20" t="n">
        <v>390180</v>
      </c>
    </row>
    <row r="403" customFormat="false" ht="15" hidden="false" customHeight="false" outlineLevel="0" collapsed="false">
      <c r="A403" s="22" t="n">
        <v>46133</v>
      </c>
      <c r="B403" s="19" t="s">
        <v>50</v>
      </c>
      <c r="C403" s="19" t="s">
        <v>13</v>
      </c>
      <c r="D403" s="19" t="s">
        <v>68</v>
      </c>
      <c r="E403" s="20" t="n">
        <v>39276</v>
      </c>
      <c r="F403" s="20" t="n">
        <v>173950</v>
      </c>
    </row>
    <row r="404" customFormat="false" ht="15" hidden="false" customHeight="false" outlineLevel="0" collapsed="false">
      <c r="A404" s="22" t="n">
        <v>46133</v>
      </c>
      <c r="B404" s="19" t="s">
        <v>50</v>
      </c>
      <c r="C404" s="19" t="s">
        <v>12</v>
      </c>
      <c r="D404" s="19" t="s">
        <v>76</v>
      </c>
      <c r="E404" s="20" t="n">
        <v>19065</v>
      </c>
      <c r="F404" s="20" t="n">
        <v>0</v>
      </c>
    </row>
    <row r="405" customFormat="false" ht="15" hidden="false" customHeight="false" outlineLevel="0" collapsed="false">
      <c r="A405" s="22" t="n">
        <v>46133</v>
      </c>
      <c r="B405" s="19" t="s">
        <v>50</v>
      </c>
      <c r="C405" s="19" t="s">
        <v>11</v>
      </c>
      <c r="D405" s="19" t="s">
        <v>69</v>
      </c>
      <c r="E405" s="20" t="n">
        <v>14309</v>
      </c>
      <c r="F405" s="20" t="n">
        <v>0</v>
      </c>
    </row>
    <row r="406" customFormat="false" ht="15" hidden="false" customHeight="false" outlineLevel="0" collapsed="false">
      <c r="A406" s="22" t="n">
        <v>46133</v>
      </c>
      <c r="B406" s="19" t="s">
        <v>50</v>
      </c>
      <c r="C406" s="19" t="s">
        <v>12</v>
      </c>
      <c r="D406" s="19" t="s">
        <v>78</v>
      </c>
      <c r="E406" s="20" t="n">
        <v>9783</v>
      </c>
      <c r="F406" s="20" t="n">
        <v>0</v>
      </c>
    </row>
    <row r="407" customFormat="false" ht="15" hidden="false" customHeight="false" outlineLevel="0" collapsed="false">
      <c r="A407" s="22" t="n">
        <v>46133</v>
      </c>
      <c r="B407" s="19" t="s">
        <v>50</v>
      </c>
      <c r="C407" s="19" t="s">
        <v>70</v>
      </c>
      <c r="D407" s="19" t="s">
        <v>71</v>
      </c>
      <c r="E407" s="20" t="n">
        <v>17861</v>
      </c>
      <c r="F407" s="20" t="n">
        <v>59000</v>
      </c>
    </row>
    <row r="408" customFormat="false" ht="15" hidden="false" customHeight="false" outlineLevel="0" collapsed="false">
      <c r="A408" s="22" t="n">
        <v>46133</v>
      </c>
      <c r="B408" s="19" t="s">
        <v>50</v>
      </c>
      <c r="C408" s="19" t="s">
        <v>14</v>
      </c>
      <c r="D408" s="19" t="s">
        <v>77</v>
      </c>
      <c r="E408" s="20" t="n">
        <v>27581</v>
      </c>
      <c r="F408" s="20" t="n">
        <v>0</v>
      </c>
    </row>
    <row r="409" customFormat="false" ht="15" hidden="false" customHeight="false" outlineLevel="0" collapsed="false">
      <c r="A409" s="22" t="n">
        <v>46134</v>
      </c>
      <c r="B409" s="19" t="s">
        <v>50</v>
      </c>
      <c r="C409" s="19" t="s">
        <v>12</v>
      </c>
      <c r="D409" s="19" t="s">
        <v>58</v>
      </c>
      <c r="E409" s="20" t="n">
        <v>93051</v>
      </c>
      <c r="F409" s="20" t="n">
        <v>424175</v>
      </c>
    </row>
    <row r="410" customFormat="false" ht="15" hidden="false" customHeight="false" outlineLevel="0" collapsed="false">
      <c r="A410" s="22" t="n">
        <v>46134</v>
      </c>
      <c r="B410" s="19" t="s">
        <v>50</v>
      </c>
      <c r="C410" s="19" t="s">
        <v>12</v>
      </c>
      <c r="D410" s="19" t="s">
        <v>72</v>
      </c>
      <c r="E410" s="20" t="n">
        <v>14396</v>
      </c>
      <c r="F410" s="20" t="n">
        <v>277583</v>
      </c>
    </row>
    <row r="411" customFormat="false" ht="15" hidden="false" customHeight="false" outlineLevel="0" collapsed="false">
      <c r="A411" s="22" t="n">
        <v>46134</v>
      </c>
      <c r="B411" s="19" t="s">
        <v>50</v>
      </c>
      <c r="C411" s="19" t="s">
        <v>16</v>
      </c>
      <c r="D411" s="19" t="s">
        <v>59</v>
      </c>
      <c r="E411" s="20" t="n">
        <v>3849</v>
      </c>
      <c r="F411" s="20" t="n">
        <v>0</v>
      </c>
    </row>
    <row r="412" customFormat="false" ht="15" hidden="false" customHeight="false" outlineLevel="0" collapsed="false">
      <c r="A412" s="22" t="n">
        <v>46134</v>
      </c>
      <c r="B412" s="19" t="s">
        <v>50</v>
      </c>
      <c r="C412" s="19" t="s">
        <v>11</v>
      </c>
      <c r="D412" s="19" t="s">
        <v>60</v>
      </c>
      <c r="E412" s="20" t="n">
        <v>172932</v>
      </c>
      <c r="F412" s="20" t="n">
        <v>1047459</v>
      </c>
    </row>
    <row r="413" customFormat="false" ht="15" hidden="false" customHeight="false" outlineLevel="0" collapsed="false">
      <c r="A413" s="22" t="n">
        <v>46134</v>
      </c>
      <c r="B413" s="19" t="s">
        <v>50</v>
      </c>
      <c r="C413" s="19" t="s">
        <v>16</v>
      </c>
      <c r="D413" s="19" t="s">
        <v>74</v>
      </c>
      <c r="E413" s="20" t="n">
        <v>19220</v>
      </c>
      <c r="F413" s="20" t="n">
        <v>0</v>
      </c>
    </row>
    <row r="414" customFormat="false" ht="15" hidden="false" customHeight="false" outlineLevel="0" collapsed="false">
      <c r="A414" s="22" t="n">
        <v>46134</v>
      </c>
      <c r="B414" s="19" t="s">
        <v>50</v>
      </c>
      <c r="C414" s="19" t="s">
        <v>14</v>
      </c>
      <c r="D414" s="19" t="s">
        <v>62</v>
      </c>
      <c r="E414" s="20" t="n">
        <v>1603</v>
      </c>
      <c r="F414" s="20" t="n">
        <v>0</v>
      </c>
    </row>
    <row r="415" customFormat="false" ht="15" hidden="false" customHeight="false" outlineLevel="0" collapsed="false">
      <c r="A415" s="22" t="n">
        <v>46134</v>
      </c>
      <c r="B415" s="19" t="s">
        <v>50</v>
      </c>
      <c r="C415" s="19" t="s">
        <v>12</v>
      </c>
      <c r="D415" s="19" t="s">
        <v>61</v>
      </c>
      <c r="E415" s="20" t="n">
        <v>4389</v>
      </c>
      <c r="F415" s="20" t="n">
        <v>0</v>
      </c>
    </row>
    <row r="416" customFormat="false" ht="15" hidden="false" customHeight="false" outlineLevel="0" collapsed="false">
      <c r="A416" s="22" t="n">
        <v>46134</v>
      </c>
      <c r="B416" s="19" t="s">
        <v>50</v>
      </c>
      <c r="C416" s="19" t="s">
        <v>15</v>
      </c>
      <c r="D416" s="19" t="s">
        <v>15</v>
      </c>
      <c r="E416" s="20" t="n">
        <v>700</v>
      </c>
      <c r="F416" s="20" t="n">
        <v>0</v>
      </c>
    </row>
    <row r="417" customFormat="false" ht="15" hidden="false" customHeight="false" outlineLevel="0" collapsed="false">
      <c r="A417" s="22" t="n">
        <v>46134</v>
      </c>
      <c r="B417" s="19" t="s">
        <v>50</v>
      </c>
      <c r="C417" s="19" t="s">
        <v>14</v>
      </c>
      <c r="D417" s="19" t="s">
        <v>73</v>
      </c>
      <c r="E417" s="20" t="n">
        <v>1879</v>
      </c>
      <c r="F417" s="20" t="n">
        <v>0</v>
      </c>
    </row>
    <row r="418" customFormat="false" ht="15" hidden="false" customHeight="false" outlineLevel="0" collapsed="false">
      <c r="A418" s="22" t="n">
        <v>46134</v>
      </c>
      <c r="B418" s="19" t="s">
        <v>50</v>
      </c>
      <c r="C418" s="19" t="s">
        <v>11</v>
      </c>
      <c r="D418" s="19" t="s">
        <v>63</v>
      </c>
      <c r="E418" s="20" t="n">
        <v>1866</v>
      </c>
      <c r="F418" s="20" t="n">
        <v>0</v>
      </c>
    </row>
    <row r="419" customFormat="false" ht="15" hidden="false" customHeight="false" outlineLevel="0" collapsed="false">
      <c r="A419" s="22" t="n">
        <v>46134</v>
      </c>
      <c r="B419" s="19" t="s">
        <v>50</v>
      </c>
      <c r="C419" s="19" t="s">
        <v>13</v>
      </c>
      <c r="D419" s="19" t="s">
        <v>64</v>
      </c>
      <c r="E419" s="20" t="n">
        <v>609047</v>
      </c>
      <c r="F419" s="20" t="n">
        <v>2970824</v>
      </c>
    </row>
    <row r="420" customFormat="false" ht="15" hidden="false" customHeight="false" outlineLevel="0" collapsed="false">
      <c r="A420" s="22" t="n">
        <v>46134</v>
      </c>
      <c r="B420" s="19" t="s">
        <v>50</v>
      </c>
      <c r="C420" s="19" t="s">
        <v>12</v>
      </c>
      <c r="D420" s="19" t="s">
        <v>66</v>
      </c>
      <c r="E420" s="20" t="n">
        <v>148172</v>
      </c>
      <c r="F420" s="20" t="n">
        <v>470740</v>
      </c>
    </row>
    <row r="421" customFormat="false" ht="15" hidden="false" customHeight="false" outlineLevel="0" collapsed="false">
      <c r="A421" s="22" t="n">
        <v>46134</v>
      </c>
      <c r="B421" s="19" t="s">
        <v>50</v>
      </c>
      <c r="C421" s="19" t="s">
        <v>12</v>
      </c>
      <c r="D421" s="19" t="s">
        <v>65</v>
      </c>
      <c r="E421" s="20" t="n">
        <v>450000</v>
      </c>
      <c r="F421" s="20" t="n">
        <v>2580965</v>
      </c>
    </row>
    <row r="422" customFormat="false" ht="15" hidden="false" customHeight="false" outlineLevel="0" collapsed="false">
      <c r="A422" s="22" t="n">
        <v>46134</v>
      </c>
      <c r="B422" s="19" t="s">
        <v>50</v>
      </c>
      <c r="C422" s="19" t="s">
        <v>12</v>
      </c>
      <c r="D422" s="19" t="s">
        <v>75</v>
      </c>
      <c r="E422" s="20" t="n">
        <v>126616</v>
      </c>
      <c r="F422" s="20" t="n">
        <v>633664</v>
      </c>
    </row>
    <row r="423" customFormat="false" ht="15" hidden="false" customHeight="false" outlineLevel="0" collapsed="false">
      <c r="A423" s="22" t="n">
        <v>46134</v>
      </c>
      <c r="B423" s="19" t="s">
        <v>50</v>
      </c>
      <c r="C423" s="19" t="s">
        <v>15</v>
      </c>
      <c r="D423" s="19" t="s">
        <v>67</v>
      </c>
      <c r="E423" s="20" t="n">
        <v>27183</v>
      </c>
      <c r="F423" s="20" t="n">
        <v>107534</v>
      </c>
    </row>
    <row r="424" customFormat="false" ht="15" hidden="false" customHeight="false" outlineLevel="0" collapsed="false">
      <c r="A424" s="22" t="n">
        <v>46134</v>
      </c>
      <c r="B424" s="19" t="s">
        <v>50</v>
      </c>
      <c r="C424" s="19" t="s">
        <v>12</v>
      </c>
      <c r="D424" s="19" t="s">
        <v>76</v>
      </c>
      <c r="E424" s="20" t="n">
        <v>57933</v>
      </c>
      <c r="F424" s="20" t="n">
        <v>273854</v>
      </c>
    </row>
    <row r="425" customFormat="false" ht="15" hidden="false" customHeight="false" outlineLevel="0" collapsed="false">
      <c r="A425" s="22" t="n">
        <v>46134</v>
      </c>
      <c r="B425" s="19" t="s">
        <v>50</v>
      </c>
      <c r="C425" s="19" t="s">
        <v>12</v>
      </c>
      <c r="D425" s="19" t="s">
        <v>78</v>
      </c>
      <c r="E425" s="20" t="n">
        <v>5273</v>
      </c>
      <c r="F425" s="20" t="n">
        <v>0</v>
      </c>
    </row>
    <row r="426" customFormat="false" ht="15" hidden="false" customHeight="false" outlineLevel="0" collapsed="false">
      <c r="A426" s="22" t="n">
        <v>46134</v>
      </c>
      <c r="B426" s="19" t="s">
        <v>50</v>
      </c>
      <c r="C426" s="19" t="s">
        <v>11</v>
      </c>
      <c r="D426" s="19" t="s">
        <v>69</v>
      </c>
      <c r="E426" s="20" t="n">
        <v>5971</v>
      </c>
      <c r="F426" s="20" t="n">
        <v>0</v>
      </c>
    </row>
    <row r="427" customFormat="false" ht="15" hidden="false" customHeight="false" outlineLevel="0" collapsed="false">
      <c r="A427" s="22" t="n">
        <v>46134</v>
      </c>
      <c r="B427" s="19" t="s">
        <v>50</v>
      </c>
      <c r="C427" s="19" t="s">
        <v>13</v>
      </c>
      <c r="D427" s="19" t="s">
        <v>68</v>
      </c>
      <c r="E427" s="20" t="n">
        <v>7919</v>
      </c>
      <c r="F427" s="20" t="n">
        <v>0</v>
      </c>
    </row>
    <row r="428" customFormat="false" ht="15" hidden="false" customHeight="false" outlineLevel="0" collapsed="false">
      <c r="A428" s="22" t="n">
        <v>46134</v>
      </c>
      <c r="B428" s="19" t="s">
        <v>50</v>
      </c>
      <c r="C428" s="19" t="s">
        <v>70</v>
      </c>
      <c r="D428" s="19" t="s">
        <v>71</v>
      </c>
      <c r="E428" s="20" t="n">
        <v>11762</v>
      </c>
      <c r="F428" s="20" t="n">
        <v>0</v>
      </c>
    </row>
    <row r="429" customFormat="false" ht="15" hidden="false" customHeight="false" outlineLevel="0" collapsed="false">
      <c r="A429" s="22" t="n">
        <v>46134</v>
      </c>
      <c r="B429" s="19" t="s">
        <v>50</v>
      </c>
      <c r="C429" s="19" t="s">
        <v>14</v>
      </c>
      <c r="D429" s="19" t="s">
        <v>77</v>
      </c>
      <c r="E429" s="20" t="n">
        <v>1671</v>
      </c>
      <c r="F429" s="20" t="n">
        <v>0</v>
      </c>
    </row>
    <row r="430" customFormat="false" ht="15" hidden="false" customHeight="false" outlineLevel="0" collapsed="false">
      <c r="A430" s="22" t="n">
        <v>46135</v>
      </c>
      <c r="B430" s="19" t="s">
        <v>50</v>
      </c>
      <c r="C430" s="19" t="s">
        <v>12</v>
      </c>
      <c r="D430" s="19" t="s">
        <v>58</v>
      </c>
      <c r="E430" s="20" t="n">
        <v>21824</v>
      </c>
      <c r="F430" s="20" t="n">
        <v>0</v>
      </c>
    </row>
    <row r="431" customFormat="false" ht="15" hidden="false" customHeight="false" outlineLevel="0" collapsed="false">
      <c r="A431" s="22" t="n">
        <v>46135</v>
      </c>
      <c r="B431" s="19" t="s">
        <v>50</v>
      </c>
      <c r="C431" s="19" t="s">
        <v>12</v>
      </c>
      <c r="D431" s="19" t="s">
        <v>72</v>
      </c>
      <c r="E431" s="20" t="n">
        <v>24161</v>
      </c>
      <c r="F431" s="20" t="n">
        <v>0</v>
      </c>
    </row>
    <row r="432" customFormat="false" ht="15" hidden="false" customHeight="false" outlineLevel="0" collapsed="false">
      <c r="A432" s="22" t="n">
        <v>46135</v>
      </c>
      <c r="B432" s="19" t="s">
        <v>50</v>
      </c>
      <c r="C432" s="19" t="s">
        <v>16</v>
      </c>
      <c r="D432" s="19" t="s">
        <v>59</v>
      </c>
      <c r="E432" s="20" t="n">
        <v>1997</v>
      </c>
      <c r="F432" s="20" t="n">
        <v>0</v>
      </c>
    </row>
    <row r="433" customFormat="false" ht="15" hidden="false" customHeight="false" outlineLevel="0" collapsed="false">
      <c r="A433" s="22" t="n">
        <v>46135</v>
      </c>
      <c r="B433" s="19" t="s">
        <v>50</v>
      </c>
      <c r="C433" s="19" t="s">
        <v>11</v>
      </c>
      <c r="D433" s="19" t="s">
        <v>60</v>
      </c>
      <c r="E433" s="20" t="n">
        <v>89621</v>
      </c>
      <c r="F433" s="20" t="n">
        <v>411102</v>
      </c>
    </row>
    <row r="434" customFormat="false" ht="15" hidden="false" customHeight="false" outlineLevel="0" collapsed="false">
      <c r="A434" s="22" t="n">
        <v>46135</v>
      </c>
      <c r="B434" s="19" t="s">
        <v>50</v>
      </c>
      <c r="C434" s="19" t="s">
        <v>14</v>
      </c>
      <c r="D434" s="19" t="s">
        <v>73</v>
      </c>
      <c r="E434" s="20" t="n">
        <v>2609</v>
      </c>
      <c r="F434" s="20" t="n">
        <v>99000</v>
      </c>
    </row>
    <row r="435" customFormat="false" ht="15" hidden="false" customHeight="false" outlineLevel="0" collapsed="false">
      <c r="A435" s="22" t="n">
        <v>46135</v>
      </c>
      <c r="B435" s="19" t="s">
        <v>50</v>
      </c>
      <c r="C435" s="19" t="s">
        <v>16</v>
      </c>
      <c r="D435" s="19" t="s">
        <v>74</v>
      </c>
      <c r="E435" s="20" t="n">
        <v>2139</v>
      </c>
      <c r="F435" s="20" t="n">
        <v>0</v>
      </c>
    </row>
    <row r="436" customFormat="false" ht="15" hidden="false" customHeight="false" outlineLevel="0" collapsed="false">
      <c r="A436" s="22" t="n">
        <v>46135</v>
      </c>
      <c r="B436" s="19" t="s">
        <v>50</v>
      </c>
      <c r="C436" s="19" t="s">
        <v>12</v>
      </c>
      <c r="D436" s="19" t="s">
        <v>61</v>
      </c>
      <c r="E436" s="20" t="n">
        <v>3153</v>
      </c>
      <c r="F436" s="20" t="n">
        <v>0</v>
      </c>
    </row>
    <row r="437" customFormat="false" ht="15" hidden="false" customHeight="false" outlineLevel="0" collapsed="false">
      <c r="A437" s="22" t="n">
        <v>46135</v>
      </c>
      <c r="B437" s="19" t="s">
        <v>50</v>
      </c>
      <c r="C437" s="19" t="s">
        <v>15</v>
      </c>
      <c r="D437" s="19" t="s">
        <v>15</v>
      </c>
      <c r="E437" s="20" t="n">
        <v>214</v>
      </c>
      <c r="F437" s="20" t="n">
        <v>0</v>
      </c>
    </row>
    <row r="438" customFormat="false" ht="15" hidden="false" customHeight="false" outlineLevel="0" collapsed="false">
      <c r="A438" s="22" t="n">
        <v>46135</v>
      </c>
      <c r="B438" s="19" t="s">
        <v>50</v>
      </c>
      <c r="C438" s="19" t="s">
        <v>14</v>
      </c>
      <c r="D438" s="19" t="s">
        <v>62</v>
      </c>
      <c r="E438" s="20" t="n">
        <v>111</v>
      </c>
      <c r="F438" s="20" t="n">
        <v>0</v>
      </c>
    </row>
    <row r="439" customFormat="false" ht="15" hidden="false" customHeight="false" outlineLevel="0" collapsed="false">
      <c r="A439" s="22" t="n">
        <v>46135</v>
      </c>
      <c r="B439" s="19" t="s">
        <v>50</v>
      </c>
      <c r="C439" s="19" t="s">
        <v>11</v>
      </c>
      <c r="D439" s="19" t="s">
        <v>63</v>
      </c>
      <c r="E439" s="20" t="n">
        <v>41491</v>
      </c>
      <c r="F439" s="20" t="n">
        <v>226257</v>
      </c>
    </row>
    <row r="440" customFormat="false" ht="15" hidden="false" customHeight="false" outlineLevel="0" collapsed="false">
      <c r="A440" s="22" t="n">
        <v>46135</v>
      </c>
      <c r="B440" s="19" t="s">
        <v>50</v>
      </c>
      <c r="C440" s="19" t="s">
        <v>13</v>
      </c>
      <c r="D440" s="19" t="s">
        <v>64</v>
      </c>
      <c r="E440" s="20" t="n">
        <v>213589</v>
      </c>
      <c r="F440" s="20" t="n">
        <v>1056781</v>
      </c>
    </row>
    <row r="441" customFormat="false" ht="15" hidden="false" customHeight="false" outlineLevel="0" collapsed="false">
      <c r="A441" s="22" t="n">
        <v>46135</v>
      </c>
      <c r="B441" s="19" t="s">
        <v>50</v>
      </c>
      <c r="C441" s="19" t="s">
        <v>12</v>
      </c>
      <c r="D441" s="19" t="s">
        <v>65</v>
      </c>
      <c r="E441" s="20" t="n">
        <v>465031</v>
      </c>
      <c r="F441" s="20" t="n">
        <v>2234627</v>
      </c>
    </row>
    <row r="442" customFormat="false" ht="15" hidden="false" customHeight="false" outlineLevel="0" collapsed="false">
      <c r="A442" s="22" t="n">
        <v>46135</v>
      </c>
      <c r="B442" s="19" t="s">
        <v>50</v>
      </c>
      <c r="C442" s="19" t="s">
        <v>12</v>
      </c>
      <c r="D442" s="19" t="s">
        <v>66</v>
      </c>
      <c r="E442" s="20" t="n">
        <v>129086</v>
      </c>
      <c r="F442" s="20" t="n">
        <v>619436</v>
      </c>
    </row>
    <row r="443" customFormat="false" ht="15" hidden="false" customHeight="false" outlineLevel="0" collapsed="false">
      <c r="A443" s="22" t="n">
        <v>46135</v>
      </c>
      <c r="B443" s="19" t="s">
        <v>50</v>
      </c>
      <c r="C443" s="19" t="s">
        <v>12</v>
      </c>
      <c r="D443" s="19" t="s">
        <v>75</v>
      </c>
      <c r="E443" s="20" t="n">
        <v>70381</v>
      </c>
      <c r="F443" s="20" t="n">
        <v>365000</v>
      </c>
    </row>
    <row r="444" customFormat="false" ht="15" hidden="false" customHeight="false" outlineLevel="0" collapsed="false">
      <c r="A444" s="22" t="n">
        <v>46135</v>
      </c>
      <c r="B444" s="19" t="s">
        <v>50</v>
      </c>
      <c r="C444" s="19" t="s">
        <v>11</v>
      </c>
      <c r="D444" s="19" t="s">
        <v>69</v>
      </c>
      <c r="E444" s="20" t="n">
        <v>84187</v>
      </c>
      <c r="F444" s="20" t="n">
        <v>258100</v>
      </c>
    </row>
    <row r="445" customFormat="false" ht="15" hidden="false" customHeight="false" outlineLevel="0" collapsed="false">
      <c r="A445" s="22" t="n">
        <v>46135</v>
      </c>
      <c r="B445" s="19" t="s">
        <v>50</v>
      </c>
      <c r="C445" s="19" t="s">
        <v>15</v>
      </c>
      <c r="D445" s="19" t="s">
        <v>67</v>
      </c>
      <c r="E445" s="20" t="n">
        <v>9587</v>
      </c>
      <c r="F445" s="20" t="n">
        <v>0</v>
      </c>
    </row>
    <row r="446" customFormat="false" ht="15" hidden="false" customHeight="false" outlineLevel="0" collapsed="false">
      <c r="A446" s="22" t="n">
        <v>46135</v>
      </c>
      <c r="B446" s="19" t="s">
        <v>50</v>
      </c>
      <c r="C446" s="19" t="s">
        <v>12</v>
      </c>
      <c r="D446" s="19" t="s">
        <v>76</v>
      </c>
      <c r="E446" s="20" t="n">
        <v>14693</v>
      </c>
      <c r="F446" s="20" t="n">
        <v>0</v>
      </c>
    </row>
    <row r="447" customFormat="false" ht="15" hidden="false" customHeight="false" outlineLevel="0" collapsed="false">
      <c r="A447" s="22" t="n">
        <v>46135</v>
      </c>
      <c r="B447" s="19" t="s">
        <v>50</v>
      </c>
      <c r="C447" s="19" t="s">
        <v>13</v>
      </c>
      <c r="D447" s="19" t="s">
        <v>68</v>
      </c>
      <c r="E447" s="20" t="n">
        <v>8498</v>
      </c>
      <c r="F447" s="20" t="n">
        <v>0</v>
      </c>
    </row>
    <row r="448" customFormat="false" ht="15" hidden="false" customHeight="false" outlineLevel="0" collapsed="false">
      <c r="A448" s="22" t="n">
        <v>46135</v>
      </c>
      <c r="B448" s="19" t="s">
        <v>50</v>
      </c>
      <c r="C448" s="19" t="s">
        <v>70</v>
      </c>
      <c r="D448" s="19" t="s">
        <v>71</v>
      </c>
      <c r="E448" s="20" t="n">
        <v>3708</v>
      </c>
      <c r="F448" s="20" t="n">
        <v>0</v>
      </c>
    </row>
    <row r="449" customFormat="false" ht="15" hidden="false" customHeight="false" outlineLevel="0" collapsed="false">
      <c r="A449" s="22" t="n">
        <v>46135</v>
      </c>
      <c r="B449" s="19" t="s">
        <v>50</v>
      </c>
      <c r="C449" s="19" t="s">
        <v>12</v>
      </c>
      <c r="D449" s="19" t="s">
        <v>78</v>
      </c>
      <c r="E449" s="20" t="n">
        <v>5334</v>
      </c>
      <c r="F449" s="20" t="n">
        <v>0</v>
      </c>
    </row>
    <row r="450" customFormat="false" ht="15" hidden="false" customHeight="false" outlineLevel="0" collapsed="false">
      <c r="A450" s="22" t="n">
        <v>46135</v>
      </c>
      <c r="B450" s="19" t="s">
        <v>50</v>
      </c>
      <c r="C450" s="19" t="s">
        <v>14</v>
      </c>
      <c r="D450" s="19" t="s">
        <v>77</v>
      </c>
      <c r="E450" s="20" t="n">
        <v>2147</v>
      </c>
      <c r="F450" s="20" t="n">
        <v>0</v>
      </c>
    </row>
    <row r="451" customFormat="false" ht="15" hidden="false" customHeight="false" outlineLevel="0" collapsed="false">
      <c r="A451" s="22" t="n">
        <v>46136</v>
      </c>
      <c r="B451" s="19" t="s">
        <v>50</v>
      </c>
      <c r="C451" s="19" t="s">
        <v>12</v>
      </c>
      <c r="D451" s="19" t="s">
        <v>58</v>
      </c>
      <c r="E451" s="20" t="n">
        <v>6120</v>
      </c>
      <c r="F451" s="20" t="n">
        <v>0</v>
      </c>
    </row>
    <row r="452" customFormat="false" ht="15" hidden="false" customHeight="false" outlineLevel="0" collapsed="false">
      <c r="A452" s="22" t="n">
        <v>46136</v>
      </c>
      <c r="B452" s="19" t="s">
        <v>50</v>
      </c>
      <c r="C452" s="19" t="s">
        <v>16</v>
      </c>
      <c r="D452" s="19" t="s">
        <v>59</v>
      </c>
      <c r="E452" s="20" t="n">
        <v>3894</v>
      </c>
      <c r="F452" s="20" t="n">
        <v>0</v>
      </c>
    </row>
    <row r="453" customFormat="false" ht="15" hidden="false" customHeight="false" outlineLevel="0" collapsed="false">
      <c r="A453" s="22" t="n">
        <v>46136</v>
      </c>
      <c r="B453" s="19" t="s">
        <v>50</v>
      </c>
      <c r="C453" s="19" t="s">
        <v>12</v>
      </c>
      <c r="D453" s="19" t="s">
        <v>72</v>
      </c>
      <c r="E453" s="20" t="n">
        <v>1594</v>
      </c>
      <c r="F453" s="20" t="n">
        <v>0</v>
      </c>
    </row>
    <row r="454" customFormat="false" ht="15" hidden="false" customHeight="false" outlineLevel="0" collapsed="false">
      <c r="A454" s="22" t="n">
        <v>46136</v>
      </c>
      <c r="B454" s="19" t="s">
        <v>50</v>
      </c>
      <c r="C454" s="19" t="s">
        <v>11</v>
      </c>
      <c r="D454" s="19" t="s">
        <v>60</v>
      </c>
      <c r="E454" s="20" t="n">
        <v>194306</v>
      </c>
      <c r="F454" s="20" t="n">
        <v>942711</v>
      </c>
    </row>
    <row r="455" customFormat="false" ht="15" hidden="false" customHeight="false" outlineLevel="0" collapsed="false">
      <c r="A455" s="22" t="n">
        <v>46136</v>
      </c>
      <c r="B455" s="19" t="s">
        <v>50</v>
      </c>
      <c r="C455" s="19" t="s">
        <v>12</v>
      </c>
      <c r="D455" s="19" t="s">
        <v>61</v>
      </c>
      <c r="E455" s="20" t="n">
        <v>19885</v>
      </c>
      <c r="F455" s="20" t="n">
        <v>105730</v>
      </c>
    </row>
    <row r="456" customFormat="false" ht="15" hidden="false" customHeight="false" outlineLevel="0" collapsed="false">
      <c r="A456" s="22" t="n">
        <v>46136</v>
      </c>
      <c r="B456" s="19" t="s">
        <v>50</v>
      </c>
      <c r="C456" s="19" t="s">
        <v>16</v>
      </c>
      <c r="D456" s="19" t="s">
        <v>74</v>
      </c>
      <c r="E456" s="20" t="n">
        <v>3294</v>
      </c>
      <c r="F456" s="20" t="n">
        <v>0</v>
      </c>
    </row>
    <row r="457" customFormat="false" ht="15" hidden="false" customHeight="false" outlineLevel="0" collapsed="false">
      <c r="A457" s="22" t="n">
        <v>46136</v>
      </c>
      <c r="B457" s="19" t="s">
        <v>50</v>
      </c>
      <c r="C457" s="19" t="s">
        <v>14</v>
      </c>
      <c r="D457" s="19" t="s">
        <v>73</v>
      </c>
      <c r="E457" s="20" t="n">
        <v>13861</v>
      </c>
      <c r="F457" s="20" t="n">
        <v>0</v>
      </c>
    </row>
    <row r="458" customFormat="false" ht="15" hidden="false" customHeight="false" outlineLevel="0" collapsed="false">
      <c r="A458" s="22" t="n">
        <v>46136</v>
      </c>
      <c r="B458" s="19" t="s">
        <v>50</v>
      </c>
      <c r="C458" s="19" t="s">
        <v>14</v>
      </c>
      <c r="D458" s="19" t="s">
        <v>62</v>
      </c>
      <c r="E458" s="20" t="n">
        <v>10436</v>
      </c>
      <c r="F458" s="20" t="n">
        <v>0</v>
      </c>
    </row>
    <row r="459" customFormat="false" ht="15" hidden="false" customHeight="false" outlineLevel="0" collapsed="false">
      <c r="A459" s="22" t="n">
        <v>46136</v>
      </c>
      <c r="B459" s="19" t="s">
        <v>50</v>
      </c>
      <c r="C459" s="19" t="s">
        <v>15</v>
      </c>
      <c r="D459" s="19" t="s">
        <v>15</v>
      </c>
      <c r="E459" s="20" t="n">
        <v>142</v>
      </c>
      <c r="F459" s="20" t="n">
        <v>0</v>
      </c>
    </row>
    <row r="460" customFormat="false" ht="15" hidden="false" customHeight="false" outlineLevel="0" collapsed="false">
      <c r="A460" s="22" t="n">
        <v>46136</v>
      </c>
      <c r="B460" s="19" t="s">
        <v>50</v>
      </c>
      <c r="C460" s="19" t="s">
        <v>11</v>
      </c>
      <c r="D460" s="19" t="s">
        <v>63</v>
      </c>
      <c r="E460" s="20" t="n">
        <v>43953</v>
      </c>
      <c r="F460" s="20" t="n">
        <v>220590</v>
      </c>
    </row>
    <row r="461" customFormat="false" ht="15" hidden="false" customHeight="false" outlineLevel="0" collapsed="false">
      <c r="A461" s="22" t="n">
        <v>46136</v>
      </c>
      <c r="B461" s="19" t="s">
        <v>50</v>
      </c>
      <c r="C461" s="19" t="s">
        <v>13</v>
      </c>
      <c r="D461" s="19" t="s">
        <v>64</v>
      </c>
      <c r="E461" s="20" t="n">
        <v>326533</v>
      </c>
      <c r="F461" s="20" t="n">
        <v>1663048</v>
      </c>
    </row>
    <row r="462" customFormat="false" ht="15" hidden="false" customHeight="false" outlineLevel="0" collapsed="false">
      <c r="A462" s="22" t="n">
        <v>46136</v>
      </c>
      <c r="B462" s="19" t="s">
        <v>50</v>
      </c>
      <c r="C462" s="19" t="s">
        <v>12</v>
      </c>
      <c r="D462" s="19" t="s">
        <v>65</v>
      </c>
      <c r="E462" s="20" t="n">
        <v>214342</v>
      </c>
      <c r="F462" s="20" t="n">
        <v>988256</v>
      </c>
    </row>
    <row r="463" customFormat="false" ht="15" hidden="false" customHeight="false" outlineLevel="0" collapsed="false">
      <c r="A463" s="22" t="n">
        <v>46136</v>
      </c>
      <c r="B463" s="19" t="s">
        <v>50</v>
      </c>
      <c r="C463" s="19" t="s">
        <v>12</v>
      </c>
      <c r="D463" s="19" t="s">
        <v>66</v>
      </c>
      <c r="E463" s="20" t="n">
        <v>32844</v>
      </c>
      <c r="F463" s="20" t="n">
        <v>95436</v>
      </c>
    </row>
    <row r="464" customFormat="false" ht="15" hidden="false" customHeight="false" outlineLevel="0" collapsed="false">
      <c r="A464" s="22" t="n">
        <v>46136</v>
      </c>
      <c r="B464" s="19" t="s">
        <v>50</v>
      </c>
      <c r="C464" s="19" t="s">
        <v>12</v>
      </c>
      <c r="D464" s="19" t="s">
        <v>75</v>
      </c>
      <c r="E464" s="20" t="n">
        <v>10023</v>
      </c>
      <c r="F464" s="20" t="n">
        <v>98000</v>
      </c>
    </row>
    <row r="465" customFormat="false" ht="15" hidden="false" customHeight="false" outlineLevel="0" collapsed="false">
      <c r="A465" s="22" t="n">
        <v>46136</v>
      </c>
      <c r="B465" s="19" t="s">
        <v>50</v>
      </c>
      <c r="C465" s="19" t="s">
        <v>15</v>
      </c>
      <c r="D465" s="19" t="s">
        <v>67</v>
      </c>
      <c r="E465" s="20" t="n">
        <v>12603</v>
      </c>
      <c r="F465" s="20" t="n">
        <v>0</v>
      </c>
    </row>
    <row r="466" customFormat="false" ht="15" hidden="false" customHeight="false" outlineLevel="0" collapsed="false">
      <c r="A466" s="22" t="n">
        <v>46136</v>
      </c>
      <c r="B466" s="19" t="s">
        <v>50</v>
      </c>
      <c r="C466" s="19" t="s">
        <v>13</v>
      </c>
      <c r="D466" s="19" t="s">
        <v>68</v>
      </c>
      <c r="E466" s="20" t="n">
        <v>8459</v>
      </c>
      <c r="F466" s="20" t="n">
        <v>0</v>
      </c>
    </row>
    <row r="467" customFormat="false" ht="15" hidden="false" customHeight="false" outlineLevel="0" collapsed="false">
      <c r="A467" s="22" t="n">
        <v>46136</v>
      </c>
      <c r="B467" s="19" t="s">
        <v>50</v>
      </c>
      <c r="C467" s="19" t="s">
        <v>11</v>
      </c>
      <c r="D467" s="19" t="s">
        <v>69</v>
      </c>
      <c r="E467" s="20" t="n">
        <v>5324</v>
      </c>
      <c r="F467" s="20" t="n">
        <v>0</v>
      </c>
    </row>
    <row r="468" customFormat="false" ht="15" hidden="false" customHeight="false" outlineLevel="0" collapsed="false">
      <c r="A468" s="22" t="n">
        <v>46137</v>
      </c>
      <c r="B468" s="19" t="s">
        <v>50</v>
      </c>
      <c r="C468" s="19" t="s">
        <v>12</v>
      </c>
      <c r="D468" s="19" t="s">
        <v>58</v>
      </c>
      <c r="E468" s="20" t="n">
        <v>88463</v>
      </c>
      <c r="F468" s="20" t="n">
        <v>270465</v>
      </c>
    </row>
    <row r="469" customFormat="false" ht="15" hidden="false" customHeight="false" outlineLevel="0" collapsed="false">
      <c r="A469" s="22" t="n">
        <v>46137</v>
      </c>
      <c r="B469" s="19" t="s">
        <v>50</v>
      </c>
      <c r="C469" s="19" t="s">
        <v>12</v>
      </c>
      <c r="D469" s="19" t="s">
        <v>72</v>
      </c>
      <c r="E469" s="20" t="n">
        <v>191309</v>
      </c>
      <c r="F469" s="20" t="n">
        <v>1436703</v>
      </c>
    </row>
    <row r="470" customFormat="false" ht="15" hidden="false" customHeight="false" outlineLevel="0" collapsed="false">
      <c r="A470" s="22" t="n">
        <v>46137</v>
      </c>
      <c r="B470" s="19" t="s">
        <v>50</v>
      </c>
      <c r="C470" s="19" t="s">
        <v>16</v>
      </c>
      <c r="D470" s="19" t="s">
        <v>59</v>
      </c>
      <c r="E470" s="20" t="n">
        <v>11794</v>
      </c>
      <c r="F470" s="20" t="n">
        <v>0</v>
      </c>
    </row>
    <row r="471" customFormat="false" ht="15" hidden="false" customHeight="false" outlineLevel="0" collapsed="false">
      <c r="A471" s="22" t="n">
        <v>46137</v>
      </c>
      <c r="B471" s="19" t="s">
        <v>50</v>
      </c>
      <c r="C471" s="19" t="s">
        <v>11</v>
      </c>
      <c r="D471" s="19" t="s">
        <v>60</v>
      </c>
      <c r="E471" s="20" t="n">
        <v>67350</v>
      </c>
      <c r="F471" s="20" t="n">
        <v>207312</v>
      </c>
    </row>
    <row r="472" customFormat="false" ht="15" hidden="false" customHeight="false" outlineLevel="0" collapsed="false">
      <c r="A472" s="22" t="n">
        <v>46137</v>
      </c>
      <c r="B472" s="19" t="s">
        <v>50</v>
      </c>
      <c r="C472" s="19" t="s">
        <v>12</v>
      </c>
      <c r="D472" s="19" t="s">
        <v>61</v>
      </c>
      <c r="E472" s="20" t="n">
        <v>25397</v>
      </c>
      <c r="F472" s="20" t="n">
        <v>0</v>
      </c>
    </row>
    <row r="473" customFormat="false" ht="15" hidden="false" customHeight="false" outlineLevel="0" collapsed="false">
      <c r="A473" s="22" t="n">
        <v>46137</v>
      </c>
      <c r="B473" s="19" t="s">
        <v>50</v>
      </c>
      <c r="C473" s="19" t="s">
        <v>16</v>
      </c>
      <c r="D473" s="19" t="s">
        <v>74</v>
      </c>
      <c r="E473" s="20" t="n">
        <v>45511</v>
      </c>
      <c r="F473" s="20" t="n">
        <v>192000</v>
      </c>
    </row>
    <row r="474" customFormat="false" ht="15" hidden="false" customHeight="false" outlineLevel="0" collapsed="false">
      <c r="A474" s="22" t="n">
        <v>46137</v>
      </c>
      <c r="B474" s="19" t="s">
        <v>50</v>
      </c>
      <c r="C474" s="19" t="s">
        <v>14</v>
      </c>
      <c r="D474" s="19" t="s">
        <v>73</v>
      </c>
      <c r="E474" s="20" t="n">
        <v>11904</v>
      </c>
      <c r="F474" s="20" t="n">
        <v>66102</v>
      </c>
    </row>
    <row r="475" customFormat="false" ht="15" hidden="false" customHeight="false" outlineLevel="0" collapsed="false">
      <c r="A475" s="22" t="n">
        <v>46137</v>
      </c>
      <c r="B475" s="19" t="s">
        <v>50</v>
      </c>
      <c r="C475" s="19" t="s">
        <v>15</v>
      </c>
      <c r="D475" s="19" t="s">
        <v>15</v>
      </c>
      <c r="E475" s="20" t="n">
        <v>248</v>
      </c>
      <c r="F475" s="20" t="n">
        <v>45819</v>
      </c>
    </row>
    <row r="476" customFormat="false" ht="15" hidden="false" customHeight="false" outlineLevel="0" collapsed="false">
      <c r="A476" s="22" t="n">
        <v>46137</v>
      </c>
      <c r="B476" s="19" t="s">
        <v>50</v>
      </c>
      <c r="C476" s="19" t="s">
        <v>14</v>
      </c>
      <c r="D476" s="19" t="s">
        <v>62</v>
      </c>
      <c r="E476" s="20" t="n">
        <v>396</v>
      </c>
      <c r="F476" s="20" t="n">
        <v>0</v>
      </c>
    </row>
    <row r="477" customFormat="false" ht="15" hidden="false" customHeight="false" outlineLevel="0" collapsed="false">
      <c r="A477" s="22" t="n">
        <v>46137</v>
      </c>
      <c r="B477" s="19" t="s">
        <v>50</v>
      </c>
      <c r="C477" s="19" t="s">
        <v>11</v>
      </c>
      <c r="D477" s="19" t="s">
        <v>63</v>
      </c>
      <c r="E477" s="20" t="n">
        <v>63811</v>
      </c>
      <c r="F477" s="20" t="n">
        <v>150152</v>
      </c>
    </row>
    <row r="478" customFormat="false" ht="15" hidden="false" customHeight="false" outlineLevel="0" collapsed="false">
      <c r="A478" s="22" t="n">
        <v>46137</v>
      </c>
      <c r="B478" s="19" t="s">
        <v>50</v>
      </c>
      <c r="C478" s="19" t="s">
        <v>13</v>
      </c>
      <c r="D478" s="19" t="s">
        <v>64</v>
      </c>
      <c r="E478" s="20" t="n">
        <v>900000</v>
      </c>
      <c r="F478" s="20" t="n">
        <v>4828104</v>
      </c>
    </row>
    <row r="479" customFormat="false" ht="15" hidden="false" customHeight="false" outlineLevel="0" collapsed="false">
      <c r="A479" s="22" t="n">
        <v>46137</v>
      </c>
      <c r="B479" s="19" t="s">
        <v>50</v>
      </c>
      <c r="C479" s="19" t="s">
        <v>15</v>
      </c>
      <c r="D479" s="19" t="s">
        <v>67</v>
      </c>
      <c r="E479" s="20" t="n">
        <v>74919</v>
      </c>
      <c r="F479" s="20" t="n">
        <v>320384</v>
      </c>
    </row>
    <row r="480" customFormat="false" ht="15" hidden="false" customHeight="false" outlineLevel="0" collapsed="false">
      <c r="A480" s="22" t="n">
        <v>46137</v>
      </c>
      <c r="B480" s="19" t="s">
        <v>50</v>
      </c>
      <c r="C480" s="19" t="s">
        <v>12</v>
      </c>
      <c r="D480" s="19" t="s">
        <v>65</v>
      </c>
      <c r="E480" s="20" t="n">
        <v>137796</v>
      </c>
      <c r="F480" s="20" t="n">
        <v>159565</v>
      </c>
    </row>
    <row r="481" customFormat="false" ht="15" hidden="false" customHeight="false" outlineLevel="0" collapsed="false">
      <c r="A481" s="22" t="n">
        <v>46137</v>
      </c>
      <c r="B481" s="19" t="s">
        <v>50</v>
      </c>
      <c r="C481" s="19" t="s">
        <v>12</v>
      </c>
      <c r="D481" s="19" t="s">
        <v>66</v>
      </c>
      <c r="E481" s="20" t="n">
        <v>40572</v>
      </c>
      <c r="F481" s="20" t="n">
        <v>0</v>
      </c>
    </row>
    <row r="482" customFormat="false" ht="15" hidden="false" customHeight="false" outlineLevel="0" collapsed="false">
      <c r="A482" s="22" t="n">
        <v>46137</v>
      </c>
      <c r="B482" s="19" t="s">
        <v>50</v>
      </c>
      <c r="C482" s="19" t="s">
        <v>11</v>
      </c>
      <c r="D482" s="19" t="s">
        <v>69</v>
      </c>
      <c r="E482" s="20" t="n">
        <v>54255</v>
      </c>
      <c r="F482" s="20" t="n">
        <v>212534</v>
      </c>
    </row>
    <row r="483" customFormat="false" ht="15" hidden="false" customHeight="false" outlineLevel="0" collapsed="false">
      <c r="A483" s="22" t="n">
        <v>46137</v>
      </c>
      <c r="B483" s="19" t="s">
        <v>50</v>
      </c>
      <c r="C483" s="19" t="s">
        <v>13</v>
      </c>
      <c r="D483" s="19" t="s">
        <v>68</v>
      </c>
      <c r="E483" s="20" t="n">
        <v>25255</v>
      </c>
      <c r="F483" s="20" t="n">
        <v>0</v>
      </c>
    </row>
    <row r="484" customFormat="false" ht="15" hidden="false" customHeight="false" outlineLevel="0" collapsed="false">
      <c r="A484" s="22" t="n">
        <v>46137</v>
      </c>
      <c r="B484" s="19" t="s">
        <v>50</v>
      </c>
      <c r="C484" s="19" t="s">
        <v>12</v>
      </c>
      <c r="D484" s="19" t="s">
        <v>75</v>
      </c>
      <c r="E484" s="20" t="n">
        <v>213</v>
      </c>
      <c r="F484" s="20" t="n">
        <v>0</v>
      </c>
    </row>
    <row r="485" customFormat="false" ht="15" hidden="false" customHeight="false" outlineLevel="0" collapsed="false">
      <c r="A485" s="22" t="n">
        <v>46138</v>
      </c>
      <c r="B485" s="19" t="s">
        <v>50</v>
      </c>
      <c r="C485" s="19" t="s">
        <v>12</v>
      </c>
      <c r="D485" s="19" t="s">
        <v>58</v>
      </c>
      <c r="E485" s="20" t="n">
        <v>4133</v>
      </c>
      <c r="F485" s="20" t="n">
        <v>0</v>
      </c>
    </row>
    <row r="486" customFormat="false" ht="15" hidden="false" customHeight="false" outlineLevel="0" collapsed="false">
      <c r="A486" s="22" t="n">
        <v>46138</v>
      </c>
      <c r="B486" s="19" t="s">
        <v>50</v>
      </c>
      <c r="C486" s="19" t="s">
        <v>16</v>
      </c>
      <c r="D486" s="19" t="s">
        <v>59</v>
      </c>
      <c r="E486" s="20" t="n">
        <v>5535</v>
      </c>
      <c r="F486" s="20" t="n">
        <v>0</v>
      </c>
    </row>
    <row r="487" customFormat="false" ht="15" hidden="false" customHeight="false" outlineLevel="0" collapsed="false">
      <c r="A487" s="22" t="n">
        <v>46138</v>
      </c>
      <c r="B487" s="19" t="s">
        <v>50</v>
      </c>
      <c r="C487" s="19" t="s">
        <v>12</v>
      </c>
      <c r="D487" s="19" t="s">
        <v>72</v>
      </c>
      <c r="E487" s="20" t="n">
        <v>16293</v>
      </c>
      <c r="F487" s="20" t="n">
        <v>0</v>
      </c>
    </row>
    <row r="488" customFormat="false" ht="15" hidden="false" customHeight="false" outlineLevel="0" collapsed="false">
      <c r="A488" s="22" t="n">
        <v>46138</v>
      </c>
      <c r="B488" s="19" t="s">
        <v>50</v>
      </c>
      <c r="C488" s="19" t="s">
        <v>12</v>
      </c>
      <c r="D488" s="19" t="s">
        <v>61</v>
      </c>
      <c r="E488" s="20" t="n">
        <v>50570</v>
      </c>
      <c r="F488" s="20" t="n">
        <v>0</v>
      </c>
    </row>
    <row r="489" customFormat="false" ht="15" hidden="false" customHeight="false" outlineLevel="0" collapsed="false">
      <c r="A489" s="22" t="n">
        <v>46138</v>
      </c>
      <c r="B489" s="19" t="s">
        <v>50</v>
      </c>
      <c r="C489" s="19" t="s">
        <v>11</v>
      </c>
      <c r="D489" s="19" t="s">
        <v>60</v>
      </c>
      <c r="E489" s="20" t="n">
        <v>19446</v>
      </c>
      <c r="F489" s="20" t="n">
        <v>69000</v>
      </c>
    </row>
    <row r="490" customFormat="false" ht="15" hidden="false" customHeight="false" outlineLevel="0" collapsed="false">
      <c r="A490" s="22" t="n">
        <v>46138</v>
      </c>
      <c r="B490" s="19" t="s">
        <v>50</v>
      </c>
      <c r="C490" s="19" t="s">
        <v>15</v>
      </c>
      <c r="D490" s="19" t="s">
        <v>15</v>
      </c>
      <c r="E490" s="20" t="n">
        <v>13332</v>
      </c>
      <c r="F490" s="20" t="n">
        <v>0</v>
      </c>
    </row>
    <row r="491" customFormat="false" ht="15" hidden="false" customHeight="false" outlineLevel="0" collapsed="false">
      <c r="A491" s="22" t="n">
        <v>46138</v>
      </c>
      <c r="B491" s="19" t="s">
        <v>50</v>
      </c>
      <c r="C491" s="19" t="s">
        <v>16</v>
      </c>
      <c r="D491" s="19" t="s">
        <v>74</v>
      </c>
      <c r="E491" s="20" t="n">
        <v>731</v>
      </c>
      <c r="F491" s="20" t="n">
        <v>25403</v>
      </c>
    </row>
    <row r="492" customFormat="false" ht="15" hidden="false" customHeight="false" outlineLevel="0" collapsed="false">
      <c r="A492" s="22" t="n">
        <v>46138</v>
      </c>
      <c r="B492" s="19" t="s">
        <v>50</v>
      </c>
      <c r="C492" s="19" t="s">
        <v>14</v>
      </c>
      <c r="D492" s="19" t="s">
        <v>62</v>
      </c>
      <c r="E492" s="20" t="n">
        <v>630</v>
      </c>
      <c r="F492" s="20" t="n">
        <v>0</v>
      </c>
    </row>
    <row r="493" customFormat="false" ht="15" hidden="false" customHeight="false" outlineLevel="0" collapsed="false">
      <c r="A493" s="22" t="n">
        <v>46138</v>
      </c>
      <c r="B493" s="19" t="s">
        <v>50</v>
      </c>
      <c r="C493" s="19" t="s">
        <v>11</v>
      </c>
      <c r="D493" s="19" t="s">
        <v>63</v>
      </c>
      <c r="E493" s="20" t="n">
        <v>3666</v>
      </c>
      <c r="F493" s="20" t="n">
        <v>0</v>
      </c>
    </row>
    <row r="494" customFormat="false" ht="15" hidden="false" customHeight="false" outlineLevel="0" collapsed="false">
      <c r="A494" s="22" t="n">
        <v>46138</v>
      </c>
      <c r="B494" s="19" t="s">
        <v>50</v>
      </c>
      <c r="C494" s="19" t="s">
        <v>13</v>
      </c>
      <c r="D494" s="19" t="s">
        <v>64</v>
      </c>
      <c r="E494" s="20" t="n">
        <v>255477</v>
      </c>
      <c r="F494" s="20" t="n">
        <v>1298482</v>
      </c>
    </row>
    <row r="495" customFormat="false" ht="15" hidden="false" customHeight="false" outlineLevel="0" collapsed="false">
      <c r="A495" s="22" t="n">
        <v>46138</v>
      </c>
      <c r="B495" s="19" t="s">
        <v>50</v>
      </c>
      <c r="C495" s="19" t="s">
        <v>12</v>
      </c>
      <c r="D495" s="19" t="s">
        <v>65</v>
      </c>
      <c r="E495" s="20" t="n">
        <v>95214</v>
      </c>
      <c r="F495" s="20" t="n">
        <v>164657</v>
      </c>
    </row>
    <row r="496" customFormat="false" ht="15" hidden="false" customHeight="false" outlineLevel="0" collapsed="false">
      <c r="A496" s="22" t="n">
        <v>46138</v>
      </c>
      <c r="B496" s="19" t="s">
        <v>50</v>
      </c>
      <c r="C496" s="19" t="s">
        <v>12</v>
      </c>
      <c r="D496" s="19" t="s">
        <v>66</v>
      </c>
      <c r="E496" s="20" t="n">
        <v>40856</v>
      </c>
      <c r="F496" s="20" t="n">
        <v>450200</v>
      </c>
    </row>
    <row r="497" customFormat="false" ht="15" hidden="false" customHeight="false" outlineLevel="0" collapsed="false">
      <c r="A497" s="22" t="n">
        <v>46138</v>
      </c>
      <c r="B497" s="19" t="s">
        <v>50</v>
      </c>
      <c r="C497" s="19" t="s">
        <v>15</v>
      </c>
      <c r="D497" s="19" t="s">
        <v>67</v>
      </c>
      <c r="E497" s="20" t="n">
        <v>24089</v>
      </c>
      <c r="F497" s="20" t="n">
        <v>111550</v>
      </c>
    </row>
    <row r="498" customFormat="false" ht="15" hidden="false" customHeight="false" outlineLevel="0" collapsed="false">
      <c r="A498" s="22" t="n">
        <v>46138</v>
      </c>
      <c r="B498" s="19" t="s">
        <v>50</v>
      </c>
      <c r="C498" s="19" t="s">
        <v>11</v>
      </c>
      <c r="D498" s="19" t="s">
        <v>69</v>
      </c>
      <c r="E498" s="20" t="n">
        <v>5119</v>
      </c>
      <c r="F498" s="20" t="n">
        <v>0</v>
      </c>
    </row>
    <row r="499" customFormat="false" ht="15" hidden="false" customHeight="false" outlineLevel="0" collapsed="false">
      <c r="A499" s="22" t="n">
        <v>46138</v>
      </c>
      <c r="B499" s="19" t="s">
        <v>50</v>
      </c>
      <c r="C499" s="19" t="s">
        <v>13</v>
      </c>
      <c r="D499" s="19" t="s">
        <v>68</v>
      </c>
      <c r="E499" s="20" t="n">
        <v>8123</v>
      </c>
      <c r="F499" s="20" t="n">
        <v>0</v>
      </c>
    </row>
    <row r="500" customFormat="false" ht="15" hidden="false" customHeight="false" outlineLevel="0" collapsed="false">
      <c r="A500" s="22" t="n">
        <v>46138</v>
      </c>
      <c r="B500" s="19" t="s">
        <v>50</v>
      </c>
      <c r="C500" s="19" t="s">
        <v>12</v>
      </c>
      <c r="D500" s="19" t="s">
        <v>75</v>
      </c>
      <c r="E500" s="20" t="n">
        <v>233</v>
      </c>
      <c r="F500" s="20" t="n">
        <v>0</v>
      </c>
    </row>
    <row r="501" customFormat="false" ht="15" hidden="false" customHeight="false" outlineLevel="0" collapsed="false">
      <c r="A501" s="22" t="n">
        <v>46139</v>
      </c>
      <c r="B501" s="19" t="s">
        <v>50</v>
      </c>
      <c r="C501" s="19" t="s">
        <v>12</v>
      </c>
      <c r="D501" s="19" t="s">
        <v>58</v>
      </c>
      <c r="E501" s="20" t="n">
        <v>4768</v>
      </c>
      <c r="F501" s="20" t="n">
        <v>0</v>
      </c>
    </row>
    <row r="502" customFormat="false" ht="15" hidden="false" customHeight="false" outlineLevel="0" collapsed="false">
      <c r="A502" s="22" t="n">
        <v>46139</v>
      </c>
      <c r="B502" s="19" t="s">
        <v>50</v>
      </c>
      <c r="C502" s="19" t="s">
        <v>12</v>
      </c>
      <c r="D502" s="19" t="s">
        <v>72</v>
      </c>
      <c r="E502" s="20" t="n">
        <v>4650</v>
      </c>
      <c r="F502" s="20" t="n">
        <v>0</v>
      </c>
    </row>
    <row r="503" customFormat="false" ht="15" hidden="false" customHeight="false" outlineLevel="0" collapsed="false">
      <c r="A503" s="22" t="n">
        <v>46139</v>
      </c>
      <c r="B503" s="19" t="s">
        <v>50</v>
      </c>
      <c r="C503" s="19" t="s">
        <v>16</v>
      </c>
      <c r="D503" s="19" t="s">
        <v>59</v>
      </c>
      <c r="E503" s="20" t="n">
        <v>16095</v>
      </c>
      <c r="F503" s="20" t="n">
        <v>0</v>
      </c>
    </row>
    <row r="504" customFormat="false" ht="15" hidden="false" customHeight="false" outlineLevel="0" collapsed="false">
      <c r="A504" s="22" t="n">
        <v>46139</v>
      </c>
      <c r="B504" s="19" t="s">
        <v>50</v>
      </c>
      <c r="C504" s="19" t="s">
        <v>11</v>
      </c>
      <c r="D504" s="19" t="s">
        <v>60</v>
      </c>
      <c r="E504" s="20" t="n">
        <v>300000</v>
      </c>
      <c r="F504" s="20" t="n">
        <v>1923500</v>
      </c>
    </row>
    <row r="505" customFormat="false" ht="15" hidden="false" customHeight="false" outlineLevel="0" collapsed="false">
      <c r="A505" s="22" t="n">
        <v>46139</v>
      </c>
      <c r="B505" s="19" t="s">
        <v>50</v>
      </c>
      <c r="C505" s="19" t="s">
        <v>15</v>
      </c>
      <c r="D505" s="19" t="s">
        <v>15</v>
      </c>
      <c r="E505" s="20" t="n">
        <v>23154</v>
      </c>
      <c r="F505" s="20" t="n">
        <v>111550</v>
      </c>
    </row>
    <row r="506" customFormat="false" ht="15" hidden="false" customHeight="false" outlineLevel="0" collapsed="false">
      <c r="A506" s="22" t="n">
        <v>46139</v>
      </c>
      <c r="B506" s="19" t="s">
        <v>50</v>
      </c>
      <c r="C506" s="19" t="s">
        <v>12</v>
      </c>
      <c r="D506" s="19" t="s">
        <v>61</v>
      </c>
      <c r="E506" s="20" t="n">
        <v>15657</v>
      </c>
      <c r="F506" s="20" t="n">
        <v>0</v>
      </c>
    </row>
    <row r="507" customFormat="false" ht="15" hidden="false" customHeight="false" outlineLevel="0" collapsed="false">
      <c r="A507" s="22" t="n">
        <v>46139</v>
      </c>
      <c r="B507" s="19" t="s">
        <v>50</v>
      </c>
      <c r="C507" s="19" t="s">
        <v>16</v>
      </c>
      <c r="D507" s="19" t="s">
        <v>74</v>
      </c>
      <c r="E507" s="20" t="n">
        <v>29589</v>
      </c>
      <c r="F507" s="20" t="n">
        <v>179450</v>
      </c>
    </row>
    <row r="508" customFormat="false" ht="15" hidden="false" customHeight="false" outlineLevel="0" collapsed="false">
      <c r="A508" s="22" t="n">
        <v>46139</v>
      </c>
      <c r="B508" s="19" t="s">
        <v>50</v>
      </c>
      <c r="C508" s="19" t="s">
        <v>14</v>
      </c>
      <c r="D508" s="19" t="s">
        <v>73</v>
      </c>
      <c r="E508" s="20" t="n">
        <v>5961</v>
      </c>
      <c r="F508" s="20" t="n">
        <v>17237</v>
      </c>
    </row>
    <row r="509" customFormat="false" ht="15" hidden="false" customHeight="false" outlineLevel="0" collapsed="false">
      <c r="A509" s="22" t="n">
        <v>46139</v>
      </c>
      <c r="B509" s="19" t="s">
        <v>50</v>
      </c>
      <c r="C509" s="19" t="s">
        <v>14</v>
      </c>
      <c r="D509" s="19" t="s">
        <v>62</v>
      </c>
      <c r="E509" s="20" t="n">
        <v>478</v>
      </c>
      <c r="F509" s="20" t="n">
        <v>0</v>
      </c>
    </row>
    <row r="510" customFormat="false" ht="15" hidden="false" customHeight="false" outlineLevel="0" collapsed="false">
      <c r="A510" s="22" t="n">
        <v>46139</v>
      </c>
      <c r="B510" s="19" t="s">
        <v>50</v>
      </c>
      <c r="C510" s="19" t="s">
        <v>11</v>
      </c>
      <c r="D510" s="19" t="s">
        <v>63</v>
      </c>
      <c r="E510" s="20" t="n">
        <v>943</v>
      </c>
      <c r="F510" s="20" t="n">
        <v>0</v>
      </c>
    </row>
    <row r="511" customFormat="false" ht="15" hidden="false" customHeight="false" outlineLevel="0" collapsed="false">
      <c r="A511" s="22" t="n">
        <v>46139</v>
      </c>
      <c r="B511" s="19" t="s">
        <v>50</v>
      </c>
      <c r="C511" s="19" t="s">
        <v>13</v>
      </c>
      <c r="D511" s="19" t="s">
        <v>64</v>
      </c>
      <c r="E511" s="20" t="n">
        <v>843319</v>
      </c>
      <c r="F511" s="20" t="n">
        <v>4476351</v>
      </c>
    </row>
    <row r="512" customFormat="false" ht="15" hidden="false" customHeight="false" outlineLevel="0" collapsed="false">
      <c r="A512" s="22" t="n">
        <v>46139</v>
      </c>
      <c r="B512" s="19" t="s">
        <v>50</v>
      </c>
      <c r="C512" s="19" t="s">
        <v>12</v>
      </c>
      <c r="D512" s="19" t="s">
        <v>65</v>
      </c>
      <c r="E512" s="20" t="n">
        <v>549931</v>
      </c>
      <c r="F512" s="20" t="n">
        <v>2675206</v>
      </c>
    </row>
    <row r="513" customFormat="false" ht="15" hidden="false" customHeight="false" outlineLevel="0" collapsed="false">
      <c r="A513" s="22" t="n">
        <v>46139</v>
      </c>
      <c r="B513" s="19" t="s">
        <v>50</v>
      </c>
      <c r="C513" s="19" t="s">
        <v>12</v>
      </c>
      <c r="D513" s="19" t="s">
        <v>66</v>
      </c>
      <c r="E513" s="20" t="n">
        <v>36810</v>
      </c>
      <c r="F513" s="20" t="n">
        <v>102820</v>
      </c>
    </row>
    <row r="514" customFormat="false" ht="15" hidden="false" customHeight="false" outlineLevel="0" collapsed="false">
      <c r="A514" s="22" t="n">
        <v>46139</v>
      </c>
      <c r="B514" s="19" t="s">
        <v>50</v>
      </c>
      <c r="C514" s="19" t="s">
        <v>11</v>
      </c>
      <c r="D514" s="19" t="s">
        <v>69</v>
      </c>
      <c r="E514" s="20" t="n">
        <v>68397</v>
      </c>
      <c r="F514" s="20" t="n">
        <v>255800</v>
      </c>
    </row>
    <row r="515" customFormat="false" ht="15" hidden="false" customHeight="false" outlineLevel="0" collapsed="false">
      <c r="A515" s="22" t="n">
        <v>46139</v>
      </c>
      <c r="B515" s="19" t="s">
        <v>50</v>
      </c>
      <c r="C515" s="19" t="s">
        <v>15</v>
      </c>
      <c r="D515" s="19" t="s">
        <v>67</v>
      </c>
      <c r="E515" s="20" t="n">
        <v>16735</v>
      </c>
      <c r="F515" s="20" t="n">
        <v>70000</v>
      </c>
    </row>
    <row r="516" customFormat="false" ht="15" hidden="false" customHeight="false" outlineLevel="0" collapsed="false">
      <c r="A516" s="22" t="n">
        <v>46139</v>
      </c>
      <c r="B516" s="19" t="s">
        <v>50</v>
      </c>
      <c r="C516" s="19" t="s">
        <v>13</v>
      </c>
      <c r="D516" s="19" t="s">
        <v>68</v>
      </c>
      <c r="E516" s="20" t="n">
        <v>7505</v>
      </c>
      <c r="F516" s="20" t="n">
        <v>0</v>
      </c>
    </row>
    <row r="517" customFormat="false" ht="15" hidden="false" customHeight="false" outlineLevel="0" collapsed="false">
      <c r="A517" s="22" t="n">
        <v>46139</v>
      </c>
      <c r="B517" s="19" t="s">
        <v>50</v>
      </c>
      <c r="C517" s="19" t="s">
        <v>12</v>
      </c>
      <c r="D517" s="19" t="s">
        <v>75</v>
      </c>
      <c r="E517" s="20" t="n">
        <v>336</v>
      </c>
      <c r="F517" s="20" t="n">
        <v>0</v>
      </c>
    </row>
    <row r="518" customFormat="false" ht="15" hidden="false" customHeight="false" outlineLevel="0" collapsed="false">
      <c r="A518" s="22" t="n">
        <v>46140</v>
      </c>
      <c r="B518" s="19" t="s">
        <v>50</v>
      </c>
      <c r="C518" s="19" t="s">
        <v>12</v>
      </c>
      <c r="D518" s="19" t="s">
        <v>58</v>
      </c>
      <c r="E518" s="20" t="n">
        <v>24097</v>
      </c>
      <c r="F518" s="20" t="n">
        <v>0</v>
      </c>
    </row>
    <row r="519" customFormat="false" ht="15" hidden="false" customHeight="false" outlineLevel="0" collapsed="false">
      <c r="A519" s="22" t="n">
        <v>46140</v>
      </c>
      <c r="B519" s="19" t="s">
        <v>50</v>
      </c>
      <c r="C519" s="19" t="s">
        <v>16</v>
      </c>
      <c r="D519" s="19" t="s">
        <v>59</v>
      </c>
      <c r="E519" s="20" t="n">
        <v>47461</v>
      </c>
      <c r="F519" s="20" t="n">
        <v>0</v>
      </c>
    </row>
    <row r="520" customFormat="false" ht="15" hidden="false" customHeight="false" outlineLevel="0" collapsed="false">
      <c r="A520" s="22" t="n">
        <v>46140</v>
      </c>
      <c r="B520" s="19" t="s">
        <v>50</v>
      </c>
      <c r="C520" s="19" t="s">
        <v>12</v>
      </c>
      <c r="D520" s="19" t="s">
        <v>72</v>
      </c>
      <c r="E520" s="20" t="n">
        <v>6019</v>
      </c>
      <c r="F520" s="20" t="n">
        <v>0</v>
      </c>
    </row>
    <row r="521" customFormat="false" ht="15" hidden="false" customHeight="false" outlineLevel="0" collapsed="false">
      <c r="A521" s="22" t="n">
        <v>46140</v>
      </c>
      <c r="B521" s="19" t="s">
        <v>50</v>
      </c>
      <c r="C521" s="19" t="s">
        <v>11</v>
      </c>
      <c r="D521" s="19" t="s">
        <v>60</v>
      </c>
      <c r="E521" s="20" t="n">
        <v>156604</v>
      </c>
      <c r="F521" s="20" t="n">
        <v>470276</v>
      </c>
    </row>
    <row r="522" customFormat="false" ht="15" hidden="false" customHeight="false" outlineLevel="0" collapsed="false">
      <c r="A522" s="22" t="n">
        <v>46140</v>
      </c>
      <c r="B522" s="19" t="s">
        <v>50</v>
      </c>
      <c r="C522" s="19" t="s">
        <v>16</v>
      </c>
      <c r="D522" s="19" t="s">
        <v>74</v>
      </c>
      <c r="E522" s="20" t="n">
        <v>145302</v>
      </c>
      <c r="F522" s="20" t="n">
        <v>678900</v>
      </c>
    </row>
    <row r="523" customFormat="false" ht="15" hidden="false" customHeight="false" outlineLevel="0" collapsed="false">
      <c r="A523" s="22" t="n">
        <v>46140</v>
      </c>
      <c r="B523" s="19" t="s">
        <v>50</v>
      </c>
      <c r="C523" s="19" t="s">
        <v>15</v>
      </c>
      <c r="D523" s="19" t="s">
        <v>15</v>
      </c>
      <c r="E523" s="20" t="n">
        <v>50039</v>
      </c>
      <c r="F523" s="20" t="n">
        <v>214176</v>
      </c>
    </row>
    <row r="524" customFormat="false" ht="15" hidden="false" customHeight="false" outlineLevel="0" collapsed="false">
      <c r="A524" s="22" t="n">
        <v>46140</v>
      </c>
      <c r="B524" s="19" t="s">
        <v>50</v>
      </c>
      <c r="C524" s="19" t="s">
        <v>12</v>
      </c>
      <c r="D524" s="19" t="s">
        <v>61</v>
      </c>
      <c r="E524" s="20" t="n">
        <v>16481</v>
      </c>
      <c r="F524" s="20" t="n">
        <v>0</v>
      </c>
    </row>
    <row r="525" customFormat="false" ht="15" hidden="false" customHeight="false" outlineLevel="0" collapsed="false">
      <c r="A525" s="22" t="n">
        <v>46140</v>
      </c>
      <c r="B525" s="19" t="s">
        <v>50</v>
      </c>
      <c r="C525" s="19" t="s">
        <v>14</v>
      </c>
      <c r="D525" s="19" t="s">
        <v>73</v>
      </c>
      <c r="E525" s="20" t="n">
        <v>598</v>
      </c>
      <c r="F525" s="20" t="n">
        <v>0</v>
      </c>
    </row>
    <row r="526" customFormat="false" ht="15" hidden="false" customHeight="false" outlineLevel="0" collapsed="false">
      <c r="A526" s="22" t="n">
        <v>46140</v>
      </c>
      <c r="B526" s="19" t="s">
        <v>50</v>
      </c>
      <c r="C526" s="19" t="s">
        <v>11</v>
      </c>
      <c r="D526" s="19" t="s">
        <v>63</v>
      </c>
      <c r="E526" s="20" t="n">
        <v>7472</v>
      </c>
      <c r="F526" s="20" t="n">
        <v>37830</v>
      </c>
    </row>
    <row r="527" customFormat="false" ht="15" hidden="false" customHeight="false" outlineLevel="0" collapsed="false">
      <c r="A527" s="22" t="n">
        <v>46140</v>
      </c>
      <c r="B527" s="19" t="s">
        <v>50</v>
      </c>
      <c r="C527" s="19" t="s">
        <v>13</v>
      </c>
      <c r="D527" s="19" t="s">
        <v>64</v>
      </c>
      <c r="E527" s="20" t="n">
        <v>608872</v>
      </c>
      <c r="F527" s="20" t="n">
        <v>3108989</v>
      </c>
    </row>
    <row r="528" customFormat="false" ht="15" hidden="false" customHeight="false" outlineLevel="0" collapsed="false">
      <c r="A528" s="22" t="n">
        <v>46140</v>
      </c>
      <c r="B528" s="19" t="s">
        <v>50</v>
      </c>
      <c r="C528" s="19" t="s">
        <v>12</v>
      </c>
      <c r="D528" s="19" t="s">
        <v>65</v>
      </c>
      <c r="E528" s="20" t="n">
        <v>498812</v>
      </c>
      <c r="F528" s="20" t="n">
        <v>2292686</v>
      </c>
    </row>
    <row r="529" customFormat="false" ht="15" hidden="false" customHeight="false" outlineLevel="0" collapsed="false">
      <c r="A529" s="22" t="n">
        <v>46140</v>
      </c>
      <c r="B529" s="19" t="s">
        <v>50</v>
      </c>
      <c r="C529" s="19" t="s">
        <v>12</v>
      </c>
      <c r="D529" s="19" t="s">
        <v>66</v>
      </c>
      <c r="E529" s="20" t="n">
        <v>19322</v>
      </c>
      <c r="F529" s="20" t="n">
        <v>0</v>
      </c>
    </row>
    <row r="530" customFormat="false" ht="15" hidden="false" customHeight="false" outlineLevel="0" collapsed="false">
      <c r="A530" s="22" t="n">
        <v>46140</v>
      </c>
      <c r="B530" s="19" t="s">
        <v>50</v>
      </c>
      <c r="C530" s="19" t="s">
        <v>11</v>
      </c>
      <c r="D530" s="19" t="s">
        <v>69</v>
      </c>
      <c r="E530" s="20" t="n">
        <v>34446</v>
      </c>
      <c r="F530" s="20" t="n">
        <v>107199</v>
      </c>
    </row>
    <row r="531" customFormat="false" ht="15" hidden="false" customHeight="false" outlineLevel="0" collapsed="false">
      <c r="A531" s="22" t="n">
        <v>46140</v>
      </c>
      <c r="B531" s="19" t="s">
        <v>50</v>
      </c>
      <c r="C531" s="19" t="s">
        <v>15</v>
      </c>
      <c r="D531" s="19" t="s">
        <v>67</v>
      </c>
      <c r="E531" s="20" t="n">
        <v>9749</v>
      </c>
      <c r="F531" s="20" t="n">
        <v>0</v>
      </c>
    </row>
    <row r="532" customFormat="false" ht="15" hidden="false" customHeight="false" outlineLevel="0" collapsed="false">
      <c r="A532" s="22" t="n">
        <v>46140</v>
      </c>
      <c r="B532" s="19" t="s">
        <v>50</v>
      </c>
      <c r="C532" s="19" t="s">
        <v>12</v>
      </c>
      <c r="D532" s="19" t="s">
        <v>75</v>
      </c>
      <c r="E532" s="20" t="n">
        <v>4807</v>
      </c>
      <c r="F532" s="20" t="n">
        <v>0</v>
      </c>
    </row>
    <row r="533" customFormat="false" ht="15" hidden="false" customHeight="false" outlineLevel="0" collapsed="false">
      <c r="A533" s="22" t="n">
        <v>46140</v>
      </c>
      <c r="B533" s="19" t="s">
        <v>50</v>
      </c>
      <c r="C533" s="19" t="s">
        <v>13</v>
      </c>
      <c r="D533" s="19" t="s">
        <v>68</v>
      </c>
      <c r="E533" s="20" t="n">
        <v>8783</v>
      </c>
      <c r="F533" s="20" t="n">
        <v>0</v>
      </c>
    </row>
    <row r="534" customFormat="false" ht="15" hidden="false" customHeight="false" outlineLevel="0" collapsed="false">
      <c r="A534" s="22" t="n">
        <v>46141</v>
      </c>
      <c r="B534" s="19" t="s">
        <v>50</v>
      </c>
      <c r="C534" s="19" t="s">
        <v>12</v>
      </c>
      <c r="D534" s="19" t="s">
        <v>58</v>
      </c>
      <c r="E534" s="20" t="n">
        <v>73039</v>
      </c>
      <c r="F534" s="20" t="n">
        <v>328792</v>
      </c>
    </row>
    <row r="535" customFormat="false" ht="15" hidden="false" customHeight="false" outlineLevel="0" collapsed="false">
      <c r="A535" s="22" t="n">
        <v>46141</v>
      </c>
      <c r="B535" s="19" t="s">
        <v>50</v>
      </c>
      <c r="C535" s="19" t="s">
        <v>16</v>
      </c>
      <c r="D535" s="19" t="s">
        <v>59</v>
      </c>
      <c r="E535" s="20" t="n">
        <v>8781</v>
      </c>
      <c r="F535" s="20" t="n">
        <v>0</v>
      </c>
    </row>
    <row r="536" customFormat="false" ht="15" hidden="false" customHeight="false" outlineLevel="0" collapsed="false">
      <c r="A536" s="22" t="n">
        <v>46141</v>
      </c>
      <c r="B536" s="19" t="s">
        <v>50</v>
      </c>
      <c r="C536" s="19" t="s">
        <v>12</v>
      </c>
      <c r="D536" s="19" t="s">
        <v>72</v>
      </c>
      <c r="E536" s="20" t="n">
        <v>9765</v>
      </c>
      <c r="F536" s="20" t="n">
        <v>0</v>
      </c>
    </row>
    <row r="537" customFormat="false" ht="15" hidden="false" customHeight="false" outlineLevel="0" collapsed="false">
      <c r="A537" s="22" t="n">
        <v>46141</v>
      </c>
      <c r="B537" s="19" t="s">
        <v>50</v>
      </c>
      <c r="C537" s="19" t="s">
        <v>11</v>
      </c>
      <c r="D537" s="19" t="s">
        <v>60</v>
      </c>
      <c r="E537" s="20" t="n">
        <v>30994</v>
      </c>
      <c r="F537" s="20" t="n">
        <v>66309</v>
      </c>
    </row>
    <row r="538" customFormat="false" ht="15" hidden="false" customHeight="false" outlineLevel="0" collapsed="false">
      <c r="A538" s="22" t="n">
        <v>46141</v>
      </c>
      <c r="B538" s="19" t="s">
        <v>50</v>
      </c>
      <c r="C538" s="19" t="s">
        <v>16</v>
      </c>
      <c r="D538" s="19" t="s">
        <v>74</v>
      </c>
      <c r="E538" s="20" t="n">
        <v>101386</v>
      </c>
      <c r="F538" s="20" t="n">
        <v>695780</v>
      </c>
    </row>
    <row r="539" customFormat="false" ht="15" hidden="false" customHeight="false" outlineLevel="0" collapsed="false">
      <c r="A539" s="22" t="n">
        <v>46141</v>
      </c>
      <c r="B539" s="19" t="s">
        <v>50</v>
      </c>
      <c r="C539" s="19" t="s">
        <v>15</v>
      </c>
      <c r="D539" s="19" t="s">
        <v>15</v>
      </c>
      <c r="E539" s="20" t="n">
        <v>22668</v>
      </c>
      <c r="F539" s="20" t="n">
        <v>0</v>
      </c>
    </row>
    <row r="540" customFormat="false" ht="15" hidden="false" customHeight="false" outlineLevel="0" collapsed="false">
      <c r="A540" s="22" t="n">
        <v>46141</v>
      </c>
      <c r="B540" s="19" t="s">
        <v>50</v>
      </c>
      <c r="C540" s="19" t="s">
        <v>12</v>
      </c>
      <c r="D540" s="19" t="s">
        <v>61</v>
      </c>
      <c r="E540" s="20" t="n">
        <v>14260</v>
      </c>
      <c r="F540" s="20" t="n">
        <v>0</v>
      </c>
    </row>
    <row r="541" customFormat="false" ht="15" hidden="false" customHeight="false" outlineLevel="0" collapsed="false">
      <c r="A541" s="22" t="n">
        <v>46141</v>
      </c>
      <c r="B541" s="19" t="s">
        <v>50</v>
      </c>
      <c r="C541" s="19" t="s">
        <v>11</v>
      </c>
      <c r="D541" s="19" t="s">
        <v>63</v>
      </c>
      <c r="E541" s="20" t="n">
        <v>29601</v>
      </c>
      <c r="F541" s="20" t="n">
        <v>156000</v>
      </c>
    </row>
    <row r="542" customFormat="false" ht="15" hidden="false" customHeight="false" outlineLevel="0" collapsed="false">
      <c r="A542" s="22" t="n">
        <v>46141</v>
      </c>
      <c r="B542" s="19" t="s">
        <v>50</v>
      </c>
      <c r="C542" s="19" t="s">
        <v>13</v>
      </c>
      <c r="D542" s="19" t="s">
        <v>64</v>
      </c>
      <c r="E542" s="20" t="n">
        <v>429856</v>
      </c>
      <c r="F542" s="20" t="n">
        <v>2280017</v>
      </c>
    </row>
    <row r="543" customFormat="false" ht="15" hidden="false" customHeight="false" outlineLevel="0" collapsed="false">
      <c r="A543" s="22" t="n">
        <v>46141</v>
      </c>
      <c r="B543" s="19" t="s">
        <v>50</v>
      </c>
      <c r="C543" s="19" t="s">
        <v>12</v>
      </c>
      <c r="D543" s="19" t="s">
        <v>65</v>
      </c>
      <c r="E543" s="20" t="n">
        <v>431398</v>
      </c>
      <c r="F543" s="20" t="n">
        <v>2011902</v>
      </c>
    </row>
    <row r="544" customFormat="false" ht="15" hidden="false" customHeight="false" outlineLevel="0" collapsed="false">
      <c r="A544" s="22" t="n">
        <v>46141</v>
      </c>
      <c r="B544" s="19" t="s">
        <v>50</v>
      </c>
      <c r="C544" s="19" t="s">
        <v>12</v>
      </c>
      <c r="D544" s="19" t="s">
        <v>66</v>
      </c>
      <c r="E544" s="20" t="n">
        <v>16031</v>
      </c>
      <c r="F544" s="20" t="n">
        <v>0</v>
      </c>
    </row>
    <row r="545" customFormat="false" ht="15" hidden="false" customHeight="false" outlineLevel="0" collapsed="false">
      <c r="A545" s="22" t="n">
        <v>46141</v>
      </c>
      <c r="B545" s="19" t="s">
        <v>50</v>
      </c>
      <c r="C545" s="19" t="s">
        <v>15</v>
      </c>
      <c r="D545" s="19" t="s">
        <v>67</v>
      </c>
      <c r="E545" s="20" t="n">
        <v>7494</v>
      </c>
      <c r="F545" s="20" t="n">
        <v>28700</v>
      </c>
    </row>
    <row r="546" customFormat="false" ht="15" hidden="false" customHeight="false" outlineLevel="0" collapsed="false">
      <c r="A546" s="22" t="n">
        <v>46141</v>
      </c>
      <c r="B546" s="19" t="s">
        <v>50</v>
      </c>
      <c r="C546" s="19" t="s">
        <v>12</v>
      </c>
      <c r="D546" s="19" t="s">
        <v>75</v>
      </c>
      <c r="E546" s="20" t="n">
        <v>8190</v>
      </c>
      <c r="F546" s="20" t="n">
        <v>0</v>
      </c>
    </row>
    <row r="547" customFormat="false" ht="15" hidden="false" customHeight="false" outlineLevel="0" collapsed="false">
      <c r="A547" s="22" t="n">
        <v>46141</v>
      </c>
      <c r="B547" s="19" t="s">
        <v>50</v>
      </c>
      <c r="C547" s="19" t="s">
        <v>11</v>
      </c>
      <c r="D547" s="19" t="s">
        <v>69</v>
      </c>
      <c r="E547" s="20" t="n">
        <v>8298</v>
      </c>
      <c r="F547" s="20" t="n">
        <v>0</v>
      </c>
    </row>
    <row r="548" customFormat="false" ht="15" hidden="false" customHeight="false" outlineLevel="0" collapsed="false">
      <c r="A548" s="22" t="n">
        <v>46141</v>
      </c>
      <c r="B548" s="19" t="s">
        <v>50</v>
      </c>
      <c r="C548" s="19" t="s">
        <v>13</v>
      </c>
      <c r="D548" s="19" t="s">
        <v>68</v>
      </c>
      <c r="E548" s="20" t="n">
        <v>18252</v>
      </c>
      <c r="F548" s="20" t="n">
        <v>0</v>
      </c>
    </row>
    <row r="549" customFormat="false" ht="15" hidden="false" customHeight="false" outlineLevel="0" collapsed="false">
      <c r="A549" s="22" t="n">
        <v>46142</v>
      </c>
      <c r="B549" s="19" t="s">
        <v>50</v>
      </c>
      <c r="C549" s="19" t="s">
        <v>12</v>
      </c>
      <c r="D549" s="19" t="s">
        <v>58</v>
      </c>
      <c r="E549" s="20" t="n">
        <v>14896</v>
      </c>
      <c r="F549" s="20" t="n">
        <v>65000</v>
      </c>
    </row>
    <row r="550" customFormat="false" ht="15" hidden="false" customHeight="false" outlineLevel="0" collapsed="false">
      <c r="A550" s="22" t="n">
        <v>46142</v>
      </c>
      <c r="B550" s="19" t="s">
        <v>50</v>
      </c>
      <c r="C550" s="19" t="s">
        <v>12</v>
      </c>
      <c r="D550" s="19" t="s">
        <v>72</v>
      </c>
      <c r="E550" s="20" t="n">
        <v>59520</v>
      </c>
      <c r="F550" s="20" t="n">
        <v>355000</v>
      </c>
    </row>
    <row r="551" customFormat="false" ht="15" hidden="false" customHeight="false" outlineLevel="0" collapsed="false">
      <c r="A551" s="22" t="n">
        <v>46142</v>
      </c>
      <c r="B551" s="19" t="s">
        <v>50</v>
      </c>
      <c r="C551" s="19" t="s">
        <v>16</v>
      </c>
      <c r="D551" s="19" t="s">
        <v>59</v>
      </c>
      <c r="E551" s="20" t="n">
        <v>33176</v>
      </c>
      <c r="F551" s="20" t="n">
        <v>0</v>
      </c>
    </row>
    <row r="552" customFormat="false" ht="15" hidden="false" customHeight="false" outlineLevel="0" collapsed="false">
      <c r="A552" s="22" t="n">
        <v>46142</v>
      </c>
      <c r="B552" s="19" t="s">
        <v>50</v>
      </c>
      <c r="C552" s="19" t="s">
        <v>15</v>
      </c>
      <c r="D552" s="19" t="s">
        <v>15</v>
      </c>
      <c r="E552" s="20" t="n">
        <v>17490</v>
      </c>
      <c r="F552" s="20" t="n">
        <v>0</v>
      </c>
    </row>
    <row r="553" customFormat="false" ht="15" hidden="false" customHeight="false" outlineLevel="0" collapsed="false">
      <c r="A553" s="22" t="n">
        <v>46142</v>
      </c>
      <c r="B553" s="19" t="s">
        <v>50</v>
      </c>
      <c r="C553" s="19" t="s">
        <v>11</v>
      </c>
      <c r="D553" s="19" t="s">
        <v>60</v>
      </c>
      <c r="E553" s="20" t="n">
        <v>4076</v>
      </c>
      <c r="F553" s="20" t="n">
        <v>0</v>
      </c>
    </row>
    <row r="554" customFormat="false" ht="15" hidden="false" customHeight="false" outlineLevel="0" collapsed="false">
      <c r="A554" s="22" t="n">
        <v>46142</v>
      </c>
      <c r="B554" s="19" t="s">
        <v>50</v>
      </c>
      <c r="C554" s="19" t="s">
        <v>16</v>
      </c>
      <c r="D554" s="19" t="s">
        <v>74</v>
      </c>
      <c r="E554" s="20" t="n">
        <v>14226</v>
      </c>
      <c r="F554" s="20" t="n">
        <v>0</v>
      </c>
    </row>
    <row r="555" customFormat="false" ht="15" hidden="false" customHeight="false" outlineLevel="0" collapsed="false">
      <c r="A555" s="22" t="n">
        <v>46142</v>
      </c>
      <c r="B555" s="19" t="s">
        <v>50</v>
      </c>
      <c r="C555" s="19" t="s">
        <v>12</v>
      </c>
      <c r="D555" s="19" t="s">
        <v>61</v>
      </c>
      <c r="E555" s="20" t="n">
        <v>2042</v>
      </c>
      <c r="F555" s="20" t="n">
        <v>0</v>
      </c>
    </row>
    <row r="556" customFormat="false" ht="15" hidden="false" customHeight="false" outlineLevel="0" collapsed="false">
      <c r="A556" s="22" t="n">
        <v>46142</v>
      </c>
      <c r="B556" s="19" t="s">
        <v>50</v>
      </c>
      <c r="C556" s="19" t="s">
        <v>11</v>
      </c>
      <c r="D556" s="19" t="s">
        <v>63</v>
      </c>
      <c r="E556" s="20" t="n">
        <v>15713</v>
      </c>
      <c r="F556" s="20" t="n">
        <v>39000</v>
      </c>
    </row>
    <row r="557" customFormat="false" ht="15" hidden="false" customHeight="false" outlineLevel="0" collapsed="false">
      <c r="A557" s="22" t="n">
        <v>46142</v>
      </c>
      <c r="B557" s="19" t="s">
        <v>50</v>
      </c>
      <c r="C557" s="19" t="s">
        <v>13</v>
      </c>
      <c r="D557" s="19" t="s">
        <v>64</v>
      </c>
      <c r="E557" s="20" t="n">
        <v>150616</v>
      </c>
      <c r="F557" s="20" t="n">
        <v>775100</v>
      </c>
    </row>
    <row r="558" customFormat="false" ht="15" hidden="false" customHeight="false" outlineLevel="0" collapsed="false">
      <c r="A558" s="22" t="n">
        <v>46142</v>
      </c>
      <c r="B558" s="19" t="s">
        <v>50</v>
      </c>
      <c r="C558" s="19" t="s">
        <v>12</v>
      </c>
      <c r="D558" s="19" t="s">
        <v>65</v>
      </c>
      <c r="E558" s="20" t="n">
        <v>88611</v>
      </c>
      <c r="F558" s="20" t="n">
        <v>189150</v>
      </c>
    </row>
    <row r="559" customFormat="false" ht="15" hidden="false" customHeight="false" outlineLevel="0" collapsed="false">
      <c r="A559" s="22" t="n">
        <v>46142</v>
      </c>
      <c r="B559" s="19" t="s">
        <v>50</v>
      </c>
      <c r="C559" s="19" t="s">
        <v>15</v>
      </c>
      <c r="D559" s="19" t="s">
        <v>67</v>
      </c>
      <c r="E559" s="20" t="n">
        <v>24694</v>
      </c>
      <c r="F559" s="20" t="n">
        <v>94300</v>
      </c>
    </row>
    <row r="560" customFormat="false" ht="15" hidden="false" customHeight="false" outlineLevel="0" collapsed="false">
      <c r="A560" s="22" t="n">
        <v>46142</v>
      </c>
      <c r="B560" s="19" t="s">
        <v>50</v>
      </c>
      <c r="C560" s="19" t="s">
        <v>12</v>
      </c>
      <c r="D560" s="19" t="s">
        <v>66</v>
      </c>
      <c r="E560" s="20" t="n">
        <v>9875</v>
      </c>
      <c r="F560" s="20" t="n">
        <v>0</v>
      </c>
    </row>
    <row r="561" customFormat="false" ht="15" hidden="false" customHeight="false" outlineLevel="0" collapsed="false">
      <c r="A561" s="22" t="n">
        <v>46142</v>
      </c>
      <c r="B561" s="19" t="s">
        <v>50</v>
      </c>
      <c r="C561" s="19" t="s">
        <v>12</v>
      </c>
      <c r="D561" s="19" t="s">
        <v>75</v>
      </c>
      <c r="E561" s="20" t="n">
        <v>3207</v>
      </c>
      <c r="F561" s="20" t="n">
        <v>0</v>
      </c>
    </row>
    <row r="562" customFormat="false" ht="15" hidden="false" customHeight="false" outlineLevel="0" collapsed="false">
      <c r="A562" s="22" t="n">
        <v>46142</v>
      </c>
      <c r="B562" s="19" t="s">
        <v>50</v>
      </c>
      <c r="C562" s="19" t="s">
        <v>11</v>
      </c>
      <c r="D562" s="19" t="s">
        <v>69</v>
      </c>
      <c r="E562" s="20" t="n">
        <v>12260</v>
      </c>
      <c r="F562" s="20" t="n">
        <v>0</v>
      </c>
    </row>
    <row r="563" customFormat="false" ht="15" hidden="false" customHeight="false" outlineLevel="0" collapsed="false">
      <c r="A563" s="22" t="n">
        <v>46142</v>
      </c>
      <c r="B563" s="19" t="s">
        <v>50</v>
      </c>
      <c r="C563" s="19" t="s">
        <v>13</v>
      </c>
      <c r="D563" s="19" t="s">
        <v>68</v>
      </c>
      <c r="E563" s="20" t="n">
        <v>2013</v>
      </c>
      <c r="F563" s="20" t="n">
        <v>0</v>
      </c>
    </row>
    <row r="564" customFormat="false" ht="15" hidden="false" customHeight="false" outlineLevel="0" collapsed="false">
      <c r="A564" s="22" t="n">
        <v>46143</v>
      </c>
      <c r="B564" s="19" t="s">
        <v>50</v>
      </c>
      <c r="C564" s="19" t="s">
        <v>12</v>
      </c>
      <c r="D564" s="19" t="s">
        <v>58</v>
      </c>
      <c r="E564" s="20" t="n">
        <v>70294</v>
      </c>
      <c r="F564" s="20" t="n">
        <v>70000</v>
      </c>
    </row>
    <row r="565" customFormat="false" ht="15" hidden="false" customHeight="false" outlineLevel="0" collapsed="false">
      <c r="A565" s="22" t="n">
        <v>46143</v>
      </c>
      <c r="B565" s="19" t="s">
        <v>50</v>
      </c>
      <c r="C565" s="19" t="s">
        <v>16</v>
      </c>
      <c r="D565" s="19" t="s">
        <v>59</v>
      </c>
      <c r="E565" s="20" t="n">
        <v>23782</v>
      </c>
      <c r="F565" s="20" t="n">
        <v>99000</v>
      </c>
    </row>
    <row r="566" customFormat="false" ht="15" hidden="false" customHeight="false" outlineLevel="0" collapsed="false">
      <c r="A566" s="22" t="n">
        <v>46143</v>
      </c>
      <c r="B566" s="19" t="s">
        <v>50</v>
      </c>
      <c r="C566" s="19" t="s">
        <v>12</v>
      </c>
      <c r="D566" s="19" t="s">
        <v>72</v>
      </c>
      <c r="E566" s="20" t="n">
        <v>4200</v>
      </c>
      <c r="F566" s="20" t="n">
        <v>0</v>
      </c>
    </row>
    <row r="567" customFormat="false" ht="15" hidden="false" customHeight="false" outlineLevel="0" collapsed="false">
      <c r="A567" s="22" t="n">
        <v>46143</v>
      </c>
      <c r="B567" s="19" t="s">
        <v>50</v>
      </c>
      <c r="C567" s="19" t="s">
        <v>15</v>
      </c>
      <c r="D567" s="19" t="s">
        <v>15</v>
      </c>
      <c r="E567" s="20" t="n">
        <v>36769</v>
      </c>
      <c r="F567" s="20" t="n">
        <v>0</v>
      </c>
    </row>
    <row r="568" customFormat="false" ht="15" hidden="false" customHeight="false" outlineLevel="0" collapsed="false">
      <c r="A568" s="22" t="n">
        <v>46143</v>
      </c>
      <c r="B568" s="19" t="s">
        <v>50</v>
      </c>
      <c r="C568" s="19" t="s">
        <v>11</v>
      </c>
      <c r="D568" s="19" t="s">
        <v>60</v>
      </c>
      <c r="E568" s="20" t="n">
        <v>5925</v>
      </c>
      <c r="F568" s="20" t="n">
        <v>0</v>
      </c>
    </row>
    <row r="569" customFormat="false" ht="15" hidden="false" customHeight="false" outlineLevel="0" collapsed="false">
      <c r="A569" s="22" t="n">
        <v>46143</v>
      </c>
      <c r="B569" s="19" t="s">
        <v>50</v>
      </c>
      <c r="C569" s="19" t="s">
        <v>16</v>
      </c>
      <c r="D569" s="19" t="s">
        <v>74</v>
      </c>
      <c r="E569" s="20" t="n">
        <v>1998</v>
      </c>
      <c r="F569" s="20" t="n">
        <v>0</v>
      </c>
    </row>
    <row r="570" customFormat="false" ht="15" hidden="false" customHeight="false" outlineLevel="0" collapsed="false">
      <c r="A570" s="22" t="n">
        <v>46143</v>
      </c>
      <c r="B570" s="19" t="s">
        <v>50</v>
      </c>
      <c r="C570" s="19" t="s">
        <v>12</v>
      </c>
      <c r="D570" s="19" t="s">
        <v>61</v>
      </c>
      <c r="E570" s="20" t="n">
        <v>396</v>
      </c>
      <c r="F570" s="20" t="n">
        <v>0</v>
      </c>
    </row>
    <row r="571" customFormat="false" ht="15" hidden="false" customHeight="false" outlineLevel="0" collapsed="false">
      <c r="A571" s="22" t="n">
        <v>46143</v>
      </c>
      <c r="B571" s="19" t="s">
        <v>50</v>
      </c>
      <c r="C571" s="19" t="s">
        <v>14</v>
      </c>
      <c r="D571" s="19" t="s">
        <v>73</v>
      </c>
      <c r="E571" s="20" t="n">
        <v>1</v>
      </c>
      <c r="F571" s="20" t="n">
        <v>0</v>
      </c>
    </row>
    <row r="572" customFormat="false" ht="15" hidden="false" customHeight="false" outlineLevel="0" collapsed="false">
      <c r="A572" s="22" t="n">
        <v>46143</v>
      </c>
      <c r="B572" s="19" t="s">
        <v>50</v>
      </c>
      <c r="C572" s="19" t="s">
        <v>14</v>
      </c>
      <c r="D572" s="19" t="s">
        <v>62</v>
      </c>
      <c r="E572" s="20" t="n">
        <v>10911</v>
      </c>
      <c r="F572" s="20" t="n">
        <v>99000</v>
      </c>
    </row>
    <row r="573" customFormat="false" ht="15" hidden="false" customHeight="false" outlineLevel="0" collapsed="false">
      <c r="A573" s="22" t="n">
        <v>46143</v>
      </c>
      <c r="B573" s="19" t="s">
        <v>50</v>
      </c>
      <c r="C573" s="19" t="s">
        <v>11</v>
      </c>
      <c r="D573" s="19" t="s">
        <v>63</v>
      </c>
      <c r="E573" s="20" t="n">
        <v>3712</v>
      </c>
      <c r="F573" s="20" t="n">
        <v>0</v>
      </c>
    </row>
    <row r="574" customFormat="false" ht="15" hidden="false" customHeight="false" outlineLevel="0" collapsed="false">
      <c r="A574" s="22" t="n">
        <v>46143</v>
      </c>
      <c r="B574" s="19" t="s">
        <v>50</v>
      </c>
      <c r="C574" s="19" t="s">
        <v>13</v>
      </c>
      <c r="D574" s="19" t="s">
        <v>64</v>
      </c>
      <c r="E574" s="20" t="n">
        <v>584017</v>
      </c>
      <c r="F574" s="20" t="n">
        <v>3242798</v>
      </c>
    </row>
    <row r="575" customFormat="false" ht="15" hidden="false" customHeight="false" outlineLevel="0" collapsed="false">
      <c r="A575" s="22" t="n">
        <v>46143</v>
      </c>
      <c r="B575" s="19" t="s">
        <v>50</v>
      </c>
      <c r="C575" s="19" t="s">
        <v>15</v>
      </c>
      <c r="D575" s="19" t="s">
        <v>67</v>
      </c>
      <c r="E575" s="20" t="n">
        <v>63254</v>
      </c>
      <c r="F575" s="20" t="n">
        <v>282900</v>
      </c>
    </row>
    <row r="576" customFormat="false" ht="15" hidden="false" customHeight="false" outlineLevel="0" collapsed="false">
      <c r="A576" s="22" t="n">
        <v>46143</v>
      </c>
      <c r="B576" s="19" t="s">
        <v>50</v>
      </c>
      <c r="C576" s="19" t="s">
        <v>11</v>
      </c>
      <c r="D576" s="19" t="s">
        <v>69</v>
      </c>
      <c r="E576" s="20" t="n">
        <v>93935</v>
      </c>
      <c r="F576" s="20" t="n">
        <v>360225</v>
      </c>
    </row>
    <row r="577" customFormat="false" ht="15" hidden="false" customHeight="false" outlineLevel="0" collapsed="false">
      <c r="A577" s="22" t="n">
        <v>46143</v>
      </c>
      <c r="B577" s="19" t="s">
        <v>50</v>
      </c>
      <c r="C577" s="19" t="s">
        <v>12</v>
      </c>
      <c r="D577" s="19" t="s">
        <v>65</v>
      </c>
      <c r="E577" s="20" t="n">
        <v>101762</v>
      </c>
      <c r="F577" s="20" t="n">
        <v>163639</v>
      </c>
    </row>
    <row r="578" customFormat="false" ht="15" hidden="false" customHeight="false" outlineLevel="0" collapsed="false">
      <c r="A578" s="22" t="n">
        <v>46143</v>
      </c>
      <c r="B578" s="19" t="s">
        <v>50</v>
      </c>
      <c r="C578" s="19" t="s">
        <v>12</v>
      </c>
      <c r="D578" s="19" t="s">
        <v>66</v>
      </c>
      <c r="E578" s="20" t="n">
        <v>9234</v>
      </c>
      <c r="F578" s="20" t="n">
        <v>0</v>
      </c>
    </row>
    <row r="579" customFormat="false" ht="15" hidden="false" customHeight="false" outlineLevel="0" collapsed="false">
      <c r="A579" s="22" t="n">
        <v>46143</v>
      </c>
      <c r="B579" s="19" t="s">
        <v>50</v>
      </c>
      <c r="C579" s="19" t="s">
        <v>12</v>
      </c>
      <c r="D579" s="19" t="s">
        <v>75</v>
      </c>
      <c r="E579" s="20" t="n">
        <v>4799</v>
      </c>
      <c r="F579" s="20" t="n">
        <v>0</v>
      </c>
    </row>
    <row r="580" customFormat="false" ht="15" hidden="false" customHeight="false" outlineLevel="0" collapsed="false">
      <c r="A580" s="22" t="n">
        <v>46143</v>
      </c>
      <c r="B580" s="19" t="s">
        <v>50</v>
      </c>
      <c r="C580" s="19" t="s">
        <v>13</v>
      </c>
      <c r="D580" s="19" t="s">
        <v>68</v>
      </c>
      <c r="E580" s="20" t="n">
        <v>17383</v>
      </c>
      <c r="F580" s="20" t="n">
        <v>0</v>
      </c>
    </row>
    <row r="581" customFormat="false" ht="15" hidden="false" customHeight="false" outlineLevel="0" collapsed="false">
      <c r="A581" s="22" t="n">
        <v>46144</v>
      </c>
      <c r="B581" s="19" t="s">
        <v>50</v>
      </c>
      <c r="C581" s="19" t="s">
        <v>12</v>
      </c>
      <c r="D581" s="19" t="s">
        <v>58</v>
      </c>
      <c r="E581" s="20" t="n">
        <v>73160</v>
      </c>
      <c r="F581" s="20" t="n">
        <v>271600</v>
      </c>
    </row>
    <row r="582" customFormat="false" ht="15" hidden="false" customHeight="false" outlineLevel="0" collapsed="false">
      <c r="A582" s="22" t="n">
        <v>46144</v>
      </c>
      <c r="B582" s="19" t="s">
        <v>50</v>
      </c>
      <c r="C582" s="19" t="s">
        <v>16</v>
      </c>
      <c r="D582" s="19" t="s">
        <v>59</v>
      </c>
      <c r="E582" s="20" t="n">
        <v>22233</v>
      </c>
      <c r="F582" s="20" t="n">
        <v>0</v>
      </c>
    </row>
    <row r="583" customFormat="false" ht="15" hidden="false" customHeight="false" outlineLevel="0" collapsed="false">
      <c r="A583" s="22" t="n">
        <v>46144</v>
      </c>
      <c r="B583" s="19" t="s">
        <v>50</v>
      </c>
      <c r="C583" s="19" t="s">
        <v>12</v>
      </c>
      <c r="D583" s="19" t="s">
        <v>72</v>
      </c>
      <c r="E583" s="20" t="n">
        <v>2193</v>
      </c>
      <c r="F583" s="20" t="n">
        <v>0</v>
      </c>
    </row>
    <row r="584" customFormat="false" ht="15" hidden="false" customHeight="false" outlineLevel="0" collapsed="false">
      <c r="A584" s="22" t="n">
        <v>46144</v>
      </c>
      <c r="B584" s="19" t="s">
        <v>50</v>
      </c>
      <c r="C584" s="19" t="s">
        <v>15</v>
      </c>
      <c r="D584" s="19" t="s">
        <v>15</v>
      </c>
      <c r="E584" s="20" t="n">
        <v>61069</v>
      </c>
      <c r="F584" s="20" t="n">
        <v>462350</v>
      </c>
    </row>
    <row r="585" customFormat="false" ht="15" hidden="false" customHeight="false" outlineLevel="0" collapsed="false">
      <c r="A585" s="22" t="n">
        <v>46144</v>
      </c>
      <c r="B585" s="19" t="s">
        <v>50</v>
      </c>
      <c r="C585" s="19" t="s">
        <v>16</v>
      </c>
      <c r="D585" s="19" t="s">
        <v>74</v>
      </c>
      <c r="E585" s="20" t="n">
        <v>160331</v>
      </c>
      <c r="F585" s="20" t="n">
        <v>995001</v>
      </c>
    </row>
    <row r="586" customFormat="false" ht="15" hidden="false" customHeight="false" outlineLevel="0" collapsed="false">
      <c r="A586" s="22" t="n">
        <v>46144</v>
      </c>
      <c r="B586" s="19" t="s">
        <v>50</v>
      </c>
      <c r="C586" s="19" t="s">
        <v>11</v>
      </c>
      <c r="D586" s="19" t="s">
        <v>60</v>
      </c>
      <c r="E586" s="20" t="n">
        <v>24253</v>
      </c>
      <c r="F586" s="20" t="n">
        <v>69000</v>
      </c>
    </row>
    <row r="587" customFormat="false" ht="15" hidden="false" customHeight="false" outlineLevel="0" collapsed="false">
      <c r="A587" s="22" t="n">
        <v>46144</v>
      </c>
      <c r="B587" s="19" t="s">
        <v>50</v>
      </c>
      <c r="C587" s="19" t="s">
        <v>14</v>
      </c>
      <c r="D587" s="19" t="s">
        <v>73</v>
      </c>
      <c r="E587" s="20" t="n">
        <v>71648</v>
      </c>
      <c r="F587" s="20" t="n">
        <v>377427</v>
      </c>
    </row>
    <row r="588" customFormat="false" ht="15" hidden="false" customHeight="false" outlineLevel="0" collapsed="false">
      <c r="A588" s="22" t="n">
        <v>46144</v>
      </c>
      <c r="B588" s="19" t="s">
        <v>50</v>
      </c>
      <c r="C588" s="19" t="s">
        <v>12</v>
      </c>
      <c r="D588" s="19" t="s">
        <v>61</v>
      </c>
      <c r="E588" s="20" t="n">
        <v>7819</v>
      </c>
      <c r="F588" s="20" t="n">
        <v>0</v>
      </c>
    </row>
    <row r="589" customFormat="false" ht="15" hidden="false" customHeight="false" outlineLevel="0" collapsed="false">
      <c r="A589" s="22" t="n">
        <v>46144</v>
      </c>
      <c r="B589" s="19" t="s">
        <v>50</v>
      </c>
      <c r="C589" s="19" t="s">
        <v>11</v>
      </c>
      <c r="D589" s="19" t="s">
        <v>63</v>
      </c>
      <c r="E589" s="20" t="n">
        <v>11434</v>
      </c>
      <c r="F589" s="20" t="n">
        <v>0</v>
      </c>
    </row>
    <row r="590" customFormat="false" ht="15" hidden="false" customHeight="false" outlineLevel="0" collapsed="false">
      <c r="A590" s="22" t="n">
        <v>46144</v>
      </c>
      <c r="B590" s="19" t="s">
        <v>50</v>
      </c>
      <c r="C590" s="19" t="s">
        <v>13</v>
      </c>
      <c r="D590" s="19" t="s">
        <v>64</v>
      </c>
      <c r="E590" s="20" t="n">
        <v>239588</v>
      </c>
      <c r="F590" s="20" t="n">
        <v>842916</v>
      </c>
    </row>
    <row r="591" customFormat="false" ht="15" hidden="false" customHeight="false" outlineLevel="0" collapsed="false">
      <c r="A591" s="22" t="n">
        <v>46144</v>
      </c>
      <c r="B591" s="19" t="s">
        <v>50</v>
      </c>
      <c r="C591" s="19" t="s">
        <v>12</v>
      </c>
      <c r="D591" s="19" t="s">
        <v>65</v>
      </c>
      <c r="E591" s="20" t="n">
        <v>292860</v>
      </c>
      <c r="F591" s="20" t="n">
        <v>1411420</v>
      </c>
    </row>
    <row r="592" customFormat="false" ht="15" hidden="false" customHeight="false" outlineLevel="0" collapsed="false">
      <c r="A592" s="22" t="n">
        <v>46144</v>
      </c>
      <c r="B592" s="19" t="s">
        <v>50</v>
      </c>
      <c r="C592" s="19" t="s">
        <v>15</v>
      </c>
      <c r="D592" s="19" t="s">
        <v>67</v>
      </c>
      <c r="E592" s="20" t="n">
        <v>44899</v>
      </c>
      <c r="F592" s="20" t="n">
        <v>94300</v>
      </c>
    </row>
    <row r="593" customFormat="false" ht="15" hidden="false" customHeight="false" outlineLevel="0" collapsed="false">
      <c r="A593" s="22" t="n">
        <v>46144</v>
      </c>
      <c r="B593" s="19" t="s">
        <v>50</v>
      </c>
      <c r="C593" s="19" t="s">
        <v>12</v>
      </c>
      <c r="D593" s="19" t="s">
        <v>66</v>
      </c>
      <c r="E593" s="20" t="n">
        <v>12070</v>
      </c>
      <c r="F593" s="20" t="n">
        <v>0</v>
      </c>
    </row>
    <row r="594" customFormat="false" ht="15" hidden="false" customHeight="false" outlineLevel="0" collapsed="false">
      <c r="A594" s="22" t="n">
        <v>46144</v>
      </c>
      <c r="B594" s="19" t="s">
        <v>50</v>
      </c>
      <c r="C594" s="19" t="s">
        <v>11</v>
      </c>
      <c r="D594" s="19" t="s">
        <v>69</v>
      </c>
      <c r="E594" s="20" t="n">
        <v>30555</v>
      </c>
      <c r="F594" s="20" t="n">
        <v>94300</v>
      </c>
    </row>
    <row r="595" customFormat="false" ht="15" hidden="false" customHeight="false" outlineLevel="0" collapsed="false">
      <c r="A595" s="22" t="n">
        <v>46144</v>
      </c>
      <c r="B595" s="19" t="s">
        <v>50</v>
      </c>
      <c r="C595" s="19" t="s">
        <v>13</v>
      </c>
      <c r="D595" s="19" t="s">
        <v>68</v>
      </c>
      <c r="E595" s="20" t="n">
        <v>24947</v>
      </c>
      <c r="F595" s="20" t="n">
        <v>130950</v>
      </c>
    </row>
    <row r="596" customFormat="false" ht="15" hidden="false" customHeight="false" outlineLevel="0" collapsed="false">
      <c r="A596" s="22" t="n">
        <v>46144</v>
      </c>
      <c r="B596" s="19" t="s">
        <v>50</v>
      </c>
      <c r="C596" s="19" t="s">
        <v>12</v>
      </c>
      <c r="D596" s="19" t="s">
        <v>75</v>
      </c>
      <c r="E596" s="20" t="n">
        <v>7776</v>
      </c>
      <c r="F596" s="20" t="n">
        <v>0</v>
      </c>
    </row>
    <row r="597" customFormat="false" ht="15" hidden="false" customHeight="false" outlineLevel="0" collapsed="false">
      <c r="A597" s="22" t="n">
        <v>46145</v>
      </c>
      <c r="B597" s="19" t="s">
        <v>50</v>
      </c>
      <c r="C597" s="19" t="s">
        <v>12</v>
      </c>
      <c r="D597" s="19" t="s">
        <v>58</v>
      </c>
      <c r="E597" s="20" t="n">
        <v>99954</v>
      </c>
      <c r="F597" s="20" t="n">
        <v>499800</v>
      </c>
    </row>
    <row r="598" customFormat="false" ht="15" hidden="false" customHeight="false" outlineLevel="0" collapsed="false">
      <c r="A598" s="22" t="n">
        <v>46145</v>
      </c>
      <c r="B598" s="19" t="s">
        <v>50</v>
      </c>
      <c r="C598" s="19" t="s">
        <v>16</v>
      </c>
      <c r="D598" s="19" t="s">
        <v>59</v>
      </c>
      <c r="E598" s="20" t="n">
        <v>20431</v>
      </c>
      <c r="F598" s="20" t="n">
        <v>0</v>
      </c>
    </row>
    <row r="599" customFormat="false" ht="15" hidden="false" customHeight="false" outlineLevel="0" collapsed="false">
      <c r="A599" s="22" t="n">
        <v>46145</v>
      </c>
      <c r="B599" s="19" t="s">
        <v>50</v>
      </c>
      <c r="C599" s="19" t="s">
        <v>12</v>
      </c>
      <c r="D599" s="19" t="s">
        <v>72</v>
      </c>
      <c r="E599" s="20" t="n">
        <v>525</v>
      </c>
      <c r="F599" s="20" t="n">
        <v>0</v>
      </c>
    </row>
    <row r="600" customFormat="false" ht="15" hidden="false" customHeight="false" outlineLevel="0" collapsed="false">
      <c r="A600" s="22" t="n">
        <v>46145</v>
      </c>
      <c r="B600" s="19" t="s">
        <v>50</v>
      </c>
      <c r="C600" s="19" t="s">
        <v>11</v>
      </c>
      <c r="D600" s="19" t="s">
        <v>60</v>
      </c>
      <c r="E600" s="20" t="n">
        <v>54695</v>
      </c>
      <c r="F600" s="20" t="n">
        <v>246000</v>
      </c>
    </row>
    <row r="601" customFormat="false" ht="15" hidden="false" customHeight="false" outlineLevel="0" collapsed="false">
      <c r="A601" s="22" t="n">
        <v>46145</v>
      </c>
      <c r="B601" s="19" t="s">
        <v>50</v>
      </c>
      <c r="C601" s="19" t="s">
        <v>16</v>
      </c>
      <c r="D601" s="19" t="s">
        <v>74</v>
      </c>
      <c r="E601" s="20" t="n">
        <v>54689</v>
      </c>
      <c r="F601" s="20" t="n">
        <v>270000</v>
      </c>
    </row>
    <row r="602" customFormat="false" ht="15" hidden="false" customHeight="false" outlineLevel="0" collapsed="false">
      <c r="A602" s="22" t="n">
        <v>46145</v>
      </c>
      <c r="B602" s="19" t="s">
        <v>50</v>
      </c>
      <c r="C602" s="19" t="s">
        <v>14</v>
      </c>
      <c r="D602" s="19" t="s">
        <v>73</v>
      </c>
      <c r="E602" s="20" t="n">
        <v>4329</v>
      </c>
      <c r="F602" s="20" t="n">
        <v>0</v>
      </c>
    </row>
    <row r="603" customFormat="false" ht="15" hidden="false" customHeight="false" outlineLevel="0" collapsed="false">
      <c r="A603" s="22" t="n">
        <v>46145</v>
      </c>
      <c r="B603" s="19" t="s">
        <v>50</v>
      </c>
      <c r="C603" s="19" t="s">
        <v>15</v>
      </c>
      <c r="D603" s="19" t="s">
        <v>15</v>
      </c>
      <c r="E603" s="20" t="n">
        <v>1005</v>
      </c>
      <c r="F603" s="20" t="n">
        <v>0</v>
      </c>
    </row>
    <row r="604" customFormat="false" ht="15" hidden="false" customHeight="false" outlineLevel="0" collapsed="false">
      <c r="A604" s="22" t="n">
        <v>46145</v>
      </c>
      <c r="B604" s="19" t="s">
        <v>50</v>
      </c>
      <c r="C604" s="19" t="s">
        <v>12</v>
      </c>
      <c r="D604" s="19" t="s">
        <v>61</v>
      </c>
      <c r="E604" s="20" t="n">
        <v>13805</v>
      </c>
      <c r="F604" s="20" t="n">
        <v>0</v>
      </c>
    </row>
    <row r="605" customFormat="false" ht="15" hidden="false" customHeight="false" outlineLevel="0" collapsed="false">
      <c r="A605" s="22" t="n">
        <v>46145</v>
      </c>
      <c r="B605" s="19" t="s">
        <v>50</v>
      </c>
      <c r="C605" s="19" t="s">
        <v>11</v>
      </c>
      <c r="D605" s="19" t="s">
        <v>63</v>
      </c>
      <c r="E605" s="20" t="n">
        <v>7754</v>
      </c>
      <c r="F605" s="20" t="n">
        <v>39000</v>
      </c>
    </row>
    <row r="606" customFormat="false" ht="15" hidden="false" customHeight="false" outlineLevel="0" collapsed="false">
      <c r="A606" s="22" t="n">
        <v>46145</v>
      </c>
      <c r="B606" s="19" t="s">
        <v>50</v>
      </c>
      <c r="C606" s="19" t="s">
        <v>13</v>
      </c>
      <c r="D606" s="19" t="s">
        <v>64</v>
      </c>
      <c r="E606" s="20" t="n">
        <v>278661</v>
      </c>
      <c r="F606" s="20" t="n">
        <v>1410412</v>
      </c>
    </row>
    <row r="607" customFormat="false" ht="15" hidden="false" customHeight="false" outlineLevel="0" collapsed="false">
      <c r="A607" s="22" t="n">
        <v>46145</v>
      </c>
      <c r="B607" s="19" t="s">
        <v>50</v>
      </c>
      <c r="C607" s="19" t="s">
        <v>12</v>
      </c>
      <c r="D607" s="19" t="s">
        <v>65</v>
      </c>
      <c r="E607" s="20" t="n">
        <v>296190</v>
      </c>
      <c r="F607" s="20" t="n">
        <v>1990562</v>
      </c>
    </row>
    <row r="608" customFormat="false" ht="15" hidden="false" customHeight="false" outlineLevel="0" collapsed="false">
      <c r="A608" s="22" t="n">
        <v>46145</v>
      </c>
      <c r="B608" s="19" t="s">
        <v>50</v>
      </c>
      <c r="C608" s="19" t="s">
        <v>12</v>
      </c>
      <c r="D608" s="19" t="s">
        <v>66</v>
      </c>
      <c r="E608" s="20" t="n">
        <v>38604</v>
      </c>
      <c r="F608" s="20" t="n">
        <v>297000</v>
      </c>
    </row>
    <row r="609" customFormat="false" ht="15" hidden="false" customHeight="false" outlineLevel="0" collapsed="false">
      <c r="A609" s="22" t="n">
        <v>46145</v>
      </c>
      <c r="B609" s="19" t="s">
        <v>50</v>
      </c>
      <c r="C609" s="19" t="s">
        <v>12</v>
      </c>
      <c r="D609" s="19" t="s">
        <v>75</v>
      </c>
      <c r="E609" s="20" t="n">
        <v>7162</v>
      </c>
      <c r="F609" s="20" t="n">
        <v>0</v>
      </c>
    </row>
    <row r="610" customFormat="false" ht="15" hidden="false" customHeight="false" outlineLevel="0" collapsed="false">
      <c r="A610" s="22" t="n">
        <v>46145</v>
      </c>
      <c r="B610" s="19" t="s">
        <v>50</v>
      </c>
      <c r="C610" s="19" t="s">
        <v>11</v>
      </c>
      <c r="D610" s="19" t="s">
        <v>69</v>
      </c>
      <c r="E610" s="20" t="n">
        <v>28521</v>
      </c>
      <c r="F610" s="20" t="n">
        <v>94300</v>
      </c>
    </row>
    <row r="611" customFormat="false" ht="15" hidden="false" customHeight="false" outlineLevel="0" collapsed="false">
      <c r="A611" s="22" t="n">
        <v>46145</v>
      </c>
      <c r="B611" s="19" t="s">
        <v>50</v>
      </c>
      <c r="C611" s="19" t="s">
        <v>15</v>
      </c>
      <c r="D611" s="19" t="s">
        <v>67</v>
      </c>
      <c r="E611" s="20" t="n">
        <v>10752</v>
      </c>
      <c r="F611" s="20" t="n">
        <v>0</v>
      </c>
    </row>
    <row r="612" customFormat="false" ht="15" hidden="false" customHeight="false" outlineLevel="0" collapsed="false">
      <c r="A612" s="22" t="n">
        <v>46145</v>
      </c>
      <c r="B612" s="19" t="s">
        <v>50</v>
      </c>
      <c r="C612" s="19" t="s">
        <v>13</v>
      </c>
      <c r="D612" s="19" t="s">
        <v>68</v>
      </c>
      <c r="E612" s="20" t="n">
        <v>3253</v>
      </c>
      <c r="F612" s="20" t="n">
        <v>0</v>
      </c>
    </row>
    <row r="613" customFormat="false" ht="15" hidden="false" customHeight="false" outlineLevel="0" collapsed="false">
      <c r="A613" s="22" t="n">
        <v>46146</v>
      </c>
      <c r="B613" s="19" t="s">
        <v>50</v>
      </c>
      <c r="C613" s="19" t="s">
        <v>16</v>
      </c>
      <c r="D613" s="19" t="s">
        <v>59</v>
      </c>
      <c r="E613" s="20" t="n">
        <v>137618</v>
      </c>
      <c r="F613" s="20" t="n">
        <v>196000</v>
      </c>
    </row>
    <row r="614" customFormat="false" ht="15" hidden="false" customHeight="false" outlineLevel="0" collapsed="false">
      <c r="A614" s="22" t="n">
        <v>46146</v>
      </c>
      <c r="B614" s="19" t="s">
        <v>50</v>
      </c>
      <c r="C614" s="19" t="s">
        <v>12</v>
      </c>
      <c r="D614" s="19" t="s">
        <v>58</v>
      </c>
      <c r="E614" s="20" t="n">
        <v>26223</v>
      </c>
      <c r="F614" s="20" t="n">
        <v>0</v>
      </c>
    </row>
    <row r="615" customFormat="false" ht="15" hidden="false" customHeight="false" outlineLevel="0" collapsed="false">
      <c r="A615" s="22" t="n">
        <v>46146</v>
      </c>
      <c r="B615" s="19" t="s">
        <v>50</v>
      </c>
      <c r="C615" s="19" t="s">
        <v>12</v>
      </c>
      <c r="D615" s="19" t="s">
        <v>72</v>
      </c>
      <c r="E615" s="20" t="n">
        <v>966</v>
      </c>
      <c r="F615" s="20" t="n">
        <v>0</v>
      </c>
    </row>
    <row r="616" customFormat="false" ht="15" hidden="false" customHeight="false" outlineLevel="0" collapsed="false">
      <c r="A616" s="22" t="n">
        <v>46146</v>
      </c>
      <c r="B616" s="19" t="s">
        <v>50</v>
      </c>
      <c r="C616" s="19" t="s">
        <v>11</v>
      </c>
      <c r="D616" s="19" t="s">
        <v>60</v>
      </c>
      <c r="E616" s="20" t="n">
        <v>108104</v>
      </c>
      <c r="F616" s="20" t="n">
        <v>525390</v>
      </c>
    </row>
    <row r="617" customFormat="false" ht="15" hidden="false" customHeight="false" outlineLevel="0" collapsed="false">
      <c r="A617" s="22" t="n">
        <v>46146</v>
      </c>
      <c r="B617" s="19" t="s">
        <v>50</v>
      </c>
      <c r="C617" s="19" t="s">
        <v>16</v>
      </c>
      <c r="D617" s="19" t="s">
        <v>74</v>
      </c>
      <c r="E617" s="20" t="n">
        <v>209573</v>
      </c>
      <c r="F617" s="20" t="n">
        <v>1123873</v>
      </c>
    </row>
    <row r="618" customFormat="false" ht="15" hidden="false" customHeight="false" outlineLevel="0" collapsed="false">
      <c r="A618" s="22" t="n">
        <v>46146</v>
      </c>
      <c r="B618" s="19" t="s">
        <v>50</v>
      </c>
      <c r="C618" s="19" t="s">
        <v>15</v>
      </c>
      <c r="D618" s="19" t="s">
        <v>15</v>
      </c>
      <c r="E618" s="20" t="n">
        <v>1683</v>
      </c>
      <c r="F618" s="20" t="n">
        <v>0</v>
      </c>
    </row>
    <row r="619" customFormat="false" ht="15" hidden="false" customHeight="false" outlineLevel="0" collapsed="false">
      <c r="A619" s="22" t="n">
        <v>46146</v>
      </c>
      <c r="B619" s="19" t="s">
        <v>50</v>
      </c>
      <c r="C619" s="19" t="s">
        <v>14</v>
      </c>
      <c r="D619" s="19" t="s">
        <v>73</v>
      </c>
      <c r="E619" s="20" t="n">
        <v>222</v>
      </c>
      <c r="F619" s="20" t="n">
        <v>0</v>
      </c>
    </row>
    <row r="620" customFormat="false" ht="15" hidden="false" customHeight="false" outlineLevel="0" collapsed="false">
      <c r="A620" s="22" t="n">
        <v>46146</v>
      </c>
      <c r="B620" s="19" t="s">
        <v>50</v>
      </c>
      <c r="C620" s="19" t="s">
        <v>12</v>
      </c>
      <c r="D620" s="19" t="s">
        <v>61</v>
      </c>
      <c r="E620" s="20" t="n">
        <v>4264</v>
      </c>
      <c r="F620" s="20" t="n">
        <v>0</v>
      </c>
    </row>
    <row r="621" customFormat="false" ht="15" hidden="false" customHeight="false" outlineLevel="0" collapsed="false">
      <c r="A621" s="22" t="n">
        <v>46146</v>
      </c>
      <c r="B621" s="19" t="s">
        <v>50</v>
      </c>
      <c r="C621" s="19" t="s">
        <v>11</v>
      </c>
      <c r="D621" s="19" t="s">
        <v>63</v>
      </c>
      <c r="E621" s="20" t="n">
        <v>2310</v>
      </c>
      <c r="F621" s="20" t="n">
        <v>0</v>
      </c>
    </row>
    <row r="622" customFormat="false" ht="15" hidden="false" customHeight="false" outlineLevel="0" collapsed="false">
      <c r="A622" s="22" t="n">
        <v>46146</v>
      </c>
      <c r="B622" s="19" t="s">
        <v>50</v>
      </c>
      <c r="C622" s="19" t="s">
        <v>13</v>
      </c>
      <c r="D622" s="19" t="s">
        <v>64</v>
      </c>
      <c r="E622" s="20" t="n">
        <v>332007</v>
      </c>
      <c r="F622" s="20" t="n">
        <v>2096542</v>
      </c>
    </row>
    <row r="623" customFormat="false" ht="15" hidden="false" customHeight="false" outlineLevel="0" collapsed="false">
      <c r="A623" s="22" t="n">
        <v>46146</v>
      </c>
      <c r="B623" s="19" t="s">
        <v>50</v>
      </c>
      <c r="C623" s="19" t="s">
        <v>12</v>
      </c>
      <c r="D623" s="19" t="s">
        <v>65</v>
      </c>
      <c r="E623" s="20" t="n">
        <v>252687</v>
      </c>
      <c r="F623" s="20" t="n">
        <v>1152806</v>
      </c>
    </row>
    <row r="624" customFormat="false" ht="15" hidden="false" customHeight="false" outlineLevel="0" collapsed="false">
      <c r="A624" s="22" t="n">
        <v>46146</v>
      </c>
      <c r="B624" s="19" t="s">
        <v>50</v>
      </c>
      <c r="C624" s="19" t="s">
        <v>12</v>
      </c>
      <c r="D624" s="19" t="s">
        <v>66</v>
      </c>
      <c r="E624" s="20" t="n">
        <v>70823</v>
      </c>
      <c r="F624" s="20" t="n">
        <v>328950</v>
      </c>
    </row>
    <row r="625" customFormat="false" ht="15" hidden="false" customHeight="false" outlineLevel="0" collapsed="false">
      <c r="A625" s="22" t="n">
        <v>46146</v>
      </c>
      <c r="B625" s="19" t="s">
        <v>50</v>
      </c>
      <c r="C625" s="19" t="s">
        <v>15</v>
      </c>
      <c r="D625" s="19" t="s">
        <v>67</v>
      </c>
      <c r="E625" s="20" t="n">
        <v>7919</v>
      </c>
      <c r="F625" s="20" t="n">
        <v>0</v>
      </c>
    </row>
    <row r="626" customFormat="false" ht="15" hidden="false" customHeight="false" outlineLevel="0" collapsed="false">
      <c r="A626" s="22" t="n">
        <v>46146</v>
      </c>
      <c r="B626" s="19" t="s">
        <v>50</v>
      </c>
      <c r="C626" s="19" t="s">
        <v>11</v>
      </c>
      <c r="D626" s="19" t="s">
        <v>69</v>
      </c>
      <c r="E626" s="20" t="n">
        <v>9062</v>
      </c>
      <c r="F626" s="20" t="n">
        <v>0</v>
      </c>
    </row>
    <row r="627" customFormat="false" ht="15" hidden="false" customHeight="false" outlineLevel="0" collapsed="false">
      <c r="A627" s="22" t="n">
        <v>46146</v>
      </c>
      <c r="B627" s="19" t="s">
        <v>50</v>
      </c>
      <c r="C627" s="19" t="s">
        <v>13</v>
      </c>
      <c r="D627" s="19" t="s">
        <v>68</v>
      </c>
      <c r="E627" s="20" t="n">
        <v>40649</v>
      </c>
      <c r="F627" s="20" t="n">
        <v>370866</v>
      </c>
    </row>
    <row r="628" customFormat="false" ht="15" hidden="false" customHeight="false" outlineLevel="0" collapsed="false">
      <c r="A628" s="22" t="n">
        <v>46146</v>
      </c>
      <c r="B628" s="19" t="s">
        <v>50</v>
      </c>
      <c r="C628" s="19" t="s">
        <v>12</v>
      </c>
      <c r="D628" s="19" t="s">
        <v>75</v>
      </c>
      <c r="E628" s="20" t="n">
        <v>18294</v>
      </c>
      <c r="F628" s="20" t="n">
        <v>0</v>
      </c>
    </row>
    <row r="629" customFormat="false" ht="15" hidden="false" customHeight="false" outlineLevel="0" collapsed="false">
      <c r="A629" s="22" t="n">
        <v>46147</v>
      </c>
      <c r="B629" s="19" t="s">
        <v>50</v>
      </c>
      <c r="C629" s="19" t="s">
        <v>16</v>
      </c>
      <c r="D629" s="19" t="s">
        <v>59</v>
      </c>
      <c r="E629" s="20" t="n">
        <v>36796</v>
      </c>
      <c r="F629" s="20" t="n">
        <v>99000</v>
      </c>
    </row>
    <row r="630" customFormat="false" ht="15" hidden="false" customHeight="false" outlineLevel="0" collapsed="false">
      <c r="A630" s="22" t="n">
        <v>46147</v>
      </c>
      <c r="B630" s="19" t="s">
        <v>50</v>
      </c>
      <c r="C630" s="19" t="s">
        <v>12</v>
      </c>
      <c r="D630" s="19" t="s">
        <v>58</v>
      </c>
      <c r="E630" s="20" t="n">
        <v>100000</v>
      </c>
      <c r="F630" s="20" t="n">
        <v>773638</v>
      </c>
    </row>
    <row r="631" customFormat="false" ht="15" hidden="false" customHeight="false" outlineLevel="0" collapsed="false">
      <c r="A631" s="22" t="n">
        <v>46147</v>
      </c>
      <c r="B631" s="19" t="s">
        <v>50</v>
      </c>
      <c r="C631" s="19" t="s">
        <v>12</v>
      </c>
      <c r="D631" s="19" t="s">
        <v>72</v>
      </c>
      <c r="E631" s="20" t="n">
        <v>74218</v>
      </c>
      <c r="F631" s="20" t="n">
        <v>293977</v>
      </c>
    </row>
    <row r="632" customFormat="false" ht="15" hidden="false" customHeight="false" outlineLevel="0" collapsed="false">
      <c r="A632" s="22" t="n">
        <v>46147</v>
      </c>
      <c r="B632" s="19" t="s">
        <v>50</v>
      </c>
      <c r="C632" s="19" t="s">
        <v>11</v>
      </c>
      <c r="D632" s="19" t="s">
        <v>60</v>
      </c>
      <c r="E632" s="20" t="n">
        <v>108963</v>
      </c>
      <c r="F632" s="20" t="n">
        <v>499017</v>
      </c>
    </row>
    <row r="633" customFormat="false" ht="15" hidden="false" customHeight="false" outlineLevel="0" collapsed="false">
      <c r="A633" s="22" t="n">
        <v>46147</v>
      </c>
      <c r="B633" s="19" t="s">
        <v>50</v>
      </c>
      <c r="C633" s="19" t="s">
        <v>16</v>
      </c>
      <c r="D633" s="19" t="s">
        <v>74</v>
      </c>
      <c r="E633" s="20" t="n">
        <v>88741</v>
      </c>
      <c r="F633" s="20" t="n">
        <v>291329</v>
      </c>
    </row>
    <row r="634" customFormat="false" ht="15" hidden="false" customHeight="false" outlineLevel="0" collapsed="false">
      <c r="A634" s="22" t="n">
        <v>46147</v>
      </c>
      <c r="B634" s="19" t="s">
        <v>50</v>
      </c>
      <c r="C634" s="19" t="s">
        <v>15</v>
      </c>
      <c r="D634" s="19" t="s">
        <v>15</v>
      </c>
      <c r="E634" s="20" t="n">
        <v>12221</v>
      </c>
      <c r="F634" s="20" t="n">
        <v>177940</v>
      </c>
    </row>
    <row r="635" customFormat="false" ht="15" hidden="false" customHeight="false" outlineLevel="0" collapsed="false">
      <c r="A635" s="22" t="n">
        <v>46147</v>
      </c>
      <c r="B635" s="19" t="s">
        <v>50</v>
      </c>
      <c r="C635" s="19" t="s">
        <v>14</v>
      </c>
      <c r="D635" s="19" t="s">
        <v>73</v>
      </c>
      <c r="E635" s="20" t="n">
        <v>2608</v>
      </c>
      <c r="F635" s="20" t="n">
        <v>0</v>
      </c>
    </row>
    <row r="636" customFormat="false" ht="15" hidden="false" customHeight="false" outlineLevel="0" collapsed="false">
      <c r="A636" s="22" t="n">
        <v>46147</v>
      </c>
      <c r="B636" s="19" t="s">
        <v>50</v>
      </c>
      <c r="C636" s="19" t="s">
        <v>14</v>
      </c>
      <c r="D636" s="19" t="s">
        <v>62</v>
      </c>
      <c r="E636" s="20" t="n">
        <v>365</v>
      </c>
      <c r="F636" s="20" t="n">
        <v>363699</v>
      </c>
    </row>
    <row r="637" customFormat="false" ht="15" hidden="false" customHeight="false" outlineLevel="0" collapsed="false">
      <c r="A637" s="22" t="n">
        <v>46147</v>
      </c>
      <c r="B637" s="19" t="s">
        <v>50</v>
      </c>
      <c r="C637" s="19" t="s">
        <v>11</v>
      </c>
      <c r="D637" s="19" t="s">
        <v>63</v>
      </c>
      <c r="E637" s="20" t="n">
        <v>90365</v>
      </c>
      <c r="F637" s="20" t="n">
        <v>467359</v>
      </c>
    </row>
    <row r="638" customFormat="false" ht="15" hidden="false" customHeight="false" outlineLevel="0" collapsed="false">
      <c r="A638" s="22" t="n">
        <v>46147</v>
      </c>
      <c r="B638" s="19" t="s">
        <v>50</v>
      </c>
      <c r="C638" s="19" t="s">
        <v>13</v>
      </c>
      <c r="D638" s="19" t="s">
        <v>64</v>
      </c>
      <c r="E638" s="20" t="n">
        <v>1100000</v>
      </c>
      <c r="F638" s="20" t="n">
        <v>7027049</v>
      </c>
    </row>
    <row r="639" customFormat="false" ht="15" hidden="false" customHeight="false" outlineLevel="0" collapsed="false">
      <c r="A639" s="22" t="n">
        <v>46147</v>
      </c>
      <c r="B639" s="19" t="s">
        <v>50</v>
      </c>
      <c r="C639" s="19" t="s">
        <v>12</v>
      </c>
      <c r="D639" s="19" t="s">
        <v>65</v>
      </c>
      <c r="E639" s="20" t="n">
        <v>462779</v>
      </c>
      <c r="F639" s="20" t="n">
        <v>1925562</v>
      </c>
    </row>
    <row r="640" customFormat="false" ht="15" hidden="false" customHeight="false" outlineLevel="0" collapsed="false">
      <c r="A640" s="22" t="n">
        <v>46147</v>
      </c>
      <c r="B640" s="19" t="s">
        <v>50</v>
      </c>
      <c r="C640" s="19" t="s">
        <v>11</v>
      </c>
      <c r="D640" s="19" t="s">
        <v>69</v>
      </c>
      <c r="E640" s="20" t="n">
        <v>187954</v>
      </c>
      <c r="F640" s="20" t="n">
        <v>656810</v>
      </c>
    </row>
    <row r="641" customFormat="false" ht="15" hidden="false" customHeight="false" outlineLevel="0" collapsed="false">
      <c r="A641" s="22" t="n">
        <v>46147</v>
      </c>
      <c r="B641" s="19" t="s">
        <v>50</v>
      </c>
      <c r="C641" s="19" t="s">
        <v>15</v>
      </c>
      <c r="D641" s="19" t="s">
        <v>67</v>
      </c>
      <c r="E641" s="20" t="n">
        <v>28643</v>
      </c>
      <c r="F641" s="20" t="n">
        <v>88076</v>
      </c>
    </row>
    <row r="642" customFormat="false" ht="15" hidden="false" customHeight="false" outlineLevel="0" collapsed="false">
      <c r="A642" s="22" t="n">
        <v>46148</v>
      </c>
      <c r="B642" s="19" t="s">
        <v>50</v>
      </c>
      <c r="C642" s="19" t="s">
        <v>16</v>
      </c>
      <c r="D642" s="19" t="s">
        <v>59</v>
      </c>
      <c r="E642" s="20" t="n">
        <v>252510</v>
      </c>
      <c r="F642" s="20" t="n">
        <v>1420750</v>
      </c>
    </row>
    <row r="643" customFormat="false" ht="15" hidden="false" customHeight="false" outlineLevel="0" collapsed="false">
      <c r="A643" s="22" t="n">
        <v>46148</v>
      </c>
      <c r="B643" s="19" t="s">
        <v>50</v>
      </c>
      <c r="C643" s="19" t="s">
        <v>12</v>
      </c>
      <c r="D643" s="19" t="s">
        <v>58</v>
      </c>
      <c r="E643" s="20" t="n">
        <v>106802</v>
      </c>
      <c r="F643" s="20" t="n">
        <v>500033</v>
      </c>
    </row>
    <row r="644" customFormat="false" ht="15" hidden="false" customHeight="false" outlineLevel="0" collapsed="false">
      <c r="A644" s="22" t="n">
        <v>46148</v>
      </c>
      <c r="B644" s="19" t="s">
        <v>50</v>
      </c>
      <c r="C644" s="19" t="s">
        <v>12</v>
      </c>
      <c r="D644" s="19" t="s">
        <v>72</v>
      </c>
      <c r="E644" s="20" t="n">
        <v>374</v>
      </c>
      <c r="F644" s="20" t="n">
        <v>0</v>
      </c>
    </row>
    <row r="645" customFormat="false" ht="15" hidden="false" customHeight="false" outlineLevel="0" collapsed="false">
      <c r="A645" s="22" t="n">
        <v>46148</v>
      </c>
      <c r="B645" s="19" t="s">
        <v>50</v>
      </c>
      <c r="C645" s="19" t="s">
        <v>11</v>
      </c>
      <c r="D645" s="19" t="s">
        <v>60</v>
      </c>
      <c r="E645" s="20" t="n">
        <v>79074</v>
      </c>
      <c r="F645" s="20" t="n">
        <v>388821</v>
      </c>
    </row>
    <row r="646" customFormat="false" ht="15" hidden="false" customHeight="false" outlineLevel="0" collapsed="false">
      <c r="A646" s="22" t="n">
        <v>46148</v>
      </c>
      <c r="B646" s="19" t="s">
        <v>50</v>
      </c>
      <c r="C646" s="19" t="s">
        <v>16</v>
      </c>
      <c r="D646" s="19" t="s">
        <v>74</v>
      </c>
      <c r="E646" s="20" t="n">
        <v>58602</v>
      </c>
      <c r="F646" s="20" t="n">
        <v>218832</v>
      </c>
    </row>
    <row r="647" customFormat="false" ht="15" hidden="false" customHeight="false" outlineLevel="0" collapsed="false">
      <c r="A647" s="22" t="n">
        <v>46148</v>
      </c>
      <c r="B647" s="19" t="s">
        <v>50</v>
      </c>
      <c r="C647" s="19" t="s">
        <v>15</v>
      </c>
      <c r="D647" s="19" t="s">
        <v>15</v>
      </c>
      <c r="E647" s="20" t="n">
        <v>9253</v>
      </c>
      <c r="F647" s="20" t="n">
        <v>94300</v>
      </c>
    </row>
    <row r="648" customFormat="false" ht="15" hidden="false" customHeight="false" outlineLevel="0" collapsed="false">
      <c r="A648" s="22" t="n">
        <v>46148</v>
      </c>
      <c r="B648" s="19" t="s">
        <v>50</v>
      </c>
      <c r="C648" s="19" t="s">
        <v>14</v>
      </c>
      <c r="D648" s="19" t="s">
        <v>62</v>
      </c>
      <c r="E648" s="20" t="n">
        <v>32086</v>
      </c>
      <c r="F648" s="20" t="n">
        <v>0</v>
      </c>
    </row>
    <row r="649" customFormat="false" ht="15" hidden="false" customHeight="false" outlineLevel="0" collapsed="false">
      <c r="A649" s="22" t="n">
        <v>46148</v>
      </c>
      <c r="B649" s="19" t="s">
        <v>50</v>
      </c>
      <c r="C649" s="19" t="s">
        <v>14</v>
      </c>
      <c r="D649" s="19" t="s">
        <v>73</v>
      </c>
      <c r="E649" s="20" t="n">
        <v>32213</v>
      </c>
      <c r="F649" s="20" t="n">
        <v>99000</v>
      </c>
    </row>
    <row r="650" customFormat="false" ht="15" hidden="false" customHeight="false" outlineLevel="0" collapsed="false">
      <c r="A650" s="22" t="n">
        <v>46148</v>
      </c>
      <c r="B650" s="19" t="s">
        <v>50</v>
      </c>
      <c r="C650" s="19" t="s">
        <v>11</v>
      </c>
      <c r="D650" s="19" t="s">
        <v>63</v>
      </c>
      <c r="E650" s="20" t="n">
        <v>19308</v>
      </c>
      <c r="F650" s="20" t="n">
        <v>78000</v>
      </c>
    </row>
    <row r="651" customFormat="false" ht="15" hidden="false" customHeight="false" outlineLevel="0" collapsed="false">
      <c r="A651" s="22" t="n">
        <v>46148</v>
      </c>
      <c r="B651" s="19" t="s">
        <v>50</v>
      </c>
      <c r="C651" s="19" t="s">
        <v>13</v>
      </c>
      <c r="D651" s="19" t="s">
        <v>64</v>
      </c>
      <c r="E651" s="20" t="n">
        <v>388030</v>
      </c>
      <c r="F651" s="20" t="n">
        <v>1860932</v>
      </c>
    </row>
    <row r="652" customFormat="false" ht="15" hidden="false" customHeight="false" outlineLevel="0" collapsed="false">
      <c r="A652" s="22" t="n">
        <v>46148</v>
      </c>
      <c r="B652" s="19" t="s">
        <v>50</v>
      </c>
      <c r="C652" s="19" t="s">
        <v>15</v>
      </c>
      <c r="D652" s="19" t="s">
        <v>67</v>
      </c>
      <c r="E652" s="20" t="n">
        <v>28369</v>
      </c>
      <c r="F652" s="20" t="n">
        <v>94300</v>
      </c>
    </row>
    <row r="653" customFormat="false" ht="15" hidden="false" customHeight="false" outlineLevel="0" collapsed="false">
      <c r="A653" s="22" t="n">
        <v>46148</v>
      </c>
      <c r="B653" s="19" t="s">
        <v>50</v>
      </c>
      <c r="C653" s="19" t="s">
        <v>12</v>
      </c>
      <c r="D653" s="19" t="s">
        <v>65</v>
      </c>
      <c r="E653" s="20" t="n">
        <v>46069</v>
      </c>
      <c r="F653" s="20" t="n">
        <v>0</v>
      </c>
    </row>
    <row r="654" customFormat="false" ht="15" hidden="false" customHeight="false" outlineLevel="0" collapsed="false">
      <c r="A654" s="22" t="n">
        <v>46148</v>
      </c>
      <c r="B654" s="19" t="s">
        <v>50</v>
      </c>
      <c r="C654" s="19" t="s">
        <v>11</v>
      </c>
      <c r="D654" s="19" t="s">
        <v>69</v>
      </c>
      <c r="E654" s="20" t="n">
        <v>13897</v>
      </c>
      <c r="F654" s="20" t="n">
        <v>0</v>
      </c>
    </row>
    <row r="655" customFormat="false" ht="15" hidden="false" customHeight="false" outlineLevel="0" collapsed="false">
      <c r="A655" s="22" t="n">
        <v>46149</v>
      </c>
      <c r="B655" s="19" t="s">
        <v>50</v>
      </c>
      <c r="C655" s="19" t="s">
        <v>16</v>
      </c>
      <c r="D655" s="19" t="s">
        <v>59</v>
      </c>
      <c r="E655" s="20" t="n">
        <v>132838</v>
      </c>
      <c r="F655" s="20" t="n">
        <v>99000</v>
      </c>
    </row>
    <row r="656" customFormat="false" ht="15" hidden="false" customHeight="false" outlineLevel="0" collapsed="false">
      <c r="A656" s="22" t="n">
        <v>46149</v>
      </c>
      <c r="B656" s="19" t="s">
        <v>50</v>
      </c>
      <c r="C656" s="19" t="s">
        <v>12</v>
      </c>
      <c r="D656" s="19" t="s">
        <v>58</v>
      </c>
      <c r="E656" s="20" t="n">
        <v>99477</v>
      </c>
      <c r="F656" s="20" t="n">
        <v>346330</v>
      </c>
    </row>
    <row r="657" customFormat="false" ht="15" hidden="false" customHeight="false" outlineLevel="0" collapsed="false">
      <c r="A657" s="22" t="n">
        <v>46149</v>
      </c>
      <c r="B657" s="19" t="s">
        <v>50</v>
      </c>
      <c r="C657" s="19" t="s">
        <v>12</v>
      </c>
      <c r="D657" s="19" t="s">
        <v>72</v>
      </c>
      <c r="E657" s="20" t="n">
        <v>840</v>
      </c>
      <c r="F657" s="20" t="n">
        <v>0</v>
      </c>
    </row>
    <row r="658" customFormat="false" ht="15" hidden="false" customHeight="false" outlineLevel="0" collapsed="false">
      <c r="A658" s="22" t="n">
        <v>46149</v>
      </c>
      <c r="B658" s="19" t="s">
        <v>50</v>
      </c>
      <c r="C658" s="19" t="s">
        <v>11</v>
      </c>
      <c r="D658" s="19" t="s">
        <v>60</v>
      </c>
      <c r="E658" s="20" t="n">
        <v>34192</v>
      </c>
      <c r="F658" s="20" t="n">
        <v>99774</v>
      </c>
    </row>
    <row r="659" customFormat="false" ht="15" hidden="false" customHeight="false" outlineLevel="0" collapsed="false">
      <c r="A659" s="22" t="n">
        <v>46149</v>
      </c>
      <c r="B659" s="19" t="s">
        <v>50</v>
      </c>
      <c r="C659" s="19" t="s">
        <v>16</v>
      </c>
      <c r="D659" s="19" t="s">
        <v>74</v>
      </c>
      <c r="E659" s="20" t="n">
        <v>3322</v>
      </c>
      <c r="F659" s="20" t="n">
        <v>0</v>
      </c>
    </row>
    <row r="660" customFormat="false" ht="15" hidden="false" customHeight="false" outlineLevel="0" collapsed="false">
      <c r="A660" s="22" t="n">
        <v>46149</v>
      </c>
      <c r="B660" s="19" t="s">
        <v>50</v>
      </c>
      <c r="C660" s="19" t="s">
        <v>14</v>
      </c>
      <c r="D660" s="19" t="s">
        <v>62</v>
      </c>
      <c r="E660" s="20" t="n">
        <v>9705</v>
      </c>
      <c r="F660" s="20" t="n">
        <v>0</v>
      </c>
    </row>
    <row r="661" customFormat="false" ht="15" hidden="false" customHeight="false" outlineLevel="0" collapsed="false">
      <c r="A661" s="22" t="n">
        <v>46149</v>
      </c>
      <c r="B661" s="19" t="s">
        <v>50</v>
      </c>
      <c r="C661" s="19" t="s">
        <v>14</v>
      </c>
      <c r="D661" s="19" t="s">
        <v>73</v>
      </c>
      <c r="E661" s="20" t="n">
        <v>442</v>
      </c>
      <c r="F661" s="20" t="n">
        <v>0</v>
      </c>
    </row>
    <row r="662" customFormat="false" ht="15" hidden="false" customHeight="false" outlineLevel="0" collapsed="false">
      <c r="A662" s="22" t="n">
        <v>46149</v>
      </c>
      <c r="B662" s="19" t="s">
        <v>50</v>
      </c>
      <c r="C662" s="19" t="s">
        <v>11</v>
      </c>
      <c r="D662" s="19" t="s">
        <v>63</v>
      </c>
      <c r="E662" s="20" t="n">
        <v>13269</v>
      </c>
      <c r="F662" s="20" t="n">
        <v>39000</v>
      </c>
    </row>
    <row r="663" customFormat="false" ht="15" hidden="false" customHeight="false" outlineLevel="0" collapsed="false">
      <c r="A663" s="22" t="n">
        <v>46149</v>
      </c>
      <c r="B663" s="19" t="s">
        <v>50</v>
      </c>
      <c r="C663" s="19" t="s">
        <v>13</v>
      </c>
      <c r="D663" s="19" t="s">
        <v>64</v>
      </c>
      <c r="E663" s="20" t="n">
        <v>362776</v>
      </c>
      <c r="F663" s="20" t="n">
        <v>1714133</v>
      </c>
    </row>
    <row r="664" customFormat="false" ht="15" hidden="false" customHeight="false" outlineLevel="0" collapsed="false">
      <c r="A664" s="22" t="n">
        <v>46149</v>
      </c>
      <c r="B664" s="19" t="s">
        <v>50</v>
      </c>
      <c r="C664" s="19" t="s">
        <v>12</v>
      </c>
      <c r="D664" s="19" t="s">
        <v>65</v>
      </c>
      <c r="E664" s="20" t="n">
        <v>295441</v>
      </c>
      <c r="F664" s="20" t="n">
        <v>1392382</v>
      </c>
    </row>
    <row r="665" customFormat="false" ht="15" hidden="false" customHeight="false" outlineLevel="0" collapsed="false">
      <c r="A665" s="22" t="n">
        <v>46149</v>
      </c>
      <c r="B665" s="19" t="s">
        <v>50</v>
      </c>
      <c r="C665" s="19" t="s">
        <v>11</v>
      </c>
      <c r="D665" s="19" t="s">
        <v>69</v>
      </c>
      <c r="E665" s="20" t="n">
        <v>50216</v>
      </c>
      <c r="F665" s="20" t="n">
        <v>188600</v>
      </c>
    </row>
    <row r="666" customFormat="false" ht="15" hidden="false" customHeight="false" outlineLevel="0" collapsed="false">
      <c r="A666" s="22" t="n">
        <v>46149</v>
      </c>
      <c r="B666" s="19" t="s">
        <v>50</v>
      </c>
      <c r="C666" s="19" t="s">
        <v>15</v>
      </c>
      <c r="D666" s="19" t="s">
        <v>67</v>
      </c>
      <c r="E666" s="20" t="n">
        <v>19179</v>
      </c>
      <c r="F666" s="20" t="n">
        <v>0</v>
      </c>
    </row>
    <row r="667" customFormat="false" ht="15" hidden="false" customHeight="false" outlineLevel="0" collapsed="false">
      <c r="A667" s="22" t="n">
        <v>46150</v>
      </c>
      <c r="B667" s="19" t="s">
        <v>50</v>
      </c>
      <c r="C667" s="19" t="s">
        <v>16</v>
      </c>
      <c r="D667" s="19" t="s">
        <v>59</v>
      </c>
      <c r="E667" s="20" t="n">
        <v>101483</v>
      </c>
      <c r="F667" s="20" t="n">
        <v>852030</v>
      </c>
    </row>
    <row r="668" customFormat="false" ht="15" hidden="false" customHeight="false" outlineLevel="0" collapsed="false">
      <c r="A668" s="22" t="n">
        <v>46150</v>
      </c>
      <c r="B668" s="19" t="s">
        <v>50</v>
      </c>
      <c r="C668" s="19" t="s">
        <v>12</v>
      </c>
      <c r="D668" s="19" t="s">
        <v>72</v>
      </c>
      <c r="E668" s="20" t="n">
        <v>300000</v>
      </c>
      <c r="F668" s="20" t="n">
        <v>2277052</v>
      </c>
    </row>
    <row r="669" customFormat="false" ht="15" hidden="false" customHeight="false" outlineLevel="0" collapsed="false">
      <c r="A669" s="22" t="n">
        <v>46150</v>
      </c>
      <c r="B669" s="19" t="s">
        <v>50</v>
      </c>
      <c r="C669" s="19" t="s">
        <v>12</v>
      </c>
      <c r="D669" s="19" t="s">
        <v>58</v>
      </c>
      <c r="E669" s="20" t="n">
        <v>10844</v>
      </c>
      <c r="F669" s="20" t="n">
        <v>0</v>
      </c>
    </row>
    <row r="670" customFormat="false" ht="15" hidden="false" customHeight="false" outlineLevel="0" collapsed="false">
      <c r="A670" s="22" t="n">
        <v>46150</v>
      </c>
      <c r="B670" s="19" t="s">
        <v>50</v>
      </c>
      <c r="C670" s="19" t="s">
        <v>12</v>
      </c>
      <c r="D670" s="19" t="s">
        <v>79</v>
      </c>
      <c r="E670" s="20" t="n">
        <v>230124</v>
      </c>
      <c r="F670" s="20" t="n">
        <v>1141255</v>
      </c>
    </row>
    <row r="671" customFormat="false" ht="15" hidden="false" customHeight="false" outlineLevel="0" collapsed="false">
      <c r="A671" s="22" t="n">
        <v>46150</v>
      </c>
      <c r="B671" s="19" t="s">
        <v>50</v>
      </c>
      <c r="C671" s="19" t="s">
        <v>16</v>
      </c>
      <c r="D671" s="19" t="s">
        <v>80</v>
      </c>
      <c r="E671" s="20" t="n">
        <v>156583</v>
      </c>
      <c r="F671" s="20" t="n">
        <v>820180</v>
      </c>
    </row>
    <row r="672" customFormat="false" ht="15" hidden="false" customHeight="false" outlineLevel="0" collapsed="false">
      <c r="A672" s="22" t="n">
        <v>46150</v>
      </c>
      <c r="B672" s="19" t="s">
        <v>50</v>
      </c>
      <c r="C672" s="19" t="s">
        <v>15</v>
      </c>
      <c r="D672" s="19" t="s">
        <v>81</v>
      </c>
      <c r="E672" s="20" t="n">
        <v>46122</v>
      </c>
      <c r="F672" s="20" t="n">
        <v>0</v>
      </c>
    </row>
    <row r="673" customFormat="false" ht="15" hidden="false" customHeight="false" outlineLevel="0" collapsed="false">
      <c r="A673" s="22" t="n">
        <v>46150</v>
      </c>
      <c r="B673" s="19" t="s">
        <v>50</v>
      </c>
      <c r="C673" s="19" t="s">
        <v>11</v>
      </c>
      <c r="D673" s="19" t="s">
        <v>60</v>
      </c>
      <c r="E673" s="20" t="n">
        <v>26305</v>
      </c>
      <c r="F673" s="20" t="n">
        <v>108000</v>
      </c>
    </row>
    <row r="674" customFormat="false" ht="15" hidden="false" customHeight="false" outlineLevel="0" collapsed="false">
      <c r="A674" s="22" t="n">
        <v>46150</v>
      </c>
      <c r="B674" s="19" t="s">
        <v>50</v>
      </c>
      <c r="C674" s="19" t="s">
        <v>14</v>
      </c>
      <c r="D674" s="19" t="s">
        <v>62</v>
      </c>
      <c r="E674" s="20" t="n">
        <v>2283</v>
      </c>
      <c r="F674" s="20" t="n">
        <v>0</v>
      </c>
    </row>
    <row r="675" customFormat="false" ht="15" hidden="false" customHeight="false" outlineLevel="0" collapsed="false">
      <c r="A675" s="22" t="n">
        <v>46150</v>
      </c>
      <c r="B675" s="19" t="s">
        <v>50</v>
      </c>
      <c r="C675" s="19" t="s">
        <v>16</v>
      </c>
      <c r="D675" s="19" t="s">
        <v>74</v>
      </c>
      <c r="E675" s="20" t="n">
        <v>1181</v>
      </c>
      <c r="F675" s="20" t="n">
        <v>0</v>
      </c>
    </row>
    <row r="676" customFormat="false" ht="15" hidden="false" customHeight="false" outlineLevel="0" collapsed="false">
      <c r="A676" s="22" t="n">
        <v>46150</v>
      </c>
      <c r="B676" s="19" t="s">
        <v>50</v>
      </c>
      <c r="C676" s="19" t="s">
        <v>15</v>
      </c>
      <c r="D676" s="19" t="s">
        <v>15</v>
      </c>
      <c r="E676" s="20" t="n">
        <v>3932</v>
      </c>
      <c r="F676" s="20" t="n">
        <v>0</v>
      </c>
    </row>
    <row r="677" customFormat="false" ht="15" hidden="false" customHeight="false" outlineLevel="0" collapsed="false">
      <c r="A677" s="22" t="n">
        <v>46150</v>
      </c>
      <c r="B677" s="19" t="s">
        <v>50</v>
      </c>
      <c r="C677" s="19" t="s">
        <v>11</v>
      </c>
      <c r="D677" s="19" t="s">
        <v>63</v>
      </c>
      <c r="E677" s="20" t="n">
        <v>3565</v>
      </c>
      <c r="F677" s="20" t="n">
        <v>0</v>
      </c>
    </row>
    <row r="678" customFormat="false" ht="15" hidden="false" customHeight="false" outlineLevel="0" collapsed="false">
      <c r="A678" s="22" t="n">
        <v>46150</v>
      </c>
      <c r="B678" s="19" t="s">
        <v>50</v>
      </c>
      <c r="C678" s="19" t="s">
        <v>13</v>
      </c>
      <c r="D678" s="19" t="s">
        <v>64</v>
      </c>
      <c r="E678" s="20" t="n">
        <v>46106</v>
      </c>
      <c r="F678" s="20" t="n">
        <v>656527</v>
      </c>
    </row>
    <row r="679" customFormat="false" ht="15" hidden="false" customHeight="false" outlineLevel="0" collapsed="false">
      <c r="A679" s="22" t="n">
        <v>46150</v>
      </c>
      <c r="B679" s="19" t="s">
        <v>50</v>
      </c>
      <c r="C679" s="19" t="s">
        <v>12</v>
      </c>
      <c r="D679" s="19" t="s">
        <v>65</v>
      </c>
      <c r="E679" s="20" t="n">
        <v>71498</v>
      </c>
      <c r="F679" s="20" t="n">
        <v>1830109</v>
      </c>
    </row>
    <row r="680" customFormat="false" ht="15" hidden="false" customHeight="false" outlineLevel="0" collapsed="false">
      <c r="A680" s="22" t="n">
        <v>46150</v>
      </c>
      <c r="B680" s="19" t="s">
        <v>50</v>
      </c>
      <c r="C680" s="19" t="s">
        <v>11</v>
      </c>
      <c r="D680" s="19" t="s">
        <v>69</v>
      </c>
      <c r="E680" s="20" t="n">
        <v>3299</v>
      </c>
      <c r="F680" s="20" t="n">
        <v>188600</v>
      </c>
    </row>
    <row r="681" customFormat="false" ht="15" hidden="false" customHeight="false" outlineLevel="0" collapsed="false">
      <c r="A681" s="22" t="n">
        <v>46150</v>
      </c>
      <c r="B681" s="19" t="s">
        <v>50</v>
      </c>
      <c r="C681" s="19" t="s">
        <v>15</v>
      </c>
      <c r="D681" s="19" t="s">
        <v>67</v>
      </c>
      <c r="E681" s="20" t="n">
        <v>1851</v>
      </c>
      <c r="F681" s="20" t="n">
        <v>0</v>
      </c>
    </row>
    <row r="682" customFormat="false" ht="15" hidden="false" customHeight="false" outlineLevel="0" collapsed="false">
      <c r="A682" s="22" t="n">
        <v>46151</v>
      </c>
      <c r="B682" s="19" t="s">
        <v>50</v>
      </c>
      <c r="C682" s="19" t="s">
        <v>16</v>
      </c>
      <c r="D682" s="19" t="s">
        <v>59</v>
      </c>
      <c r="E682" s="20" t="n">
        <v>112145</v>
      </c>
      <c r="F682" s="20" t="n">
        <v>591433</v>
      </c>
    </row>
    <row r="683" customFormat="false" ht="15" hidden="false" customHeight="false" outlineLevel="0" collapsed="false">
      <c r="A683" s="22" t="n">
        <v>46151</v>
      </c>
      <c r="B683" s="19" t="s">
        <v>50</v>
      </c>
      <c r="C683" s="19" t="s">
        <v>12</v>
      </c>
      <c r="D683" s="19" t="s">
        <v>72</v>
      </c>
      <c r="E683" s="20" t="n">
        <v>144418</v>
      </c>
      <c r="F683" s="20" t="n">
        <v>559690</v>
      </c>
    </row>
    <row r="684" customFormat="false" ht="15" hidden="false" customHeight="false" outlineLevel="0" collapsed="false">
      <c r="A684" s="22" t="n">
        <v>46151</v>
      </c>
      <c r="B684" s="19" t="s">
        <v>50</v>
      </c>
      <c r="C684" s="19" t="s">
        <v>16</v>
      </c>
      <c r="D684" s="19" t="s">
        <v>80</v>
      </c>
      <c r="E684" s="20" t="n">
        <v>159177</v>
      </c>
      <c r="F684" s="20" t="n">
        <v>744562</v>
      </c>
    </row>
    <row r="685" customFormat="false" ht="15" hidden="false" customHeight="false" outlineLevel="0" collapsed="false">
      <c r="A685" s="22" t="n">
        <v>46151</v>
      </c>
      <c r="B685" s="19" t="s">
        <v>50</v>
      </c>
      <c r="C685" s="19" t="s">
        <v>15</v>
      </c>
      <c r="D685" s="19" t="s">
        <v>81</v>
      </c>
      <c r="E685" s="20" t="n">
        <v>95957</v>
      </c>
      <c r="F685" s="20" t="n">
        <v>94300</v>
      </c>
    </row>
    <row r="686" customFormat="false" ht="15" hidden="false" customHeight="false" outlineLevel="0" collapsed="false">
      <c r="A686" s="22" t="n">
        <v>46151</v>
      </c>
      <c r="B686" s="19" t="s">
        <v>50</v>
      </c>
      <c r="C686" s="19" t="s">
        <v>11</v>
      </c>
      <c r="D686" s="19" t="s">
        <v>60</v>
      </c>
      <c r="E686" s="20" t="n">
        <v>29759</v>
      </c>
      <c r="F686" s="20" t="n">
        <v>138000</v>
      </c>
    </row>
    <row r="687" customFormat="false" ht="15" hidden="false" customHeight="false" outlineLevel="0" collapsed="false">
      <c r="A687" s="22" t="n">
        <v>46151</v>
      </c>
      <c r="B687" s="19" t="s">
        <v>50</v>
      </c>
      <c r="C687" s="19" t="s">
        <v>12</v>
      </c>
      <c r="D687" s="19" t="s">
        <v>79</v>
      </c>
      <c r="E687" s="20" t="n">
        <v>39657</v>
      </c>
      <c r="F687" s="20" t="n">
        <v>65000</v>
      </c>
    </row>
    <row r="688" customFormat="false" ht="15" hidden="false" customHeight="false" outlineLevel="0" collapsed="false">
      <c r="A688" s="22" t="n">
        <v>46151</v>
      </c>
      <c r="B688" s="19" t="s">
        <v>50</v>
      </c>
      <c r="C688" s="19" t="s">
        <v>16</v>
      </c>
      <c r="D688" s="19" t="s">
        <v>74</v>
      </c>
      <c r="E688" s="20" t="n">
        <v>123</v>
      </c>
      <c r="F688" s="20" t="n">
        <v>0</v>
      </c>
    </row>
    <row r="689" customFormat="false" ht="15" hidden="false" customHeight="false" outlineLevel="0" collapsed="false">
      <c r="A689" s="22" t="n">
        <v>46151</v>
      </c>
      <c r="B689" s="19" t="s">
        <v>50</v>
      </c>
      <c r="C689" s="19" t="s">
        <v>11</v>
      </c>
      <c r="D689" s="19" t="s">
        <v>63</v>
      </c>
      <c r="E689" s="20" t="n">
        <v>21537</v>
      </c>
      <c r="F689" s="20" t="n">
        <v>78000</v>
      </c>
    </row>
    <row r="690" customFormat="false" ht="15" hidden="false" customHeight="false" outlineLevel="0" collapsed="false">
      <c r="A690" s="22" t="n">
        <v>46152</v>
      </c>
      <c r="B690" s="19" t="s">
        <v>50</v>
      </c>
      <c r="C690" s="19" t="s">
        <v>16</v>
      </c>
      <c r="D690" s="19" t="s">
        <v>59</v>
      </c>
      <c r="E690" s="20" t="n">
        <v>80761</v>
      </c>
      <c r="F690" s="20" t="n">
        <v>149000</v>
      </c>
    </row>
    <row r="691" customFormat="false" ht="15" hidden="false" customHeight="false" outlineLevel="0" collapsed="false">
      <c r="A691" s="22" t="n">
        <v>46152</v>
      </c>
      <c r="B691" s="19" t="s">
        <v>50</v>
      </c>
      <c r="C691" s="19" t="s">
        <v>12</v>
      </c>
      <c r="D691" s="19" t="s">
        <v>72</v>
      </c>
      <c r="E691" s="20" t="n">
        <v>76155</v>
      </c>
      <c r="F691" s="20" t="n">
        <v>324170</v>
      </c>
    </row>
    <row r="692" customFormat="false" ht="15" hidden="false" customHeight="false" outlineLevel="0" collapsed="false">
      <c r="A692" s="22" t="n">
        <v>46152</v>
      </c>
      <c r="B692" s="19" t="s">
        <v>50</v>
      </c>
      <c r="C692" s="19" t="s">
        <v>16</v>
      </c>
      <c r="D692" s="19" t="s">
        <v>80</v>
      </c>
      <c r="E692" s="20" t="n">
        <v>186356</v>
      </c>
      <c r="F692" s="20" t="n">
        <v>1004472</v>
      </c>
    </row>
    <row r="693" customFormat="false" ht="15" hidden="false" customHeight="false" outlineLevel="0" collapsed="false">
      <c r="A693" s="22" t="n">
        <v>46152</v>
      </c>
      <c r="B693" s="19" t="s">
        <v>50</v>
      </c>
      <c r="C693" s="19" t="s">
        <v>15</v>
      </c>
      <c r="D693" s="19" t="s">
        <v>81</v>
      </c>
      <c r="E693" s="20" t="n">
        <v>82750</v>
      </c>
      <c r="F693" s="20" t="n">
        <v>90339</v>
      </c>
    </row>
    <row r="694" customFormat="false" ht="15" hidden="false" customHeight="false" outlineLevel="0" collapsed="false">
      <c r="A694" s="22" t="n">
        <v>46152</v>
      </c>
      <c r="B694" s="19" t="s">
        <v>50</v>
      </c>
      <c r="C694" s="19" t="s">
        <v>12</v>
      </c>
      <c r="D694" s="19" t="s">
        <v>79</v>
      </c>
      <c r="E694" s="20" t="n">
        <v>171236</v>
      </c>
      <c r="F694" s="20" t="n">
        <v>354939</v>
      </c>
    </row>
    <row r="695" customFormat="false" ht="15" hidden="false" customHeight="false" outlineLevel="0" collapsed="false">
      <c r="A695" s="22" t="n">
        <v>46152</v>
      </c>
      <c r="B695" s="19" t="s">
        <v>50</v>
      </c>
      <c r="C695" s="19" t="s">
        <v>11</v>
      </c>
      <c r="D695" s="19" t="s">
        <v>60</v>
      </c>
      <c r="E695" s="20" t="n">
        <v>3335</v>
      </c>
      <c r="F695" s="20" t="n">
        <v>0</v>
      </c>
    </row>
    <row r="696" customFormat="false" ht="15" hidden="false" customHeight="false" outlineLevel="0" collapsed="false">
      <c r="A696" s="22" t="n">
        <v>46152</v>
      </c>
      <c r="B696" s="19" t="s">
        <v>50</v>
      </c>
      <c r="C696" s="19" t="s">
        <v>16</v>
      </c>
      <c r="D696" s="19" t="s">
        <v>74</v>
      </c>
      <c r="E696" s="20" t="n">
        <v>4572</v>
      </c>
      <c r="F696" s="20" t="n">
        <v>0</v>
      </c>
    </row>
    <row r="697" customFormat="false" ht="15" hidden="false" customHeight="false" outlineLevel="0" collapsed="false">
      <c r="A697" s="22" t="n">
        <v>46152</v>
      </c>
      <c r="B697" s="19" t="s">
        <v>50</v>
      </c>
      <c r="C697" s="19" t="s">
        <v>14</v>
      </c>
      <c r="D697" s="19" t="s">
        <v>62</v>
      </c>
      <c r="E697" s="20" t="n">
        <v>599</v>
      </c>
      <c r="F697" s="20" t="n">
        <v>0</v>
      </c>
    </row>
    <row r="698" customFormat="false" ht="15" hidden="false" customHeight="false" outlineLevel="0" collapsed="false">
      <c r="A698" s="22" t="n">
        <v>46152</v>
      </c>
      <c r="B698" s="19" t="s">
        <v>50</v>
      </c>
      <c r="C698" s="19" t="s">
        <v>11</v>
      </c>
      <c r="D698" s="19" t="s">
        <v>63</v>
      </c>
      <c r="E698" s="20" t="n">
        <v>16487</v>
      </c>
      <c r="F698" s="20" t="n">
        <v>75075</v>
      </c>
    </row>
    <row r="699" customFormat="false" ht="15" hidden="false" customHeight="false" outlineLevel="0" collapsed="false">
      <c r="A699" s="22" t="n">
        <v>46153</v>
      </c>
      <c r="B699" s="19" t="s">
        <v>50</v>
      </c>
      <c r="C699" s="19" t="s">
        <v>16</v>
      </c>
      <c r="D699" s="19" t="s">
        <v>59</v>
      </c>
      <c r="E699" s="20" t="n">
        <v>194748</v>
      </c>
      <c r="F699" s="20" t="n">
        <v>1047590</v>
      </c>
    </row>
    <row r="700" customFormat="false" ht="15" hidden="false" customHeight="false" outlineLevel="0" collapsed="false">
      <c r="A700" s="22" t="n">
        <v>46153</v>
      </c>
      <c r="B700" s="19" t="s">
        <v>50</v>
      </c>
      <c r="C700" s="19" t="s">
        <v>12</v>
      </c>
      <c r="D700" s="19" t="s">
        <v>72</v>
      </c>
      <c r="E700" s="20" t="n">
        <v>98823</v>
      </c>
      <c r="F700" s="20" t="n">
        <v>673534</v>
      </c>
    </row>
    <row r="701" customFormat="false" ht="15" hidden="false" customHeight="false" outlineLevel="0" collapsed="false">
      <c r="A701" s="22" t="n">
        <v>46153</v>
      </c>
      <c r="B701" s="19" t="s">
        <v>50</v>
      </c>
      <c r="C701" s="19" t="s">
        <v>16</v>
      </c>
      <c r="D701" s="19" t="s">
        <v>80</v>
      </c>
      <c r="E701" s="20" t="n">
        <v>1000000</v>
      </c>
      <c r="F701" s="20" t="n">
        <v>5857454</v>
      </c>
    </row>
    <row r="702" customFormat="false" ht="15" hidden="false" customHeight="false" outlineLevel="0" collapsed="false">
      <c r="A702" s="22" t="n">
        <v>46153</v>
      </c>
      <c r="B702" s="19" t="s">
        <v>50</v>
      </c>
      <c r="C702" s="19" t="s">
        <v>12</v>
      </c>
      <c r="D702" s="19" t="s">
        <v>79</v>
      </c>
      <c r="E702" s="20" t="n">
        <v>188074</v>
      </c>
      <c r="F702" s="20" t="n">
        <v>1000874</v>
      </c>
    </row>
    <row r="703" customFormat="false" ht="15" hidden="false" customHeight="false" outlineLevel="0" collapsed="false">
      <c r="A703" s="22" t="n">
        <v>46153</v>
      </c>
      <c r="B703" s="19" t="s">
        <v>50</v>
      </c>
      <c r="C703" s="19" t="s">
        <v>11</v>
      </c>
      <c r="D703" s="19" t="s">
        <v>60</v>
      </c>
      <c r="E703" s="20" t="n">
        <v>73137</v>
      </c>
      <c r="F703" s="20" t="n">
        <v>298146</v>
      </c>
    </row>
    <row r="704" customFormat="false" ht="15" hidden="false" customHeight="false" outlineLevel="0" collapsed="false">
      <c r="A704" s="22" t="n">
        <v>46153</v>
      </c>
      <c r="B704" s="19" t="s">
        <v>50</v>
      </c>
      <c r="C704" s="19" t="s">
        <v>15</v>
      </c>
      <c r="D704" s="19" t="s">
        <v>81</v>
      </c>
      <c r="E704" s="20" t="n">
        <v>49861</v>
      </c>
      <c r="F704" s="20" t="n">
        <v>94300</v>
      </c>
    </row>
    <row r="705" customFormat="false" ht="15" hidden="false" customHeight="false" outlineLevel="0" collapsed="false">
      <c r="A705" s="22" t="n">
        <v>46153</v>
      </c>
      <c r="B705" s="19" t="s">
        <v>50</v>
      </c>
      <c r="C705" s="19" t="s">
        <v>16</v>
      </c>
      <c r="D705" s="19" t="s">
        <v>74</v>
      </c>
      <c r="E705" s="20" t="n">
        <v>3018</v>
      </c>
      <c r="F705" s="20" t="n">
        <v>0</v>
      </c>
    </row>
    <row r="706" customFormat="false" ht="15" hidden="false" customHeight="false" outlineLevel="0" collapsed="false">
      <c r="A706" s="22" t="n">
        <v>46153</v>
      </c>
      <c r="B706" s="19" t="s">
        <v>50</v>
      </c>
      <c r="C706" s="19" t="s">
        <v>11</v>
      </c>
      <c r="D706" s="19" t="s">
        <v>63</v>
      </c>
      <c r="E706" s="20" t="n">
        <v>4914</v>
      </c>
      <c r="F706" s="20" t="n">
        <v>0</v>
      </c>
    </row>
    <row r="707" customFormat="false" ht="15" hidden="false" customHeight="false" outlineLevel="0" collapsed="false">
      <c r="A707" s="22" t="n">
        <v>46154</v>
      </c>
      <c r="B707" s="19" t="s">
        <v>50</v>
      </c>
      <c r="C707" s="19" t="s">
        <v>16</v>
      </c>
      <c r="D707" s="19" t="s">
        <v>59</v>
      </c>
      <c r="E707" s="20" t="n">
        <v>44406</v>
      </c>
      <c r="F707" s="20" t="n">
        <v>0</v>
      </c>
    </row>
    <row r="708" customFormat="false" ht="15" hidden="false" customHeight="false" outlineLevel="0" collapsed="false">
      <c r="A708" s="22" t="n">
        <v>46154</v>
      </c>
      <c r="B708" s="19" t="s">
        <v>50</v>
      </c>
      <c r="C708" s="19" t="s">
        <v>12</v>
      </c>
      <c r="D708" s="19" t="s">
        <v>72</v>
      </c>
      <c r="E708" s="20" t="n">
        <v>12166</v>
      </c>
      <c r="F708" s="20" t="n">
        <v>280726</v>
      </c>
    </row>
    <row r="709" customFormat="false" ht="15" hidden="false" customHeight="false" outlineLevel="0" collapsed="false">
      <c r="A709" s="22" t="n">
        <v>46154</v>
      </c>
      <c r="B709" s="19" t="s">
        <v>50</v>
      </c>
      <c r="C709" s="19" t="s">
        <v>16</v>
      </c>
      <c r="D709" s="19" t="s">
        <v>80</v>
      </c>
      <c r="E709" s="20" t="n">
        <v>252495</v>
      </c>
      <c r="F709" s="20" t="n">
        <v>875206</v>
      </c>
    </row>
    <row r="710" customFormat="false" ht="15" hidden="false" customHeight="false" outlineLevel="0" collapsed="false">
      <c r="A710" s="22" t="n">
        <v>46154</v>
      </c>
      <c r="B710" s="19" t="s">
        <v>50</v>
      </c>
      <c r="C710" s="19" t="s">
        <v>15</v>
      </c>
      <c r="D710" s="19" t="s">
        <v>81</v>
      </c>
      <c r="E710" s="20" t="n">
        <v>61047</v>
      </c>
      <c r="F710" s="20" t="n">
        <v>94300</v>
      </c>
    </row>
    <row r="711" customFormat="false" ht="15" hidden="false" customHeight="false" outlineLevel="0" collapsed="false">
      <c r="A711" s="22" t="n">
        <v>46154</v>
      </c>
      <c r="B711" s="19" t="s">
        <v>50</v>
      </c>
      <c r="C711" s="19" t="s">
        <v>16</v>
      </c>
      <c r="D711" s="19" t="s">
        <v>82</v>
      </c>
      <c r="E711" s="20" t="n">
        <v>92338</v>
      </c>
      <c r="F711" s="20" t="n">
        <v>507471</v>
      </c>
    </row>
    <row r="712" customFormat="false" ht="15" hidden="false" customHeight="false" outlineLevel="0" collapsed="false">
      <c r="A712" s="22" t="n">
        <v>46154</v>
      </c>
      <c r="B712" s="19" t="s">
        <v>50</v>
      </c>
      <c r="C712" s="19" t="s">
        <v>11</v>
      </c>
      <c r="D712" s="19" t="s">
        <v>60</v>
      </c>
      <c r="E712" s="20" t="n">
        <v>74982</v>
      </c>
      <c r="F712" s="20" t="n">
        <v>426892</v>
      </c>
    </row>
    <row r="713" customFormat="false" ht="15" hidden="false" customHeight="false" outlineLevel="0" collapsed="false">
      <c r="A713" s="22" t="n">
        <v>46154</v>
      </c>
      <c r="B713" s="19" t="s">
        <v>50</v>
      </c>
      <c r="C713" s="19" t="s">
        <v>12</v>
      </c>
      <c r="D713" s="19" t="s">
        <v>83</v>
      </c>
      <c r="E713" s="20" t="n">
        <v>82724</v>
      </c>
      <c r="F713" s="20" t="n">
        <v>0</v>
      </c>
    </row>
    <row r="714" customFormat="false" ht="15" hidden="false" customHeight="false" outlineLevel="0" collapsed="false">
      <c r="A714" s="22" t="n">
        <v>46154</v>
      </c>
      <c r="B714" s="19" t="s">
        <v>50</v>
      </c>
      <c r="C714" s="19" t="s">
        <v>12</v>
      </c>
      <c r="D714" s="19" t="s">
        <v>84</v>
      </c>
      <c r="E714" s="20" t="n">
        <v>59689</v>
      </c>
      <c r="F714" s="20" t="n">
        <v>140000</v>
      </c>
    </row>
    <row r="715" customFormat="false" ht="15" hidden="false" customHeight="false" outlineLevel="0" collapsed="false">
      <c r="A715" s="22" t="n">
        <v>46154</v>
      </c>
      <c r="B715" s="19" t="s">
        <v>50</v>
      </c>
      <c r="C715" s="19" t="s">
        <v>12</v>
      </c>
      <c r="D715" s="19" t="s">
        <v>85</v>
      </c>
      <c r="E715" s="20" t="n">
        <v>12854</v>
      </c>
      <c r="F715" s="20" t="n">
        <v>0</v>
      </c>
    </row>
    <row r="716" customFormat="false" ht="15" hidden="false" customHeight="false" outlineLevel="0" collapsed="false">
      <c r="A716" s="22" t="n">
        <v>46154</v>
      </c>
      <c r="B716" s="19" t="s">
        <v>50</v>
      </c>
      <c r="C716" s="19" t="s">
        <v>12</v>
      </c>
      <c r="D716" s="19" t="s">
        <v>79</v>
      </c>
      <c r="E716" s="20" t="n">
        <v>57232</v>
      </c>
      <c r="F716" s="20" t="n">
        <v>409250</v>
      </c>
    </row>
    <row r="717" customFormat="false" ht="15" hidden="false" customHeight="false" outlineLevel="0" collapsed="false">
      <c r="A717" s="22" t="n">
        <v>46154</v>
      </c>
      <c r="B717" s="19" t="s">
        <v>50</v>
      </c>
      <c r="C717" s="19" t="s">
        <v>16</v>
      </c>
      <c r="D717" s="19" t="s">
        <v>86</v>
      </c>
      <c r="E717" s="20" t="n">
        <v>14049</v>
      </c>
      <c r="F717" s="20" t="n">
        <v>309274</v>
      </c>
    </row>
    <row r="718" customFormat="false" ht="15" hidden="false" customHeight="false" outlineLevel="0" collapsed="false">
      <c r="A718" s="22" t="n">
        <v>46154</v>
      </c>
      <c r="B718" s="19" t="s">
        <v>50</v>
      </c>
      <c r="C718" s="19" t="s">
        <v>12</v>
      </c>
      <c r="D718" s="19" t="s">
        <v>87</v>
      </c>
      <c r="E718" s="20" t="n">
        <v>45110</v>
      </c>
      <c r="F718" s="20" t="n">
        <v>0</v>
      </c>
    </row>
    <row r="719" customFormat="false" ht="15" hidden="false" customHeight="false" outlineLevel="0" collapsed="false">
      <c r="A719" s="22" t="n">
        <v>46154</v>
      </c>
      <c r="B719" s="19" t="s">
        <v>50</v>
      </c>
      <c r="C719" s="19" t="s">
        <v>12</v>
      </c>
      <c r="D719" s="19" t="s">
        <v>88</v>
      </c>
      <c r="E719" s="20" t="n">
        <v>13744</v>
      </c>
      <c r="F719" s="20" t="n">
        <v>0</v>
      </c>
    </row>
    <row r="720" customFormat="false" ht="15" hidden="false" customHeight="false" outlineLevel="0" collapsed="false">
      <c r="A720" s="22" t="n">
        <v>46154</v>
      </c>
      <c r="B720" s="19" t="s">
        <v>50</v>
      </c>
      <c r="C720" s="19" t="s">
        <v>16</v>
      </c>
      <c r="D720" s="19" t="s">
        <v>89</v>
      </c>
      <c r="E720" s="20" t="n">
        <v>18098</v>
      </c>
      <c r="F720" s="20" t="n">
        <v>231360</v>
      </c>
    </row>
    <row r="721" customFormat="false" ht="15" hidden="false" customHeight="false" outlineLevel="0" collapsed="false">
      <c r="A721" s="22" t="n">
        <v>46154</v>
      </c>
      <c r="B721" s="19" t="s">
        <v>50</v>
      </c>
      <c r="C721" s="19" t="s">
        <v>70</v>
      </c>
      <c r="D721" s="19" t="s">
        <v>90</v>
      </c>
      <c r="E721" s="20" t="n">
        <v>4541</v>
      </c>
      <c r="F721" s="20" t="n">
        <v>0</v>
      </c>
    </row>
    <row r="722" customFormat="false" ht="15" hidden="false" customHeight="false" outlineLevel="0" collapsed="false">
      <c r="A722" s="22" t="n">
        <v>46154</v>
      </c>
      <c r="B722" s="19" t="s">
        <v>50</v>
      </c>
      <c r="C722" s="19" t="s">
        <v>70</v>
      </c>
      <c r="D722" s="19" t="s">
        <v>91</v>
      </c>
      <c r="E722" s="20" t="n">
        <v>3564</v>
      </c>
      <c r="F722" s="20" t="n">
        <v>0</v>
      </c>
    </row>
    <row r="723" customFormat="false" ht="15" hidden="false" customHeight="false" outlineLevel="0" collapsed="false">
      <c r="A723" s="22" t="n">
        <v>46154</v>
      </c>
      <c r="B723" s="19" t="s">
        <v>50</v>
      </c>
      <c r="C723" s="19" t="s">
        <v>70</v>
      </c>
      <c r="D723" s="19" t="s">
        <v>92</v>
      </c>
      <c r="E723" s="20" t="n">
        <v>1</v>
      </c>
      <c r="F723" s="20" t="n">
        <v>0</v>
      </c>
    </row>
    <row r="724" customFormat="false" ht="15" hidden="false" customHeight="false" outlineLevel="0" collapsed="false">
      <c r="A724" s="22" t="n">
        <v>46154</v>
      </c>
      <c r="B724" s="19" t="s">
        <v>50</v>
      </c>
      <c r="C724" s="19" t="s">
        <v>70</v>
      </c>
      <c r="D724" s="19" t="s">
        <v>93</v>
      </c>
      <c r="E724" s="20" t="n">
        <v>4594</v>
      </c>
      <c r="F724" s="20" t="n">
        <v>0</v>
      </c>
    </row>
    <row r="725" customFormat="false" ht="15" hidden="false" customHeight="false" outlineLevel="0" collapsed="false">
      <c r="A725" s="22" t="n">
        <v>46154</v>
      </c>
      <c r="B725" s="19" t="s">
        <v>50</v>
      </c>
      <c r="C725" s="19" t="s">
        <v>11</v>
      </c>
      <c r="D725" s="19" t="s">
        <v>63</v>
      </c>
      <c r="E725" s="20" t="n">
        <v>11505</v>
      </c>
      <c r="F725" s="20" t="n">
        <v>39000</v>
      </c>
    </row>
    <row r="726" customFormat="false" ht="15" hidden="false" customHeight="false" outlineLevel="0" collapsed="false">
      <c r="A726" s="22" t="n">
        <v>46155</v>
      </c>
      <c r="B726" s="19" t="s">
        <v>50</v>
      </c>
      <c r="C726" s="19" t="s">
        <v>16</v>
      </c>
      <c r="D726" s="19" t="s">
        <v>59</v>
      </c>
      <c r="E726" s="20" t="n">
        <v>15957</v>
      </c>
      <c r="F726" s="20" t="n">
        <v>0</v>
      </c>
    </row>
    <row r="727" customFormat="false" ht="15" hidden="false" customHeight="false" outlineLevel="0" collapsed="false">
      <c r="A727" s="22" t="n">
        <v>46155</v>
      </c>
      <c r="B727" s="19" t="s">
        <v>50</v>
      </c>
      <c r="C727" s="19" t="s">
        <v>16</v>
      </c>
      <c r="D727" s="19" t="s">
        <v>82</v>
      </c>
      <c r="E727" s="20" t="n">
        <v>141264</v>
      </c>
      <c r="F727" s="20" t="n">
        <v>299390</v>
      </c>
    </row>
    <row r="728" customFormat="false" ht="15" hidden="false" customHeight="false" outlineLevel="0" collapsed="false">
      <c r="A728" s="22" t="n">
        <v>46155</v>
      </c>
      <c r="B728" s="19" t="s">
        <v>50</v>
      </c>
      <c r="C728" s="19" t="s">
        <v>12</v>
      </c>
      <c r="D728" s="19" t="s">
        <v>84</v>
      </c>
      <c r="E728" s="20" t="n">
        <v>129509</v>
      </c>
      <c r="F728" s="20" t="n">
        <v>197230</v>
      </c>
    </row>
    <row r="729" customFormat="false" ht="15" hidden="false" customHeight="false" outlineLevel="0" collapsed="false">
      <c r="A729" s="22" t="n">
        <v>46155</v>
      </c>
      <c r="B729" s="19" t="s">
        <v>50</v>
      </c>
      <c r="C729" s="19" t="s">
        <v>12</v>
      </c>
      <c r="D729" s="19" t="s">
        <v>83</v>
      </c>
      <c r="E729" s="20" t="n">
        <v>200000</v>
      </c>
      <c r="F729" s="20" t="n">
        <v>1518219</v>
      </c>
    </row>
    <row r="730" customFormat="false" ht="15" hidden="false" customHeight="false" outlineLevel="0" collapsed="false">
      <c r="A730" s="22" t="n">
        <v>46155</v>
      </c>
      <c r="B730" s="19" t="s">
        <v>50</v>
      </c>
      <c r="C730" s="19" t="s">
        <v>11</v>
      </c>
      <c r="D730" s="19" t="s">
        <v>60</v>
      </c>
      <c r="E730" s="20" t="n">
        <v>48635</v>
      </c>
      <c r="F730" s="20" t="n">
        <v>210896</v>
      </c>
    </row>
    <row r="731" customFormat="false" ht="15" hidden="false" customHeight="false" outlineLevel="0" collapsed="false">
      <c r="A731" s="22" t="n">
        <v>46155</v>
      </c>
      <c r="B731" s="19" t="s">
        <v>50</v>
      </c>
      <c r="C731" s="19" t="s">
        <v>12</v>
      </c>
      <c r="D731" s="19" t="s">
        <v>85</v>
      </c>
      <c r="E731" s="20" t="n">
        <v>46500</v>
      </c>
      <c r="F731" s="20" t="n">
        <v>164657</v>
      </c>
    </row>
    <row r="732" customFormat="false" ht="15" hidden="false" customHeight="false" outlineLevel="0" collapsed="false">
      <c r="A732" s="22" t="n">
        <v>46155</v>
      </c>
      <c r="B732" s="19" t="s">
        <v>50</v>
      </c>
      <c r="C732" s="19" t="s">
        <v>15</v>
      </c>
      <c r="D732" s="19" t="s">
        <v>81</v>
      </c>
      <c r="E732" s="20" t="n">
        <v>50415</v>
      </c>
      <c r="F732" s="20" t="n">
        <v>468671</v>
      </c>
    </row>
    <row r="733" customFormat="false" ht="15" hidden="false" customHeight="false" outlineLevel="0" collapsed="false">
      <c r="A733" s="22" t="n">
        <v>46155</v>
      </c>
      <c r="B733" s="19" t="s">
        <v>50</v>
      </c>
      <c r="C733" s="19" t="s">
        <v>16</v>
      </c>
      <c r="D733" s="19" t="s">
        <v>86</v>
      </c>
      <c r="E733" s="20" t="n">
        <v>71707</v>
      </c>
      <c r="F733" s="20" t="n">
        <v>0</v>
      </c>
    </row>
    <row r="734" customFormat="false" ht="15" hidden="false" customHeight="false" outlineLevel="0" collapsed="false">
      <c r="A734" s="22" t="n">
        <v>46155</v>
      </c>
      <c r="B734" s="19" t="s">
        <v>50</v>
      </c>
      <c r="C734" s="19" t="s">
        <v>12</v>
      </c>
      <c r="D734" s="19" t="s">
        <v>88</v>
      </c>
      <c r="E734" s="20" t="n">
        <v>100122</v>
      </c>
      <c r="F734" s="20" t="n">
        <v>0</v>
      </c>
    </row>
    <row r="735" customFormat="false" ht="15" hidden="false" customHeight="false" outlineLevel="0" collapsed="false">
      <c r="A735" s="22" t="n">
        <v>46155</v>
      </c>
      <c r="B735" s="19" t="s">
        <v>50</v>
      </c>
      <c r="C735" s="19" t="s">
        <v>12</v>
      </c>
      <c r="D735" s="19" t="s">
        <v>87</v>
      </c>
      <c r="E735" s="20" t="n">
        <v>24331</v>
      </c>
      <c r="F735" s="20" t="n">
        <v>0</v>
      </c>
    </row>
    <row r="736" customFormat="false" ht="15" hidden="false" customHeight="false" outlineLevel="0" collapsed="false">
      <c r="A736" s="22" t="n">
        <v>46155</v>
      </c>
      <c r="B736" s="19" t="s">
        <v>50</v>
      </c>
      <c r="C736" s="19" t="s">
        <v>70</v>
      </c>
      <c r="D736" s="19" t="s">
        <v>90</v>
      </c>
      <c r="E736" s="20" t="n">
        <v>16689</v>
      </c>
      <c r="F736" s="20" t="n">
        <v>0</v>
      </c>
    </row>
    <row r="737" customFormat="false" ht="15" hidden="false" customHeight="false" outlineLevel="0" collapsed="false">
      <c r="A737" s="22" t="n">
        <v>46155</v>
      </c>
      <c r="B737" s="19" t="s">
        <v>50</v>
      </c>
      <c r="C737" s="19" t="s">
        <v>16</v>
      </c>
      <c r="D737" s="19" t="s">
        <v>89</v>
      </c>
      <c r="E737" s="20" t="n">
        <v>35059</v>
      </c>
      <c r="F737" s="20" t="n">
        <v>408070</v>
      </c>
    </row>
    <row r="738" customFormat="false" ht="15" hidden="false" customHeight="false" outlineLevel="0" collapsed="false">
      <c r="A738" s="22" t="n">
        <v>46155</v>
      </c>
      <c r="B738" s="19" t="s">
        <v>50</v>
      </c>
      <c r="C738" s="19" t="s">
        <v>70</v>
      </c>
      <c r="D738" s="19" t="s">
        <v>91</v>
      </c>
      <c r="E738" s="20" t="n">
        <v>11420</v>
      </c>
      <c r="F738" s="20" t="n">
        <v>66930</v>
      </c>
    </row>
    <row r="739" customFormat="false" ht="15" hidden="false" customHeight="false" outlineLevel="0" collapsed="false">
      <c r="A739" s="22" t="n">
        <v>46155</v>
      </c>
      <c r="B739" s="19" t="s">
        <v>50</v>
      </c>
      <c r="C739" s="19" t="s">
        <v>70</v>
      </c>
      <c r="D739" s="19" t="s">
        <v>92</v>
      </c>
      <c r="E739" s="20" t="n">
        <v>6415</v>
      </c>
      <c r="F739" s="20" t="n">
        <v>0</v>
      </c>
    </row>
    <row r="740" customFormat="false" ht="15" hidden="false" customHeight="false" outlineLevel="0" collapsed="false">
      <c r="A740" s="22" t="n">
        <v>46155</v>
      </c>
      <c r="B740" s="19" t="s">
        <v>50</v>
      </c>
      <c r="C740" s="19" t="s">
        <v>14</v>
      </c>
      <c r="D740" s="19" t="s">
        <v>62</v>
      </c>
      <c r="E740" s="20" t="n">
        <v>1881</v>
      </c>
      <c r="F740" s="20" t="n">
        <v>0</v>
      </c>
    </row>
    <row r="741" customFormat="false" ht="15" hidden="false" customHeight="false" outlineLevel="0" collapsed="false">
      <c r="A741" s="22" t="n">
        <v>46155</v>
      </c>
      <c r="B741" s="19" t="s">
        <v>50</v>
      </c>
      <c r="C741" s="19" t="s">
        <v>11</v>
      </c>
      <c r="D741" s="19" t="s">
        <v>63</v>
      </c>
      <c r="E741" s="20" t="n">
        <v>29667</v>
      </c>
      <c r="F741" s="20" t="n">
        <v>39000</v>
      </c>
    </row>
    <row r="742" customFormat="false" ht="15" hidden="false" customHeight="false" outlineLevel="0" collapsed="false">
      <c r="A742" s="22" t="n">
        <v>46156</v>
      </c>
      <c r="B742" s="19" t="s">
        <v>50</v>
      </c>
      <c r="C742" s="19" t="s">
        <v>16</v>
      </c>
      <c r="D742" s="19" t="s">
        <v>59</v>
      </c>
      <c r="E742" s="20" t="n">
        <v>21381</v>
      </c>
      <c r="F742" s="20" t="n">
        <v>0</v>
      </c>
    </row>
    <row r="743" customFormat="false" ht="15" hidden="false" customHeight="false" outlineLevel="0" collapsed="false">
      <c r="A743" s="22" t="n">
        <v>46156</v>
      </c>
      <c r="B743" s="19" t="s">
        <v>50</v>
      </c>
      <c r="C743" s="19" t="s">
        <v>11</v>
      </c>
      <c r="D743" s="19" t="s">
        <v>60</v>
      </c>
      <c r="E743" s="20" t="n">
        <v>152397</v>
      </c>
      <c r="F743" s="20" t="n">
        <v>703833</v>
      </c>
    </row>
    <row r="744" customFormat="false" ht="15" hidden="false" customHeight="false" outlineLevel="0" collapsed="false">
      <c r="A744" s="22" t="n">
        <v>46156</v>
      </c>
      <c r="B744" s="19" t="s">
        <v>50</v>
      </c>
      <c r="C744" s="19" t="s">
        <v>16</v>
      </c>
      <c r="D744" s="19" t="s">
        <v>82</v>
      </c>
      <c r="E744" s="20" t="n">
        <v>168775</v>
      </c>
      <c r="F744" s="20" t="n">
        <v>949385</v>
      </c>
    </row>
    <row r="745" customFormat="false" ht="15" hidden="false" customHeight="false" outlineLevel="0" collapsed="false">
      <c r="A745" s="22" t="n">
        <v>46156</v>
      </c>
      <c r="B745" s="19" t="s">
        <v>50</v>
      </c>
      <c r="C745" s="19" t="s">
        <v>15</v>
      </c>
      <c r="D745" s="19" t="s">
        <v>81</v>
      </c>
      <c r="E745" s="20" t="n">
        <v>83425</v>
      </c>
      <c r="F745" s="20" t="n">
        <v>0</v>
      </c>
    </row>
    <row r="746" customFormat="false" ht="15" hidden="false" customHeight="false" outlineLevel="0" collapsed="false">
      <c r="A746" s="22" t="n">
        <v>46156</v>
      </c>
      <c r="B746" s="19" t="s">
        <v>50</v>
      </c>
      <c r="C746" s="19" t="s">
        <v>12</v>
      </c>
      <c r="D746" s="19" t="s">
        <v>83</v>
      </c>
      <c r="E746" s="20" t="n">
        <v>152242</v>
      </c>
      <c r="F746" s="20" t="n">
        <v>183150</v>
      </c>
    </row>
    <row r="747" customFormat="false" ht="15" hidden="false" customHeight="false" outlineLevel="0" collapsed="false">
      <c r="A747" s="22" t="n">
        <v>46156</v>
      </c>
      <c r="B747" s="19" t="s">
        <v>50</v>
      </c>
      <c r="C747" s="19" t="s">
        <v>12</v>
      </c>
      <c r="D747" s="19" t="s">
        <v>85</v>
      </c>
      <c r="E747" s="20" t="n">
        <v>63432</v>
      </c>
      <c r="F747" s="20" t="n">
        <v>145500</v>
      </c>
    </row>
    <row r="748" customFormat="false" ht="15" hidden="false" customHeight="false" outlineLevel="0" collapsed="false">
      <c r="A748" s="22" t="n">
        <v>46156</v>
      </c>
      <c r="B748" s="19" t="s">
        <v>50</v>
      </c>
      <c r="C748" s="19" t="s">
        <v>12</v>
      </c>
      <c r="D748" s="19" t="s">
        <v>88</v>
      </c>
      <c r="E748" s="20" t="n">
        <v>66253</v>
      </c>
      <c r="F748" s="20" t="n">
        <v>825330</v>
      </c>
    </row>
    <row r="749" customFormat="false" ht="15" hidden="false" customHeight="false" outlineLevel="0" collapsed="false">
      <c r="A749" s="22" t="n">
        <v>46156</v>
      </c>
      <c r="B749" s="19" t="s">
        <v>50</v>
      </c>
      <c r="C749" s="19" t="s">
        <v>16</v>
      </c>
      <c r="D749" s="19" t="s">
        <v>86</v>
      </c>
      <c r="E749" s="20" t="n">
        <v>35078</v>
      </c>
      <c r="F749" s="20" t="n">
        <v>0</v>
      </c>
    </row>
    <row r="750" customFormat="false" ht="15" hidden="false" customHeight="false" outlineLevel="0" collapsed="false">
      <c r="A750" s="22" t="n">
        <v>46156</v>
      </c>
      <c r="B750" s="19" t="s">
        <v>50</v>
      </c>
      <c r="C750" s="19" t="s">
        <v>70</v>
      </c>
      <c r="D750" s="19" t="s">
        <v>90</v>
      </c>
      <c r="E750" s="20" t="n">
        <v>34273</v>
      </c>
      <c r="F750" s="20" t="n">
        <v>0</v>
      </c>
    </row>
    <row r="751" customFormat="false" ht="15" hidden="false" customHeight="false" outlineLevel="0" collapsed="false">
      <c r="A751" s="22" t="n">
        <v>46156</v>
      </c>
      <c r="B751" s="19" t="s">
        <v>50</v>
      </c>
      <c r="C751" s="19" t="s">
        <v>12</v>
      </c>
      <c r="D751" s="19" t="s">
        <v>84</v>
      </c>
      <c r="E751" s="20" t="n">
        <v>1111</v>
      </c>
      <c r="F751" s="20" t="n">
        <v>0</v>
      </c>
    </row>
    <row r="752" customFormat="false" ht="15" hidden="false" customHeight="false" outlineLevel="0" collapsed="false">
      <c r="A752" s="22" t="n">
        <v>46156</v>
      </c>
      <c r="B752" s="19" t="s">
        <v>50</v>
      </c>
      <c r="C752" s="19" t="s">
        <v>70</v>
      </c>
      <c r="D752" s="19" t="s">
        <v>91</v>
      </c>
      <c r="E752" s="20" t="n">
        <v>2807</v>
      </c>
      <c r="F752" s="20" t="n">
        <v>189994</v>
      </c>
    </row>
    <row r="753" customFormat="false" ht="15" hidden="false" customHeight="false" outlineLevel="0" collapsed="false">
      <c r="A753" s="22" t="n">
        <v>46156</v>
      </c>
      <c r="B753" s="19" t="s">
        <v>50</v>
      </c>
      <c r="C753" s="19" t="s">
        <v>14</v>
      </c>
      <c r="D753" s="19" t="s">
        <v>62</v>
      </c>
      <c r="E753" s="20" t="n">
        <v>7826</v>
      </c>
      <c r="F753" s="20" t="n">
        <v>0</v>
      </c>
    </row>
    <row r="754" customFormat="false" ht="15" hidden="false" customHeight="false" outlineLevel="0" collapsed="false">
      <c r="A754" s="22" t="n">
        <v>46156</v>
      </c>
      <c r="B754" s="19" t="s">
        <v>50</v>
      </c>
      <c r="C754" s="19" t="s">
        <v>16</v>
      </c>
      <c r="D754" s="19" t="s">
        <v>89</v>
      </c>
      <c r="E754" s="20" t="n">
        <v>21398</v>
      </c>
      <c r="F754" s="20" t="n">
        <v>0</v>
      </c>
    </row>
    <row r="755" customFormat="false" ht="15" hidden="false" customHeight="false" outlineLevel="0" collapsed="false">
      <c r="A755" s="22" t="n">
        <v>46156</v>
      </c>
      <c r="B755" s="19" t="s">
        <v>50</v>
      </c>
      <c r="C755" s="19" t="s">
        <v>70</v>
      </c>
      <c r="D755" s="19" t="s">
        <v>93</v>
      </c>
      <c r="E755" s="20" t="n">
        <v>3064</v>
      </c>
      <c r="F755" s="20" t="n">
        <v>0</v>
      </c>
    </row>
    <row r="756" customFormat="false" ht="15" hidden="false" customHeight="false" outlineLevel="0" collapsed="false">
      <c r="A756" s="22" t="n">
        <v>46156</v>
      </c>
      <c r="B756" s="19" t="s">
        <v>50</v>
      </c>
      <c r="C756" s="19" t="s">
        <v>70</v>
      </c>
      <c r="D756" s="19" t="s">
        <v>92</v>
      </c>
      <c r="E756" s="20" t="n">
        <v>4912</v>
      </c>
      <c r="F756" s="20" t="n">
        <v>0</v>
      </c>
    </row>
    <row r="757" customFormat="false" ht="15" hidden="false" customHeight="false" outlineLevel="0" collapsed="false">
      <c r="A757" s="22" t="n">
        <v>46156</v>
      </c>
      <c r="B757" s="19" t="s">
        <v>50</v>
      </c>
      <c r="C757" s="19" t="s">
        <v>11</v>
      </c>
      <c r="D757" s="19" t="s">
        <v>63</v>
      </c>
      <c r="E757" s="20" t="n">
        <v>8435</v>
      </c>
      <c r="F757" s="20" t="n">
        <v>39000</v>
      </c>
    </row>
    <row r="758" customFormat="false" ht="15" hidden="false" customHeight="false" outlineLevel="0" collapsed="false">
      <c r="A758" s="22" t="n">
        <v>46157</v>
      </c>
      <c r="B758" s="19" t="s">
        <v>50</v>
      </c>
      <c r="C758" s="19" t="s">
        <v>16</v>
      </c>
      <c r="D758" s="19" t="s">
        <v>59</v>
      </c>
      <c r="E758" s="20" t="n">
        <v>475953</v>
      </c>
      <c r="F758" s="20" t="n">
        <v>2383189</v>
      </c>
    </row>
    <row r="759" customFormat="false" ht="15" hidden="false" customHeight="false" outlineLevel="0" collapsed="false">
      <c r="A759" s="22" t="n">
        <v>46157</v>
      </c>
      <c r="B759" s="19" t="s">
        <v>50</v>
      </c>
      <c r="C759" s="19" t="s">
        <v>12</v>
      </c>
      <c r="D759" s="19" t="s">
        <v>58</v>
      </c>
      <c r="E759" s="20" t="n">
        <v>67540</v>
      </c>
      <c r="F759" s="20" t="n">
        <v>0</v>
      </c>
    </row>
    <row r="760" customFormat="false" ht="15" hidden="false" customHeight="false" outlineLevel="0" collapsed="false">
      <c r="A760" s="22" t="n">
        <v>46157</v>
      </c>
      <c r="B760" s="19" t="s">
        <v>50</v>
      </c>
      <c r="C760" s="19" t="s">
        <v>12</v>
      </c>
      <c r="D760" s="19" t="s">
        <v>72</v>
      </c>
      <c r="E760" s="20" t="n">
        <v>18909</v>
      </c>
      <c r="F760" s="20" t="n">
        <v>0</v>
      </c>
    </row>
    <row r="761" customFormat="false" ht="15" hidden="false" customHeight="false" outlineLevel="0" collapsed="false">
      <c r="A761" s="22" t="n">
        <v>46157</v>
      </c>
      <c r="B761" s="19" t="s">
        <v>50</v>
      </c>
      <c r="C761" s="19" t="s">
        <v>11</v>
      </c>
      <c r="D761" s="19" t="s">
        <v>60</v>
      </c>
      <c r="E761" s="20" t="n">
        <v>151261</v>
      </c>
      <c r="F761" s="20" t="n">
        <v>732211</v>
      </c>
    </row>
    <row r="762" customFormat="false" ht="15" hidden="false" customHeight="false" outlineLevel="0" collapsed="false">
      <c r="A762" s="22" t="n">
        <v>46157</v>
      </c>
      <c r="B762" s="19" t="s">
        <v>50</v>
      </c>
      <c r="C762" s="19" t="s">
        <v>16</v>
      </c>
      <c r="D762" s="19" t="s">
        <v>82</v>
      </c>
      <c r="E762" s="20" t="n">
        <v>300000</v>
      </c>
      <c r="F762" s="20" t="n">
        <v>1695360</v>
      </c>
    </row>
    <row r="763" customFormat="false" ht="15" hidden="false" customHeight="false" outlineLevel="0" collapsed="false">
      <c r="A763" s="22" t="n">
        <v>46157</v>
      </c>
      <c r="B763" s="19" t="s">
        <v>50</v>
      </c>
      <c r="C763" s="19" t="s">
        <v>14</v>
      </c>
      <c r="D763" s="19" t="s">
        <v>62</v>
      </c>
      <c r="E763" s="20" t="n">
        <v>37572</v>
      </c>
      <c r="F763" s="20" t="n">
        <v>300264</v>
      </c>
    </row>
    <row r="764" customFormat="false" ht="15" hidden="false" customHeight="false" outlineLevel="0" collapsed="false">
      <c r="A764" s="22" t="n">
        <v>46157</v>
      </c>
      <c r="B764" s="19" t="s">
        <v>50</v>
      </c>
      <c r="C764" s="19" t="s">
        <v>70</v>
      </c>
      <c r="D764" s="19" t="s">
        <v>91</v>
      </c>
      <c r="E764" s="20" t="n">
        <v>29581</v>
      </c>
      <c r="F764" s="20" t="n">
        <v>0</v>
      </c>
    </row>
    <row r="765" customFormat="false" ht="15" hidden="false" customHeight="false" outlineLevel="0" collapsed="false">
      <c r="A765" s="22" t="n">
        <v>46157</v>
      </c>
      <c r="B765" s="19" t="s">
        <v>50</v>
      </c>
      <c r="C765" s="19" t="s">
        <v>15</v>
      </c>
      <c r="D765" s="19" t="s">
        <v>81</v>
      </c>
      <c r="E765" s="20" t="n">
        <v>27370</v>
      </c>
      <c r="F765" s="20" t="n">
        <v>272832</v>
      </c>
    </row>
    <row r="766" customFormat="false" ht="15" hidden="false" customHeight="false" outlineLevel="0" collapsed="false">
      <c r="A766" s="22" t="n">
        <v>46157</v>
      </c>
      <c r="B766" s="19" t="s">
        <v>50</v>
      </c>
      <c r="C766" s="19" t="s">
        <v>16</v>
      </c>
      <c r="D766" s="19" t="s">
        <v>94</v>
      </c>
      <c r="E766" s="20" t="n">
        <v>34859</v>
      </c>
      <c r="F766" s="20" t="n">
        <v>0</v>
      </c>
    </row>
    <row r="767" customFormat="false" ht="15" hidden="false" customHeight="false" outlineLevel="0" collapsed="false">
      <c r="A767" s="22" t="n">
        <v>46157</v>
      </c>
      <c r="B767" s="19" t="s">
        <v>50</v>
      </c>
      <c r="C767" s="19" t="s">
        <v>12</v>
      </c>
      <c r="D767" s="19" t="s">
        <v>85</v>
      </c>
      <c r="E767" s="20" t="n">
        <v>57430</v>
      </c>
      <c r="F767" s="20" t="n">
        <v>0</v>
      </c>
    </row>
    <row r="768" customFormat="false" ht="15" hidden="false" customHeight="false" outlineLevel="0" collapsed="false">
      <c r="A768" s="22" t="n">
        <v>46157</v>
      </c>
      <c r="B768" s="19" t="s">
        <v>50</v>
      </c>
      <c r="C768" s="19" t="s">
        <v>12</v>
      </c>
      <c r="D768" s="19" t="s">
        <v>83</v>
      </c>
      <c r="E768" s="20" t="n">
        <v>64945</v>
      </c>
      <c r="F768" s="20" t="n">
        <v>163639</v>
      </c>
    </row>
    <row r="769" customFormat="false" ht="15" hidden="false" customHeight="false" outlineLevel="0" collapsed="false">
      <c r="A769" s="22" t="n">
        <v>46157</v>
      </c>
      <c r="B769" s="19" t="s">
        <v>50</v>
      </c>
      <c r="C769" s="19" t="s">
        <v>12</v>
      </c>
      <c r="D769" s="19" t="s">
        <v>88</v>
      </c>
      <c r="E769" s="20" t="n">
        <v>102047</v>
      </c>
      <c r="F769" s="20" t="n">
        <v>1725000</v>
      </c>
    </row>
    <row r="770" customFormat="false" ht="15" hidden="false" customHeight="false" outlineLevel="0" collapsed="false">
      <c r="A770" s="22" t="n">
        <v>46157</v>
      </c>
      <c r="B770" s="19" t="s">
        <v>50</v>
      </c>
      <c r="C770" s="19" t="s">
        <v>70</v>
      </c>
      <c r="D770" s="19" t="s">
        <v>93</v>
      </c>
      <c r="E770" s="20" t="n">
        <v>25146</v>
      </c>
      <c r="F770" s="20" t="n">
        <v>0</v>
      </c>
    </row>
    <row r="771" customFormat="false" ht="15" hidden="false" customHeight="false" outlineLevel="0" collapsed="false">
      <c r="A771" s="22" t="n">
        <v>46157</v>
      </c>
      <c r="B771" s="19" t="s">
        <v>50</v>
      </c>
      <c r="C771" s="19" t="s">
        <v>70</v>
      </c>
      <c r="D771" s="19" t="s">
        <v>90</v>
      </c>
      <c r="E771" s="20" t="n">
        <v>36687</v>
      </c>
      <c r="F771" s="20" t="n">
        <v>0</v>
      </c>
    </row>
    <row r="772" customFormat="false" ht="15" hidden="false" customHeight="false" outlineLevel="0" collapsed="false">
      <c r="A772" s="22" t="n">
        <v>46157</v>
      </c>
      <c r="B772" s="19" t="s">
        <v>50</v>
      </c>
      <c r="C772" s="19" t="s">
        <v>16</v>
      </c>
      <c r="D772" s="19" t="s">
        <v>80</v>
      </c>
      <c r="E772" s="20" t="n">
        <v>25730</v>
      </c>
      <c r="F772" s="20" t="n">
        <v>1137453</v>
      </c>
    </row>
    <row r="773" customFormat="false" ht="15" hidden="false" customHeight="false" outlineLevel="0" collapsed="false">
      <c r="A773" s="22" t="n">
        <v>46157</v>
      </c>
      <c r="B773" s="19" t="s">
        <v>50</v>
      </c>
      <c r="C773" s="19" t="s">
        <v>16</v>
      </c>
      <c r="D773" s="19" t="s">
        <v>86</v>
      </c>
      <c r="E773" s="20" t="n">
        <v>67016</v>
      </c>
      <c r="F773" s="20" t="n">
        <v>179450</v>
      </c>
    </row>
    <row r="774" customFormat="false" ht="15" hidden="false" customHeight="false" outlineLevel="0" collapsed="false">
      <c r="A774" s="22" t="n">
        <v>46157</v>
      </c>
      <c r="B774" s="19" t="s">
        <v>50</v>
      </c>
      <c r="C774" s="19" t="s">
        <v>16</v>
      </c>
      <c r="D774" s="19" t="s">
        <v>89</v>
      </c>
      <c r="E774" s="20" t="n">
        <v>46173</v>
      </c>
      <c r="F774" s="20" t="n">
        <v>0</v>
      </c>
    </row>
    <row r="775" customFormat="false" ht="15" hidden="false" customHeight="false" outlineLevel="0" collapsed="false">
      <c r="A775" s="22" t="n">
        <v>46157</v>
      </c>
      <c r="B775" s="19" t="s">
        <v>50</v>
      </c>
      <c r="C775" s="19" t="s">
        <v>12</v>
      </c>
      <c r="D775" s="19" t="s">
        <v>84</v>
      </c>
      <c r="E775" s="20" t="n">
        <v>4085</v>
      </c>
      <c r="F775" s="20" t="n">
        <v>0</v>
      </c>
    </row>
    <row r="776" customFormat="false" ht="15" hidden="false" customHeight="false" outlineLevel="0" collapsed="false">
      <c r="A776" s="22" t="n">
        <v>46157</v>
      </c>
      <c r="B776" s="19" t="s">
        <v>50</v>
      </c>
      <c r="C776" s="19" t="s">
        <v>12</v>
      </c>
      <c r="D776" s="19" t="s">
        <v>87</v>
      </c>
      <c r="E776" s="20" t="n">
        <v>4208</v>
      </c>
      <c r="F776" s="20" t="n">
        <v>0</v>
      </c>
    </row>
    <row r="777" customFormat="false" ht="15" hidden="false" customHeight="false" outlineLevel="0" collapsed="false">
      <c r="A777" s="22" t="n">
        <v>46157</v>
      </c>
      <c r="B777" s="19" t="s">
        <v>50</v>
      </c>
      <c r="C777" s="19" t="s">
        <v>70</v>
      </c>
      <c r="D777" s="19" t="s">
        <v>92</v>
      </c>
      <c r="E777" s="20" t="n">
        <v>7709</v>
      </c>
      <c r="F777" s="20" t="n">
        <v>115000</v>
      </c>
    </row>
    <row r="778" customFormat="false" ht="15" hidden="false" customHeight="false" outlineLevel="0" collapsed="false">
      <c r="A778" s="22" t="n">
        <v>46157</v>
      </c>
      <c r="B778" s="19" t="s">
        <v>50</v>
      </c>
      <c r="C778" s="19" t="s">
        <v>11</v>
      </c>
      <c r="D778" s="19" t="s">
        <v>63</v>
      </c>
      <c r="E778" s="20" t="n">
        <v>5186</v>
      </c>
      <c r="F778" s="20" t="n">
        <v>0</v>
      </c>
    </row>
    <row r="779" customFormat="false" ht="15" hidden="false" customHeight="false" outlineLevel="0" collapsed="false">
      <c r="A779" s="22" t="n">
        <v>46157</v>
      </c>
      <c r="B779" s="19" t="s">
        <v>50</v>
      </c>
      <c r="C779" s="19" t="s">
        <v>13</v>
      </c>
      <c r="D779" s="19" t="s">
        <v>64</v>
      </c>
      <c r="E779" s="20" t="n">
        <v>340318</v>
      </c>
      <c r="F779" s="20" t="n">
        <v>1724489</v>
      </c>
    </row>
    <row r="780" customFormat="false" ht="15" hidden="false" customHeight="false" outlineLevel="0" collapsed="false">
      <c r="A780" s="22" t="n">
        <v>46157</v>
      </c>
      <c r="B780" s="19" t="s">
        <v>50</v>
      </c>
      <c r="C780" s="19" t="s">
        <v>12</v>
      </c>
      <c r="D780" s="19" t="s">
        <v>65</v>
      </c>
      <c r="E780" s="20" t="n">
        <v>225577</v>
      </c>
      <c r="F780" s="20" t="n">
        <v>614327</v>
      </c>
    </row>
    <row r="781" customFormat="false" ht="15" hidden="false" customHeight="false" outlineLevel="0" collapsed="false">
      <c r="A781" s="22" t="n">
        <v>46158</v>
      </c>
      <c r="B781" s="19" t="s">
        <v>50</v>
      </c>
      <c r="C781" s="19" t="s">
        <v>16</v>
      </c>
      <c r="D781" s="19" t="s">
        <v>59</v>
      </c>
      <c r="E781" s="20" t="n">
        <v>124359</v>
      </c>
      <c r="F781" s="20" t="n">
        <v>418038</v>
      </c>
    </row>
    <row r="782" customFormat="false" ht="15" hidden="false" customHeight="false" outlineLevel="0" collapsed="false">
      <c r="A782" s="22" t="n">
        <v>46158</v>
      </c>
      <c r="B782" s="19" t="s">
        <v>50</v>
      </c>
      <c r="C782" s="19" t="s">
        <v>12</v>
      </c>
      <c r="D782" s="19" t="s">
        <v>58</v>
      </c>
      <c r="E782" s="20" t="n">
        <v>82340</v>
      </c>
      <c r="F782" s="20" t="n">
        <v>0</v>
      </c>
    </row>
    <row r="783" customFormat="false" ht="15" hidden="false" customHeight="false" outlineLevel="0" collapsed="false">
      <c r="A783" s="22" t="n">
        <v>46158</v>
      </c>
      <c r="B783" s="19" t="s">
        <v>50</v>
      </c>
      <c r="C783" s="19" t="s">
        <v>12</v>
      </c>
      <c r="D783" s="19" t="s">
        <v>72</v>
      </c>
      <c r="E783" s="20" t="n">
        <v>73340</v>
      </c>
      <c r="F783" s="20" t="n">
        <v>419000</v>
      </c>
    </row>
    <row r="784" customFormat="false" ht="15" hidden="false" customHeight="false" outlineLevel="0" collapsed="false">
      <c r="A784" s="22" t="n">
        <v>46158</v>
      </c>
      <c r="B784" s="19" t="s">
        <v>50</v>
      </c>
      <c r="C784" s="19" t="s">
        <v>16</v>
      </c>
      <c r="D784" s="19" t="s">
        <v>80</v>
      </c>
      <c r="E784" s="20" t="n">
        <v>200000</v>
      </c>
      <c r="F784" s="20" t="n">
        <v>583850</v>
      </c>
    </row>
    <row r="785" customFormat="false" ht="15" hidden="false" customHeight="false" outlineLevel="0" collapsed="false">
      <c r="A785" s="22" t="n">
        <v>46158</v>
      </c>
      <c r="B785" s="19" t="s">
        <v>50</v>
      </c>
      <c r="C785" s="19" t="s">
        <v>16</v>
      </c>
      <c r="D785" s="19" t="s">
        <v>94</v>
      </c>
      <c r="E785" s="20" t="n">
        <v>108563</v>
      </c>
      <c r="F785" s="20" t="n">
        <v>179450</v>
      </c>
    </row>
    <row r="786" customFormat="false" ht="15" hidden="false" customHeight="false" outlineLevel="0" collapsed="false">
      <c r="A786" s="22" t="n">
        <v>46158</v>
      </c>
      <c r="B786" s="19" t="s">
        <v>50</v>
      </c>
      <c r="C786" s="19" t="s">
        <v>11</v>
      </c>
      <c r="D786" s="19" t="s">
        <v>60</v>
      </c>
      <c r="E786" s="20" t="n">
        <v>27120</v>
      </c>
      <c r="F786" s="20" t="n">
        <v>89700</v>
      </c>
    </row>
    <row r="787" customFormat="false" ht="15" hidden="false" customHeight="false" outlineLevel="0" collapsed="false">
      <c r="A787" s="22" t="n">
        <v>46158</v>
      </c>
      <c r="B787" s="19" t="s">
        <v>50</v>
      </c>
      <c r="C787" s="19" t="s">
        <v>70</v>
      </c>
      <c r="D787" s="19" t="s">
        <v>91</v>
      </c>
      <c r="E787" s="20" t="n">
        <v>48299</v>
      </c>
      <c r="F787" s="20" t="n">
        <v>138000</v>
      </c>
    </row>
    <row r="788" customFormat="false" ht="15" hidden="false" customHeight="false" outlineLevel="0" collapsed="false">
      <c r="A788" s="22" t="n">
        <v>46158</v>
      </c>
      <c r="B788" s="19" t="s">
        <v>50</v>
      </c>
      <c r="C788" s="19" t="s">
        <v>14</v>
      </c>
      <c r="D788" s="19" t="s">
        <v>62</v>
      </c>
      <c r="E788" s="20" t="n">
        <v>5038</v>
      </c>
      <c r="F788" s="20" t="n">
        <v>0</v>
      </c>
    </row>
    <row r="789" customFormat="false" ht="15" hidden="false" customHeight="false" outlineLevel="0" collapsed="false">
      <c r="A789" s="22" t="n">
        <v>46158</v>
      </c>
      <c r="B789" s="19" t="s">
        <v>50</v>
      </c>
      <c r="C789" s="19" t="s">
        <v>70</v>
      </c>
      <c r="D789" s="19" t="s">
        <v>93</v>
      </c>
      <c r="E789" s="20" t="n">
        <v>20996</v>
      </c>
      <c r="F789" s="20" t="n">
        <v>0</v>
      </c>
    </row>
    <row r="790" customFormat="false" ht="15" hidden="false" customHeight="false" outlineLevel="0" collapsed="false">
      <c r="A790" s="22" t="n">
        <v>46158</v>
      </c>
      <c r="B790" s="19" t="s">
        <v>50</v>
      </c>
      <c r="C790" s="19" t="s">
        <v>11</v>
      </c>
      <c r="D790" s="19" t="s">
        <v>63</v>
      </c>
      <c r="E790" s="20" t="n">
        <v>18576</v>
      </c>
      <c r="F790" s="20" t="n">
        <v>72399</v>
      </c>
    </row>
    <row r="791" customFormat="false" ht="15" hidden="false" customHeight="false" outlineLevel="0" collapsed="false">
      <c r="A791" s="22" t="n">
        <v>46158</v>
      </c>
      <c r="B791" s="19" t="s">
        <v>50</v>
      </c>
      <c r="C791" s="19" t="s">
        <v>13</v>
      </c>
      <c r="D791" s="19" t="s">
        <v>64</v>
      </c>
      <c r="E791" s="20" t="n">
        <v>298893</v>
      </c>
      <c r="F791" s="20" t="n">
        <v>1541430</v>
      </c>
    </row>
    <row r="792" customFormat="false" ht="15" hidden="false" customHeight="false" outlineLevel="0" collapsed="false">
      <c r="A792" s="22" t="n">
        <v>46158</v>
      </c>
      <c r="B792" s="19" t="s">
        <v>50</v>
      </c>
      <c r="C792" s="19" t="s">
        <v>12</v>
      </c>
      <c r="D792" s="19" t="s">
        <v>65</v>
      </c>
      <c r="E792" s="20" t="n">
        <v>248744</v>
      </c>
      <c r="F792" s="20" t="n">
        <v>1401651</v>
      </c>
    </row>
    <row r="793" customFormat="false" ht="15" hidden="false" customHeight="false" outlineLevel="0" collapsed="false">
      <c r="A793" s="22" t="n">
        <v>46159</v>
      </c>
      <c r="B793" s="19" t="s">
        <v>50</v>
      </c>
      <c r="C793" s="19" t="s">
        <v>12</v>
      </c>
      <c r="D793" s="19" t="s">
        <v>58</v>
      </c>
      <c r="E793" s="20" t="n">
        <v>30309</v>
      </c>
      <c r="F793" s="20" t="n">
        <v>0</v>
      </c>
    </row>
    <row r="794" customFormat="false" ht="15" hidden="false" customHeight="false" outlineLevel="0" collapsed="false">
      <c r="A794" s="22" t="n">
        <v>46159</v>
      </c>
      <c r="B794" s="19" t="s">
        <v>50</v>
      </c>
      <c r="C794" s="19" t="s">
        <v>12</v>
      </c>
      <c r="D794" s="19" t="s">
        <v>72</v>
      </c>
      <c r="E794" s="20" t="n">
        <v>89703</v>
      </c>
      <c r="F794" s="20" t="n">
        <v>465000</v>
      </c>
    </row>
    <row r="795" customFormat="false" ht="15" hidden="false" customHeight="false" outlineLevel="0" collapsed="false">
      <c r="A795" s="22" t="n">
        <v>46159</v>
      </c>
      <c r="B795" s="19" t="s">
        <v>50</v>
      </c>
      <c r="C795" s="19" t="s">
        <v>16</v>
      </c>
      <c r="D795" s="19" t="s">
        <v>59</v>
      </c>
      <c r="E795" s="20" t="n">
        <v>1723</v>
      </c>
      <c r="F795" s="20" t="n">
        <v>0</v>
      </c>
    </row>
    <row r="796" customFormat="false" ht="15" hidden="false" customHeight="false" outlineLevel="0" collapsed="false">
      <c r="A796" s="22" t="n">
        <v>46159</v>
      </c>
      <c r="B796" s="19" t="s">
        <v>50</v>
      </c>
      <c r="C796" s="19" t="s">
        <v>16</v>
      </c>
      <c r="D796" s="19" t="s">
        <v>94</v>
      </c>
      <c r="E796" s="20" t="n">
        <v>127241</v>
      </c>
      <c r="F796" s="20" t="n">
        <v>380000</v>
      </c>
    </row>
    <row r="797" customFormat="false" ht="15" hidden="false" customHeight="false" outlineLevel="0" collapsed="false">
      <c r="A797" s="22" t="n">
        <v>46159</v>
      </c>
      <c r="B797" s="19" t="s">
        <v>50</v>
      </c>
      <c r="C797" s="19" t="s">
        <v>11</v>
      </c>
      <c r="D797" s="19" t="s">
        <v>60</v>
      </c>
      <c r="E797" s="20" t="n">
        <v>40757</v>
      </c>
      <c r="F797" s="20" t="n">
        <v>218400</v>
      </c>
    </row>
    <row r="798" customFormat="false" ht="15" hidden="false" customHeight="false" outlineLevel="0" collapsed="false">
      <c r="A798" s="22" t="n">
        <v>46159</v>
      </c>
      <c r="B798" s="19" t="s">
        <v>50</v>
      </c>
      <c r="C798" s="19" t="s">
        <v>16</v>
      </c>
      <c r="D798" s="19" t="s">
        <v>80</v>
      </c>
      <c r="E798" s="20" t="n">
        <v>44782</v>
      </c>
      <c r="F798" s="20" t="n">
        <v>0</v>
      </c>
    </row>
    <row r="799" customFormat="false" ht="15" hidden="false" customHeight="false" outlineLevel="0" collapsed="false">
      <c r="A799" s="22" t="n">
        <v>46159</v>
      </c>
      <c r="B799" s="19" t="s">
        <v>50</v>
      </c>
      <c r="C799" s="19" t="s">
        <v>70</v>
      </c>
      <c r="D799" s="19" t="s">
        <v>91</v>
      </c>
      <c r="E799" s="20" t="n">
        <v>36560</v>
      </c>
      <c r="F799" s="20" t="n">
        <v>69000</v>
      </c>
    </row>
    <row r="800" customFormat="false" ht="15" hidden="false" customHeight="false" outlineLevel="0" collapsed="false">
      <c r="A800" s="22" t="n">
        <v>46159</v>
      </c>
      <c r="B800" s="19" t="s">
        <v>50</v>
      </c>
      <c r="C800" s="19" t="s">
        <v>14</v>
      </c>
      <c r="D800" s="19" t="s">
        <v>62</v>
      </c>
      <c r="E800" s="20" t="n">
        <v>4217</v>
      </c>
      <c r="F800" s="20" t="n">
        <v>0</v>
      </c>
    </row>
    <row r="801" customFormat="false" ht="15" hidden="false" customHeight="false" outlineLevel="0" collapsed="false">
      <c r="A801" s="22" t="n">
        <v>46159</v>
      </c>
      <c r="B801" s="19" t="s">
        <v>50</v>
      </c>
      <c r="C801" s="19" t="s">
        <v>70</v>
      </c>
      <c r="D801" s="19" t="s">
        <v>93</v>
      </c>
      <c r="E801" s="20" t="n">
        <v>25513</v>
      </c>
      <c r="F801" s="20" t="n">
        <v>0</v>
      </c>
    </row>
    <row r="802" customFormat="false" ht="15" hidden="false" customHeight="false" outlineLevel="0" collapsed="false">
      <c r="A802" s="22" t="n">
        <v>46159</v>
      </c>
      <c r="B802" s="19" t="s">
        <v>50</v>
      </c>
      <c r="C802" s="19" t="s">
        <v>11</v>
      </c>
      <c r="D802" s="19" t="s">
        <v>63</v>
      </c>
      <c r="E802" s="20" t="n">
        <v>1864</v>
      </c>
      <c r="F802" s="20" t="n">
        <v>0</v>
      </c>
    </row>
    <row r="803" customFormat="false" ht="15" hidden="false" customHeight="false" outlineLevel="0" collapsed="false">
      <c r="A803" s="22" t="n">
        <v>46159</v>
      </c>
      <c r="B803" s="19" t="s">
        <v>50</v>
      </c>
      <c r="C803" s="19" t="s">
        <v>13</v>
      </c>
      <c r="D803" s="19" t="s">
        <v>64</v>
      </c>
      <c r="E803" s="20" t="n">
        <v>379236</v>
      </c>
      <c r="F803" s="20" t="n">
        <v>1813767</v>
      </c>
    </row>
    <row r="804" customFormat="false" ht="15" hidden="false" customHeight="false" outlineLevel="0" collapsed="false">
      <c r="A804" s="22" t="n">
        <v>46159</v>
      </c>
      <c r="B804" s="19" t="s">
        <v>50</v>
      </c>
      <c r="C804" s="19" t="s">
        <v>12</v>
      </c>
      <c r="D804" s="19" t="s">
        <v>65</v>
      </c>
      <c r="E804" s="20" t="n">
        <v>300000</v>
      </c>
      <c r="F804" s="20" t="n">
        <v>1586528</v>
      </c>
    </row>
    <row r="805" customFormat="false" ht="15" hidden="false" customHeight="false" outlineLevel="0" collapsed="false">
      <c r="A805" s="22" t="n">
        <v>46160</v>
      </c>
      <c r="B805" s="19" t="s">
        <v>50</v>
      </c>
      <c r="C805" s="19" t="s">
        <v>16</v>
      </c>
      <c r="D805" s="19" t="s">
        <v>59</v>
      </c>
      <c r="E805" s="20" t="n">
        <v>24837</v>
      </c>
      <c r="F805" s="20" t="n">
        <v>0</v>
      </c>
    </row>
    <row r="806" customFormat="false" ht="15" hidden="false" customHeight="false" outlineLevel="0" collapsed="false">
      <c r="A806" s="22" t="n">
        <v>46160</v>
      </c>
      <c r="B806" s="19" t="s">
        <v>50</v>
      </c>
      <c r="C806" s="19" t="s">
        <v>12</v>
      </c>
      <c r="D806" s="19" t="s">
        <v>58</v>
      </c>
      <c r="E806" s="20" t="n">
        <v>48079</v>
      </c>
      <c r="F806" s="20" t="n">
        <v>0</v>
      </c>
    </row>
    <row r="807" customFormat="false" ht="15" hidden="false" customHeight="false" outlineLevel="0" collapsed="false">
      <c r="A807" s="22" t="n">
        <v>46160</v>
      </c>
      <c r="B807" s="19" t="s">
        <v>50</v>
      </c>
      <c r="C807" s="19" t="s">
        <v>12</v>
      </c>
      <c r="D807" s="19" t="s">
        <v>72</v>
      </c>
      <c r="E807" s="20" t="n">
        <v>13731</v>
      </c>
      <c r="F807" s="20" t="n">
        <v>70000</v>
      </c>
    </row>
    <row r="808" customFormat="false" ht="15" hidden="false" customHeight="false" outlineLevel="0" collapsed="false">
      <c r="A808" s="22" t="n">
        <v>46160</v>
      </c>
      <c r="B808" s="19" t="s">
        <v>50</v>
      </c>
      <c r="C808" s="19" t="s">
        <v>11</v>
      </c>
      <c r="D808" s="19" t="s">
        <v>60</v>
      </c>
      <c r="E808" s="20" t="n">
        <v>80811</v>
      </c>
      <c r="F808" s="20" t="n">
        <v>320234</v>
      </c>
    </row>
    <row r="809" customFormat="false" ht="15" hidden="false" customHeight="false" outlineLevel="0" collapsed="false">
      <c r="A809" s="22" t="n">
        <v>46160</v>
      </c>
      <c r="B809" s="19" t="s">
        <v>50</v>
      </c>
      <c r="C809" s="19" t="s">
        <v>16</v>
      </c>
      <c r="D809" s="19" t="s">
        <v>94</v>
      </c>
      <c r="E809" s="20" t="n">
        <v>138029</v>
      </c>
      <c r="F809" s="20" t="n">
        <v>591500</v>
      </c>
    </row>
    <row r="810" customFormat="false" ht="15" hidden="false" customHeight="false" outlineLevel="0" collapsed="false">
      <c r="A810" s="22" t="n">
        <v>46160</v>
      </c>
      <c r="B810" s="19" t="s">
        <v>50</v>
      </c>
      <c r="C810" s="19" t="s">
        <v>70</v>
      </c>
      <c r="D810" s="19" t="s">
        <v>91</v>
      </c>
      <c r="E810" s="20" t="n">
        <v>19058</v>
      </c>
      <c r="F810" s="20" t="n">
        <v>0</v>
      </c>
    </row>
    <row r="811" customFormat="false" ht="15" hidden="false" customHeight="false" outlineLevel="0" collapsed="false">
      <c r="A811" s="22" t="n">
        <v>46160</v>
      </c>
      <c r="B811" s="19" t="s">
        <v>50</v>
      </c>
      <c r="C811" s="19" t="s">
        <v>16</v>
      </c>
      <c r="D811" s="19" t="s">
        <v>80</v>
      </c>
      <c r="E811" s="20" t="n">
        <v>55960</v>
      </c>
      <c r="F811" s="20" t="n">
        <v>225600</v>
      </c>
    </row>
    <row r="812" customFormat="false" ht="15" hidden="false" customHeight="false" outlineLevel="0" collapsed="false">
      <c r="A812" s="22" t="n">
        <v>46160</v>
      </c>
      <c r="B812" s="19" t="s">
        <v>50</v>
      </c>
      <c r="C812" s="19" t="s">
        <v>14</v>
      </c>
      <c r="D812" s="19" t="s">
        <v>62</v>
      </c>
      <c r="E812" s="20" t="n">
        <v>10</v>
      </c>
      <c r="F812" s="20" t="n">
        <v>0</v>
      </c>
    </row>
    <row r="813" customFormat="false" ht="15" hidden="false" customHeight="false" outlineLevel="0" collapsed="false">
      <c r="A813" s="22" t="n">
        <v>46160</v>
      </c>
      <c r="B813" s="19" t="s">
        <v>50</v>
      </c>
      <c r="C813" s="19" t="s">
        <v>70</v>
      </c>
      <c r="D813" s="19" t="s">
        <v>93</v>
      </c>
      <c r="E813" s="20" t="n">
        <v>8278</v>
      </c>
      <c r="F813" s="20" t="n">
        <v>0</v>
      </c>
    </row>
    <row r="814" customFormat="false" ht="15" hidden="false" customHeight="false" outlineLevel="0" collapsed="false">
      <c r="A814" s="22" t="n">
        <v>46160</v>
      </c>
      <c r="B814" s="19" t="s">
        <v>50</v>
      </c>
      <c r="C814" s="19" t="s">
        <v>11</v>
      </c>
      <c r="D814" s="19" t="s">
        <v>63</v>
      </c>
      <c r="E814" s="20" t="n">
        <v>13497</v>
      </c>
      <c r="F814" s="20" t="n">
        <v>76596</v>
      </c>
    </row>
    <row r="815" customFormat="false" ht="15" hidden="false" customHeight="false" outlineLevel="0" collapsed="false">
      <c r="A815" s="22" t="n">
        <v>46160</v>
      </c>
      <c r="B815" s="19" t="s">
        <v>50</v>
      </c>
      <c r="C815" s="19" t="s">
        <v>13</v>
      </c>
      <c r="D815" s="19" t="s">
        <v>64</v>
      </c>
      <c r="E815" s="20" t="n">
        <v>187161</v>
      </c>
      <c r="F815" s="20" t="n">
        <v>951072</v>
      </c>
    </row>
    <row r="816" customFormat="false" ht="15" hidden="false" customHeight="false" outlineLevel="0" collapsed="false">
      <c r="A816" s="22" t="n">
        <v>46160</v>
      </c>
      <c r="B816" s="19" t="s">
        <v>50</v>
      </c>
      <c r="C816" s="19" t="s">
        <v>12</v>
      </c>
      <c r="D816" s="19" t="s">
        <v>65</v>
      </c>
      <c r="E816" s="20" t="n">
        <v>107587</v>
      </c>
      <c r="F816" s="20" t="n">
        <v>520000</v>
      </c>
    </row>
    <row r="817" customFormat="false" ht="15" hidden="false" customHeight="false" outlineLevel="0" collapsed="false">
      <c r="A817" s="22" t="n">
        <v>46161</v>
      </c>
      <c r="B817" s="19" t="s">
        <v>50</v>
      </c>
      <c r="C817" s="19" t="s">
        <v>16</v>
      </c>
      <c r="D817" s="19" t="s">
        <v>59</v>
      </c>
      <c r="E817" s="20" t="n">
        <v>157663</v>
      </c>
      <c r="F817" s="20" t="n">
        <v>852280</v>
      </c>
    </row>
    <row r="818" customFormat="false" ht="15" hidden="false" customHeight="false" outlineLevel="0" collapsed="false">
      <c r="A818" s="22" t="n">
        <v>46161</v>
      </c>
      <c r="B818" s="19" t="s">
        <v>50</v>
      </c>
      <c r="C818" s="19" t="s">
        <v>12</v>
      </c>
      <c r="D818" s="19" t="s">
        <v>58</v>
      </c>
      <c r="E818" s="20" t="n">
        <v>90253</v>
      </c>
      <c r="F818" s="20" t="n">
        <v>175000</v>
      </c>
    </row>
    <row r="819" customFormat="false" ht="15" hidden="false" customHeight="false" outlineLevel="0" collapsed="false">
      <c r="A819" s="22" t="n">
        <v>46161</v>
      </c>
      <c r="B819" s="19" t="s">
        <v>50</v>
      </c>
      <c r="C819" s="19" t="s">
        <v>12</v>
      </c>
      <c r="D819" s="19" t="s">
        <v>72</v>
      </c>
      <c r="E819" s="20" t="n">
        <v>5086</v>
      </c>
      <c r="F819" s="20" t="n">
        <v>0</v>
      </c>
    </row>
    <row r="820" customFormat="false" ht="15" hidden="false" customHeight="false" outlineLevel="0" collapsed="false">
      <c r="A820" s="22" t="n">
        <v>46161</v>
      </c>
      <c r="B820" s="19" t="s">
        <v>50</v>
      </c>
      <c r="C820" s="19" t="s">
        <v>16</v>
      </c>
      <c r="D820" s="19" t="s">
        <v>94</v>
      </c>
      <c r="E820" s="20" t="n">
        <v>138504</v>
      </c>
      <c r="F820" s="20" t="n">
        <v>1370520</v>
      </c>
    </row>
    <row r="821" customFormat="false" ht="15" hidden="false" customHeight="false" outlineLevel="0" collapsed="false">
      <c r="A821" s="22" t="n">
        <v>46161</v>
      </c>
      <c r="B821" s="19" t="s">
        <v>50</v>
      </c>
      <c r="C821" s="19" t="s">
        <v>11</v>
      </c>
      <c r="D821" s="19" t="s">
        <v>60</v>
      </c>
      <c r="E821" s="20" t="n">
        <v>25822</v>
      </c>
      <c r="F821" s="20" t="n">
        <v>109200</v>
      </c>
    </row>
    <row r="822" customFormat="false" ht="15" hidden="false" customHeight="false" outlineLevel="0" collapsed="false">
      <c r="A822" s="22" t="n">
        <v>46161</v>
      </c>
      <c r="B822" s="19" t="s">
        <v>50</v>
      </c>
      <c r="C822" s="19" t="s">
        <v>70</v>
      </c>
      <c r="D822" s="19" t="s">
        <v>91</v>
      </c>
      <c r="E822" s="20" t="n">
        <v>56847</v>
      </c>
      <c r="F822" s="20" t="n">
        <v>69000</v>
      </c>
    </row>
    <row r="823" customFormat="false" ht="15" hidden="false" customHeight="false" outlineLevel="0" collapsed="false">
      <c r="A823" s="22" t="n">
        <v>46161</v>
      </c>
      <c r="B823" s="19" t="s">
        <v>50</v>
      </c>
      <c r="C823" s="19" t="s">
        <v>16</v>
      </c>
      <c r="D823" s="19" t="s">
        <v>80</v>
      </c>
      <c r="E823" s="20" t="n">
        <v>9395</v>
      </c>
      <c r="F823" s="20" t="n">
        <v>0</v>
      </c>
    </row>
    <row r="824" customFormat="false" ht="15" hidden="false" customHeight="false" outlineLevel="0" collapsed="false">
      <c r="A824" s="22" t="n">
        <v>46161</v>
      </c>
      <c r="B824" s="19" t="s">
        <v>50</v>
      </c>
      <c r="C824" s="19" t="s">
        <v>14</v>
      </c>
      <c r="D824" s="19" t="s">
        <v>62</v>
      </c>
      <c r="E824" s="20" t="n">
        <v>2429</v>
      </c>
      <c r="F824" s="20" t="n">
        <v>0</v>
      </c>
    </row>
    <row r="825" customFormat="false" ht="15" hidden="false" customHeight="false" outlineLevel="0" collapsed="false">
      <c r="A825" s="22" t="n">
        <v>46161</v>
      </c>
      <c r="B825" s="19" t="s">
        <v>50</v>
      </c>
      <c r="C825" s="19" t="s">
        <v>70</v>
      </c>
      <c r="D825" s="19" t="s">
        <v>93</v>
      </c>
      <c r="E825" s="20" t="n">
        <v>5377</v>
      </c>
      <c r="F825" s="20" t="n">
        <v>0</v>
      </c>
    </row>
    <row r="826" customFormat="false" ht="15" hidden="false" customHeight="false" outlineLevel="0" collapsed="false">
      <c r="A826" s="22" t="n">
        <v>46161</v>
      </c>
      <c r="B826" s="19" t="s">
        <v>50</v>
      </c>
      <c r="C826" s="19" t="s">
        <v>11</v>
      </c>
      <c r="D826" s="19" t="s">
        <v>63</v>
      </c>
      <c r="E826" s="20" t="n">
        <v>9048</v>
      </c>
      <c r="F826" s="20" t="n">
        <v>37427</v>
      </c>
    </row>
    <row r="827" customFormat="false" ht="15" hidden="false" customHeight="false" outlineLevel="0" collapsed="false">
      <c r="A827" s="22" t="n">
        <v>46161</v>
      </c>
      <c r="B827" s="19" t="s">
        <v>50</v>
      </c>
      <c r="C827" s="19" t="s">
        <v>13</v>
      </c>
      <c r="D827" s="19" t="s">
        <v>64</v>
      </c>
      <c r="E827" s="20" t="n">
        <v>303972</v>
      </c>
      <c r="F827" s="20" t="n">
        <v>1710453</v>
      </c>
    </row>
    <row r="828" customFormat="false" ht="15" hidden="false" customHeight="false" outlineLevel="0" collapsed="false">
      <c r="A828" s="22" t="n">
        <v>46161</v>
      </c>
      <c r="B828" s="19" t="s">
        <v>50</v>
      </c>
      <c r="C828" s="19" t="s">
        <v>12</v>
      </c>
      <c r="D828" s="19" t="s">
        <v>65</v>
      </c>
      <c r="E828" s="20" t="n">
        <v>224616</v>
      </c>
      <c r="F828" s="20" t="n">
        <v>1090907</v>
      </c>
    </row>
    <row r="829" customFormat="false" ht="15" hidden="false" customHeight="false" outlineLevel="0" collapsed="false">
      <c r="A829" s="22" t="n">
        <v>46162</v>
      </c>
      <c r="B829" s="19" t="s">
        <v>50</v>
      </c>
      <c r="C829" s="19" t="s">
        <v>16</v>
      </c>
      <c r="D829" s="19" t="s">
        <v>59</v>
      </c>
      <c r="E829" s="20" t="n">
        <v>194908</v>
      </c>
      <c r="F829" s="20" t="n">
        <v>1035040</v>
      </c>
    </row>
    <row r="830" customFormat="false" ht="15" hidden="false" customHeight="false" outlineLevel="0" collapsed="false">
      <c r="A830" s="22" t="n">
        <v>46162</v>
      </c>
      <c r="B830" s="19" t="s">
        <v>50</v>
      </c>
      <c r="C830" s="19" t="s">
        <v>12</v>
      </c>
      <c r="D830" s="19" t="s">
        <v>58</v>
      </c>
      <c r="E830" s="20" t="n">
        <v>104244</v>
      </c>
      <c r="F830" s="20" t="n">
        <v>687890</v>
      </c>
    </row>
    <row r="831" customFormat="false" ht="15" hidden="false" customHeight="false" outlineLevel="0" collapsed="false">
      <c r="A831" s="22" t="n">
        <v>46162</v>
      </c>
      <c r="B831" s="19" t="s">
        <v>50</v>
      </c>
      <c r="C831" s="19" t="s">
        <v>12</v>
      </c>
      <c r="D831" s="19" t="s">
        <v>72</v>
      </c>
      <c r="E831" s="20" t="n">
        <v>86725</v>
      </c>
      <c r="F831" s="20" t="n">
        <v>401233</v>
      </c>
    </row>
    <row r="832" customFormat="false" ht="15" hidden="false" customHeight="false" outlineLevel="0" collapsed="false">
      <c r="A832" s="22" t="n">
        <v>46162</v>
      </c>
      <c r="B832" s="19" t="s">
        <v>50</v>
      </c>
      <c r="C832" s="19" t="s">
        <v>11</v>
      </c>
      <c r="D832" s="19" t="s">
        <v>60</v>
      </c>
      <c r="E832" s="20" t="n">
        <v>96580</v>
      </c>
      <c r="F832" s="20" t="n">
        <v>583036</v>
      </c>
    </row>
    <row r="833" customFormat="false" ht="15" hidden="false" customHeight="false" outlineLevel="0" collapsed="false">
      <c r="A833" s="22" t="n">
        <v>46162</v>
      </c>
      <c r="B833" s="19" t="s">
        <v>50</v>
      </c>
      <c r="C833" s="19" t="s">
        <v>70</v>
      </c>
      <c r="D833" s="19" t="s">
        <v>93</v>
      </c>
      <c r="E833" s="20" t="n">
        <v>110754</v>
      </c>
      <c r="F833" s="20" t="n">
        <v>618900</v>
      </c>
    </row>
    <row r="834" customFormat="false" ht="15" hidden="false" customHeight="false" outlineLevel="0" collapsed="false">
      <c r="A834" s="22" t="n">
        <v>46162</v>
      </c>
      <c r="B834" s="19" t="s">
        <v>50</v>
      </c>
      <c r="C834" s="19" t="s">
        <v>16</v>
      </c>
      <c r="D834" s="19" t="s">
        <v>94</v>
      </c>
      <c r="E834" s="20" t="n">
        <v>130051</v>
      </c>
      <c r="F834" s="20" t="n">
        <v>135000</v>
      </c>
    </row>
    <row r="835" customFormat="false" ht="15" hidden="false" customHeight="false" outlineLevel="0" collapsed="false">
      <c r="A835" s="22" t="n">
        <v>46162</v>
      </c>
      <c r="B835" s="19" t="s">
        <v>50</v>
      </c>
      <c r="C835" s="19" t="s">
        <v>70</v>
      </c>
      <c r="D835" s="19" t="s">
        <v>91</v>
      </c>
      <c r="E835" s="20" t="n">
        <v>613</v>
      </c>
      <c r="F835" s="20" t="n">
        <v>0</v>
      </c>
    </row>
    <row r="836" customFormat="false" ht="15" hidden="false" customHeight="false" outlineLevel="0" collapsed="false">
      <c r="A836" s="22" t="n">
        <v>46162</v>
      </c>
      <c r="B836" s="19" t="s">
        <v>50</v>
      </c>
      <c r="C836" s="19" t="s">
        <v>14</v>
      </c>
      <c r="D836" s="19" t="s">
        <v>62</v>
      </c>
      <c r="E836" s="20" t="n">
        <v>1053</v>
      </c>
      <c r="F836" s="20" t="n">
        <v>0</v>
      </c>
    </row>
    <row r="837" customFormat="false" ht="15" hidden="false" customHeight="false" outlineLevel="0" collapsed="false">
      <c r="A837" s="22" t="n">
        <v>46162</v>
      </c>
      <c r="B837" s="19" t="s">
        <v>50</v>
      </c>
      <c r="C837" s="19" t="s">
        <v>16</v>
      </c>
      <c r="D837" s="19" t="s">
        <v>80</v>
      </c>
      <c r="E837" s="20" t="n">
        <v>4655</v>
      </c>
      <c r="F837" s="20" t="n">
        <v>0</v>
      </c>
    </row>
    <row r="838" customFormat="false" ht="15" hidden="false" customHeight="false" outlineLevel="0" collapsed="false">
      <c r="A838" s="22" t="n">
        <v>46162</v>
      </c>
      <c r="B838" s="19" t="s">
        <v>50</v>
      </c>
      <c r="C838" s="19" t="s">
        <v>11</v>
      </c>
      <c r="D838" s="19" t="s">
        <v>63</v>
      </c>
      <c r="E838" s="20" t="n">
        <v>35946</v>
      </c>
      <c r="F838" s="20" t="n">
        <v>191100</v>
      </c>
    </row>
    <row r="839" customFormat="false" ht="15" hidden="false" customHeight="false" outlineLevel="0" collapsed="false">
      <c r="A839" s="22" t="n">
        <v>46162</v>
      </c>
      <c r="B839" s="19" t="s">
        <v>50</v>
      </c>
      <c r="C839" s="19" t="s">
        <v>13</v>
      </c>
      <c r="D839" s="19" t="s">
        <v>64</v>
      </c>
      <c r="E839" s="20" t="n">
        <v>400000</v>
      </c>
      <c r="F839" s="20" t="n">
        <v>2966875</v>
      </c>
    </row>
    <row r="840" customFormat="false" ht="15" hidden="false" customHeight="false" outlineLevel="0" collapsed="false">
      <c r="A840" s="22" t="n">
        <v>46162</v>
      </c>
      <c r="B840" s="19" t="s">
        <v>50</v>
      </c>
      <c r="C840" s="19" t="s">
        <v>12</v>
      </c>
      <c r="D840" s="19" t="s">
        <v>65</v>
      </c>
      <c r="E840" s="20" t="n">
        <v>183798</v>
      </c>
      <c r="F840" s="20" t="n">
        <v>744350</v>
      </c>
    </row>
    <row r="841" customFormat="false" ht="15" hidden="false" customHeight="false" outlineLevel="0" collapsed="false">
      <c r="A841" s="22" t="n">
        <v>46163</v>
      </c>
      <c r="B841" s="19" t="s">
        <v>50</v>
      </c>
      <c r="C841" s="19" t="s">
        <v>16</v>
      </c>
      <c r="D841" s="19" t="s">
        <v>59</v>
      </c>
      <c r="E841" s="20" t="n">
        <v>99055</v>
      </c>
      <c r="F841" s="20" t="n">
        <v>632398</v>
      </c>
    </row>
    <row r="842" customFormat="false" ht="15" hidden="false" customHeight="false" outlineLevel="0" collapsed="false">
      <c r="A842" s="22" t="n">
        <v>46163</v>
      </c>
      <c r="B842" s="19" t="s">
        <v>50</v>
      </c>
      <c r="C842" s="19" t="s">
        <v>12</v>
      </c>
      <c r="D842" s="19" t="s">
        <v>72</v>
      </c>
      <c r="E842" s="20" t="n">
        <v>20829</v>
      </c>
      <c r="F842" s="20" t="n">
        <v>66640</v>
      </c>
    </row>
    <row r="843" customFormat="false" ht="15" hidden="false" customHeight="false" outlineLevel="0" collapsed="false">
      <c r="A843" s="22" t="n">
        <v>46163</v>
      </c>
      <c r="B843" s="19" t="s">
        <v>50</v>
      </c>
      <c r="C843" s="19" t="s">
        <v>12</v>
      </c>
      <c r="D843" s="19" t="s">
        <v>58</v>
      </c>
      <c r="E843" s="20" t="n">
        <v>4437</v>
      </c>
      <c r="F843" s="20" t="n">
        <v>0</v>
      </c>
    </row>
    <row r="844" customFormat="false" ht="15" hidden="false" customHeight="false" outlineLevel="0" collapsed="false">
      <c r="A844" s="22" t="n">
        <v>46163</v>
      </c>
      <c r="B844" s="19" t="s">
        <v>50</v>
      </c>
      <c r="C844" s="19" t="s">
        <v>11</v>
      </c>
      <c r="D844" s="19" t="s">
        <v>60</v>
      </c>
      <c r="E844" s="20" t="n">
        <v>226307</v>
      </c>
      <c r="F844" s="20" t="n">
        <v>1239181</v>
      </c>
    </row>
    <row r="845" customFormat="false" ht="15" hidden="false" customHeight="false" outlineLevel="0" collapsed="false">
      <c r="A845" s="22" t="n">
        <v>46163</v>
      </c>
      <c r="B845" s="19" t="s">
        <v>50</v>
      </c>
      <c r="C845" s="19" t="s">
        <v>70</v>
      </c>
      <c r="D845" s="19" t="s">
        <v>93</v>
      </c>
      <c r="E845" s="20" t="n">
        <v>197916</v>
      </c>
      <c r="F845" s="20" t="n">
        <v>1164373</v>
      </c>
    </row>
    <row r="846" customFormat="false" ht="15" hidden="false" customHeight="false" outlineLevel="0" collapsed="false">
      <c r="A846" s="22" t="n">
        <v>46163</v>
      </c>
      <c r="B846" s="19" t="s">
        <v>50</v>
      </c>
      <c r="C846" s="19" t="s">
        <v>16</v>
      </c>
      <c r="D846" s="19" t="s">
        <v>94</v>
      </c>
      <c r="E846" s="20" t="n">
        <v>107040</v>
      </c>
      <c r="F846" s="20" t="n">
        <v>497076</v>
      </c>
    </row>
    <row r="847" customFormat="false" ht="15" hidden="false" customHeight="false" outlineLevel="0" collapsed="false">
      <c r="A847" s="22" t="n">
        <v>46163</v>
      </c>
      <c r="B847" s="19" t="s">
        <v>50</v>
      </c>
      <c r="C847" s="19" t="s">
        <v>16</v>
      </c>
      <c r="D847" s="19" t="s">
        <v>80</v>
      </c>
      <c r="E847" s="20" t="n">
        <v>5952</v>
      </c>
      <c r="F847" s="20" t="n">
        <v>0</v>
      </c>
    </row>
    <row r="848" customFormat="false" ht="15" hidden="false" customHeight="false" outlineLevel="0" collapsed="false">
      <c r="A848" s="22" t="n">
        <v>46163</v>
      </c>
      <c r="B848" s="19" t="s">
        <v>50</v>
      </c>
      <c r="C848" s="19" t="s">
        <v>70</v>
      </c>
      <c r="D848" s="19" t="s">
        <v>91</v>
      </c>
      <c r="E848" s="20" t="n">
        <v>518</v>
      </c>
      <c r="F848" s="20" t="n">
        <v>0</v>
      </c>
    </row>
    <row r="849" customFormat="false" ht="15" hidden="false" customHeight="false" outlineLevel="0" collapsed="false">
      <c r="A849" s="22" t="n">
        <v>46163</v>
      </c>
      <c r="B849" s="19" t="s">
        <v>50</v>
      </c>
      <c r="C849" s="19" t="s">
        <v>14</v>
      </c>
      <c r="D849" s="19" t="s">
        <v>62</v>
      </c>
      <c r="E849" s="20" t="n">
        <v>9893</v>
      </c>
      <c r="F849" s="20" t="n">
        <v>0</v>
      </c>
    </row>
    <row r="850" customFormat="false" ht="15" hidden="false" customHeight="false" outlineLevel="0" collapsed="false">
      <c r="A850" s="22" t="n">
        <v>46163</v>
      </c>
      <c r="B850" s="19" t="s">
        <v>50</v>
      </c>
      <c r="C850" s="19" t="s">
        <v>11</v>
      </c>
      <c r="D850" s="19" t="s">
        <v>63</v>
      </c>
      <c r="E850" s="20" t="n">
        <v>24831</v>
      </c>
      <c r="F850" s="20" t="n">
        <v>157363</v>
      </c>
    </row>
    <row r="851" customFormat="false" ht="15" hidden="false" customHeight="false" outlineLevel="0" collapsed="false">
      <c r="A851" s="22" t="n">
        <v>46163</v>
      </c>
      <c r="B851" s="19" t="s">
        <v>50</v>
      </c>
      <c r="C851" s="19" t="s">
        <v>13</v>
      </c>
      <c r="D851" s="19" t="s">
        <v>64</v>
      </c>
      <c r="E851" s="20" t="n">
        <v>345429</v>
      </c>
      <c r="F851" s="20" t="n">
        <v>1759340</v>
      </c>
    </row>
    <row r="852" customFormat="false" ht="15" hidden="false" customHeight="false" outlineLevel="0" collapsed="false">
      <c r="A852" s="22" t="n">
        <v>46163</v>
      </c>
      <c r="B852" s="19" t="s">
        <v>50</v>
      </c>
      <c r="C852" s="19" t="s">
        <v>12</v>
      </c>
      <c r="D852" s="19" t="s">
        <v>65</v>
      </c>
      <c r="E852" s="20" t="n">
        <v>500000</v>
      </c>
      <c r="F852" s="20" t="n">
        <v>2767301</v>
      </c>
    </row>
    <row r="853" customFormat="false" ht="15" hidden="false" customHeight="false" outlineLevel="0" collapsed="false">
      <c r="A853" s="22" t="n">
        <v>46164</v>
      </c>
      <c r="B853" s="19" t="s">
        <v>50</v>
      </c>
      <c r="C853" s="19" t="s">
        <v>16</v>
      </c>
      <c r="D853" s="19" t="s">
        <v>59</v>
      </c>
      <c r="E853" s="20" t="n">
        <v>246074</v>
      </c>
      <c r="F853" s="20" t="n">
        <v>1348685</v>
      </c>
    </row>
    <row r="854" customFormat="false" ht="15" hidden="false" customHeight="false" outlineLevel="0" collapsed="false">
      <c r="A854" s="22" t="n">
        <v>46164</v>
      </c>
      <c r="B854" s="19" t="s">
        <v>50</v>
      </c>
      <c r="C854" s="19" t="s">
        <v>12</v>
      </c>
      <c r="D854" s="19" t="s">
        <v>58</v>
      </c>
      <c r="E854" s="20" t="n">
        <v>11110</v>
      </c>
      <c r="F854" s="20" t="n">
        <v>65000</v>
      </c>
    </row>
    <row r="855" customFormat="false" ht="15" hidden="false" customHeight="false" outlineLevel="0" collapsed="false">
      <c r="A855" s="22" t="n">
        <v>46164</v>
      </c>
      <c r="B855" s="19" t="s">
        <v>50</v>
      </c>
      <c r="C855" s="19" t="s">
        <v>12</v>
      </c>
      <c r="D855" s="19" t="s">
        <v>72</v>
      </c>
      <c r="E855" s="20" t="n">
        <v>789</v>
      </c>
      <c r="F855" s="20" t="n">
        <v>0</v>
      </c>
    </row>
    <row r="856" customFormat="false" ht="15" hidden="false" customHeight="false" outlineLevel="0" collapsed="false">
      <c r="A856" s="22" t="n">
        <v>46164</v>
      </c>
      <c r="B856" s="19" t="s">
        <v>50</v>
      </c>
      <c r="C856" s="19" t="s">
        <v>16</v>
      </c>
      <c r="D856" s="19" t="s">
        <v>94</v>
      </c>
      <c r="E856" s="20" t="n">
        <v>117835</v>
      </c>
      <c r="F856" s="20" t="n">
        <v>0</v>
      </c>
    </row>
    <row r="857" customFormat="false" ht="15" hidden="false" customHeight="false" outlineLevel="0" collapsed="false">
      <c r="A857" s="22" t="n">
        <v>46164</v>
      </c>
      <c r="B857" s="19" t="s">
        <v>50</v>
      </c>
      <c r="C857" s="19" t="s">
        <v>11</v>
      </c>
      <c r="D857" s="19" t="s">
        <v>60</v>
      </c>
      <c r="E857" s="20" t="n">
        <v>63536</v>
      </c>
      <c r="F857" s="20" t="n">
        <v>201583</v>
      </c>
    </row>
    <row r="858" customFormat="false" ht="15" hidden="false" customHeight="false" outlineLevel="0" collapsed="false">
      <c r="A858" s="22" t="n">
        <v>46164</v>
      </c>
      <c r="B858" s="19" t="s">
        <v>50</v>
      </c>
      <c r="C858" s="19" t="s">
        <v>16</v>
      </c>
      <c r="D858" s="19" t="s">
        <v>80</v>
      </c>
      <c r="E858" s="20" t="n">
        <v>113246</v>
      </c>
      <c r="F858" s="20" t="n">
        <v>617000</v>
      </c>
    </row>
    <row r="859" customFormat="false" ht="15" hidden="false" customHeight="false" outlineLevel="0" collapsed="false">
      <c r="A859" s="22" t="n">
        <v>46164</v>
      </c>
      <c r="B859" s="19" t="s">
        <v>50</v>
      </c>
      <c r="C859" s="19" t="s">
        <v>70</v>
      </c>
      <c r="D859" s="19" t="s">
        <v>93</v>
      </c>
      <c r="E859" s="20" t="n">
        <v>10142</v>
      </c>
      <c r="F859" s="20" t="n">
        <v>0</v>
      </c>
    </row>
    <row r="860" customFormat="false" ht="15" hidden="false" customHeight="false" outlineLevel="0" collapsed="false">
      <c r="A860" s="22" t="n">
        <v>46164</v>
      </c>
      <c r="B860" s="19" t="s">
        <v>50</v>
      </c>
      <c r="C860" s="19" t="s">
        <v>11</v>
      </c>
      <c r="D860" s="19" t="s">
        <v>63</v>
      </c>
      <c r="E860" s="20" t="n">
        <v>7910</v>
      </c>
      <c r="F860" s="20" t="n">
        <v>39000</v>
      </c>
    </row>
    <row r="861" customFormat="false" ht="15" hidden="false" customHeight="false" outlineLevel="0" collapsed="false">
      <c r="A861" s="22" t="n">
        <v>46164</v>
      </c>
      <c r="B861" s="19" t="s">
        <v>50</v>
      </c>
      <c r="C861" s="19" t="s">
        <v>13</v>
      </c>
      <c r="D861" s="19" t="s">
        <v>64</v>
      </c>
      <c r="E861" s="20" t="n">
        <v>400000</v>
      </c>
      <c r="F861" s="20" t="n">
        <v>2468215</v>
      </c>
    </row>
    <row r="862" customFormat="false" ht="15" hidden="false" customHeight="false" outlineLevel="0" collapsed="false">
      <c r="A862" s="22" t="n">
        <v>46164</v>
      </c>
      <c r="B862" s="19" t="s">
        <v>50</v>
      </c>
      <c r="C862" s="19" t="s">
        <v>12</v>
      </c>
      <c r="D862" s="19" t="s">
        <v>65</v>
      </c>
      <c r="E862" s="20" t="n">
        <v>246021</v>
      </c>
      <c r="F862" s="20" t="n">
        <v>823434</v>
      </c>
    </row>
    <row r="863" customFormat="false" ht="15" hidden="false" customHeight="false" outlineLevel="0" collapsed="false">
      <c r="A863" s="22" t="n">
        <v>46165</v>
      </c>
      <c r="B863" s="19" t="s">
        <v>50</v>
      </c>
      <c r="C863" s="19" t="s">
        <v>16</v>
      </c>
      <c r="D863" s="19" t="s">
        <v>59</v>
      </c>
      <c r="E863" s="20" t="n">
        <v>55685</v>
      </c>
      <c r="F863" s="20" t="n">
        <v>191060</v>
      </c>
    </row>
    <row r="864" customFormat="false" ht="15" hidden="false" customHeight="false" outlineLevel="0" collapsed="false">
      <c r="A864" s="22" t="n">
        <v>46165</v>
      </c>
      <c r="B864" s="19" t="s">
        <v>50</v>
      </c>
      <c r="C864" s="19" t="s">
        <v>12</v>
      </c>
      <c r="D864" s="19" t="s">
        <v>58</v>
      </c>
      <c r="E864" s="20" t="n">
        <v>42090</v>
      </c>
      <c r="F864" s="20" t="n">
        <v>235520</v>
      </c>
    </row>
    <row r="865" customFormat="false" ht="15" hidden="false" customHeight="false" outlineLevel="0" collapsed="false">
      <c r="A865" s="22" t="n">
        <v>46165</v>
      </c>
      <c r="B865" s="19" t="s">
        <v>50</v>
      </c>
      <c r="C865" s="19" t="s">
        <v>12</v>
      </c>
      <c r="D865" s="19" t="s">
        <v>72</v>
      </c>
      <c r="E865" s="20" t="n">
        <v>1010</v>
      </c>
      <c r="F865" s="20" t="n">
        <v>0</v>
      </c>
    </row>
    <row r="866" customFormat="false" ht="15" hidden="false" customHeight="false" outlineLevel="0" collapsed="false">
      <c r="A866" s="22" t="n">
        <v>46165</v>
      </c>
      <c r="B866" s="19" t="s">
        <v>50</v>
      </c>
      <c r="C866" s="19" t="s">
        <v>11</v>
      </c>
      <c r="D866" s="19" t="s">
        <v>60</v>
      </c>
      <c r="E866" s="20" t="n">
        <v>52330</v>
      </c>
      <c r="F866" s="20" t="n">
        <v>295968</v>
      </c>
    </row>
    <row r="867" customFormat="false" ht="15" hidden="false" customHeight="false" outlineLevel="0" collapsed="false">
      <c r="A867" s="22" t="n">
        <v>46165</v>
      </c>
      <c r="B867" s="19" t="s">
        <v>50</v>
      </c>
      <c r="C867" s="19" t="s">
        <v>16</v>
      </c>
      <c r="D867" s="19" t="s">
        <v>94</v>
      </c>
      <c r="E867" s="20" t="n">
        <v>67294</v>
      </c>
      <c r="F867" s="20" t="n">
        <v>0</v>
      </c>
    </row>
    <row r="868" customFormat="false" ht="15" hidden="false" customHeight="false" outlineLevel="0" collapsed="false">
      <c r="A868" s="22" t="n">
        <v>46165</v>
      </c>
      <c r="B868" s="19" t="s">
        <v>50</v>
      </c>
      <c r="C868" s="19" t="s">
        <v>16</v>
      </c>
      <c r="D868" s="19" t="s">
        <v>80</v>
      </c>
      <c r="E868" s="20" t="n">
        <v>70</v>
      </c>
      <c r="F868" s="20" t="n">
        <v>0</v>
      </c>
    </row>
    <row r="869" customFormat="false" ht="15" hidden="false" customHeight="false" outlineLevel="0" collapsed="false">
      <c r="A869" s="22" t="n">
        <v>46165</v>
      </c>
      <c r="B869" s="19" t="s">
        <v>50</v>
      </c>
      <c r="C869" s="19" t="s">
        <v>14</v>
      </c>
      <c r="D869" s="19" t="s">
        <v>62</v>
      </c>
      <c r="E869" s="20" t="n">
        <v>2215</v>
      </c>
      <c r="F869" s="20" t="n">
        <v>0</v>
      </c>
    </row>
    <row r="870" customFormat="false" ht="15" hidden="false" customHeight="false" outlineLevel="0" collapsed="false">
      <c r="A870" s="22" t="n">
        <v>46165</v>
      </c>
      <c r="B870" s="19" t="s">
        <v>50</v>
      </c>
      <c r="C870" s="19" t="s">
        <v>70</v>
      </c>
      <c r="D870" s="19" t="s">
        <v>91</v>
      </c>
      <c r="E870" s="20" t="n">
        <v>2032</v>
      </c>
      <c r="F870" s="20" t="n">
        <v>0</v>
      </c>
    </row>
    <row r="871" customFormat="false" ht="15" hidden="false" customHeight="false" outlineLevel="0" collapsed="false">
      <c r="A871" s="22" t="n">
        <v>46165</v>
      </c>
      <c r="B871" s="19" t="s">
        <v>50</v>
      </c>
      <c r="C871" s="19" t="s">
        <v>70</v>
      </c>
      <c r="D871" s="19" t="s">
        <v>93</v>
      </c>
      <c r="E871" s="20" t="n">
        <v>2402</v>
      </c>
      <c r="F871" s="20" t="n">
        <v>0</v>
      </c>
    </row>
    <row r="872" customFormat="false" ht="15" hidden="false" customHeight="false" outlineLevel="0" collapsed="false">
      <c r="A872" s="22" t="n">
        <v>46165</v>
      </c>
      <c r="B872" s="19" t="s">
        <v>50</v>
      </c>
      <c r="C872" s="19" t="s">
        <v>11</v>
      </c>
      <c r="D872" s="19" t="s">
        <v>63</v>
      </c>
      <c r="E872" s="20" t="n">
        <v>684</v>
      </c>
      <c r="F872" s="20" t="n">
        <v>0</v>
      </c>
    </row>
    <row r="873" customFormat="false" ht="15" hidden="false" customHeight="false" outlineLevel="0" collapsed="false">
      <c r="A873" s="22" t="n">
        <v>46165</v>
      </c>
      <c r="B873" s="19" t="s">
        <v>50</v>
      </c>
      <c r="C873" s="19" t="s">
        <v>13</v>
      </c>
      <c r="D873" s="19" t="s">
        <v>64</v>
      </c>
      <c r="E873" s="20" t="n">
        <v>325037</v>
      </c>
      <c r="F873" s="20" t="n">
        <v>1629083</v>
      </c>
    </row>
    <row r="874" customFormat="false" ht="15" hidden="false" customHeight="false" outlineLevel="0" collapsed="false">
      <c r="A874" s="22" t="n">
        <v>46165</v>
      </c>
      <c r="B874" s="19" t="s">
        <v>50</v>
      </c>
      <c r="C874" s="19" t="s">
        <v>12</v>
      </c>
      <c r="D874" s="19" t="s">
        <v>65</v>
      </c>
      <c r="E874" s="20" t="n">
        <v>132890</v>
      </c>
      <c r="F874" s="20" t="n">
        <v>656237</v>
      </c>
    </row>
    <row r="875" customFormat="false" ht="15" hidden="false" customHeight="false" outlineLevel="0" collapsed="false">
      <c r="A875" s="22" t="n">
        <v>46166</v>
      </c>
      <c r="B875" s="19" t="s">
        <v>50</v>
      </c>
      <c r="C875" s="19" t="s">
        <v>16</v>
      </c>
      <c r="D875" s="19" t="s">
        <v>59</v>
      </c>
      <c r="E875" s="20" t="n">
        <v>35276</v>
      </c>
      <c r="F875" s="20" t="n">
        <v>125440</v>
      </c>
    </row>
    <row r="876" customFormat="false" ht="15" hidden="false" customHeight="false" outlineLevel="0" collapsed="false">
      <c r="A876" s="22" t="n">
        <v>46166</v>
      </c>
      <c r="B876" s="19" t="s">
        <v>50</v>
      </c>
      <c r="C876" s="19" t="s">
        <v>12</v>
      </c>
      <c r="D876" s="19" t="s">
        <v>58</v>
      </c>
      <c r="E876" s="20" t="n">
        <v>5118</v>
      </c>
      <c r="F876" s="20" t="n">
        <v>0</v>
      </c>
    </row>
    <row r="877" customFormat="false" ht="15" hidden="false" customHeight="false" outlineLevel="0" collapsed="false">
      <c r="A877" s="22" t="n">
        <v>46166</v>
      </c>
      <c r="B877" s="19" t="s">
        <v>50</v>
      </c>
      <c r="C877" s="19" t="s">
        <v>12</v>
      </c>
      <c r="D877" s="19" t="s">
        <v>72</v>
      </c>
      <c r="E877" s="20" t="n">
        <v>3330</v>
      </c>
      <c r="F877" s="20" t="n">
        <v>0</v>
      </c>
    </row>
    <row r="878" customFormat="false" ht="15" hidden="false" customHeight="false" outlineLevel="0" collapsed="false">
      <c r="A878" s="22" t="n">
        <v>46166</v>
      </c>
      <c r="B878" s="19" t="s">
        <v>50</v>
      </c>
      <c r="C878" s="19" t="s">
        <v>11</v>
      </c>
      <c r="D878" s="19" t="s">
        <v>60</v>
      </c>
      <c r="E878" s="20" t="n">
        <v>83172</v>
      </c>
      <c r="F878" s="20" t="n">
        <v>377100</v>
      </c>
    </row>
    <row r="879" customFormat="false" ht="15" hidden="false" customHeight="false" outlineLevel="0" collapsed="false">
      <c r="A879" s="22" t="n">
        <v>46166</v>
      </c>
      <c r="B879" s="19" t="s">
        <v>50</v>
      </c>
      <c r="C879" s="19" t="s">
        <v>16</v>
      </c>
      <c r="D879" s="19" t="s">
        <v>80</v>
      </c>
      <c r="E879" s="20" t="n">
        <v>54980</v>
      </c>
      <c r="F879" s="20" t="n">
        <v>181300</v>
      </c>
    </row>
    <row r="880" customFormat="false" ht="15" hidden="false" customHeight="false" outlineLevel="0" collapsed="false">
      <c r="A880" s="22" t="n">
        <v>46166</v>
      </c>
      <c r="B880" s="19" t="s">
        <v>50</v>
      </c>
      <c r="C880" s="19" t="s">
        <v>16</v>
      </c>
      <c r="D880" s="19" t="s">
        <v>94</v>
      </c>
      <c r="E880" s="20" t="n">
        <v>4417</v>
      </c>
      <c r="F880" s="20" t="n">
        <v>0</v>
      </c>
    </row>
    <row r="881" customFormat="false" ht="15" hidden="false" customHeight="false" outlineLevel="0" collapsed="false">
      <c r="A881" s="22" t="n">
        <v>46166</v>
      </c>
      <c r="B881" s="19" t="s">
        <v>50</v>
      </c>
      <c r="C881" s="19" t="s">
        <v>14</v>
      </c>
      <c r="D881" s="19" t="s">
        <v>62</v>
      </c>
      <c r="E881" s="20" t="n">
        <v>1037</v>
      </c>
      <c r="F881" s="20" t="n">
        <v>0</v>
      </c>
    </row>
    <row r="882" customFormat="false" ht="15" hidden="false" customHeight="false" outlineLevel="0" collapsed="false">
      <c r="A882" s="22" t="n">
        <v>46166</v>
      </c>
      <c r="B882" s="19" t="s">
        <v>50</v>
      </c>
      <c r="C882" s="19" t="s">
        <v>11</v>
      </c>
      <c r="D882" s="19" t="s">
        <v>63</v>
      </c>
      <c r="E882" s="20" t="n">
        <v>10652</v>
      </c>
      <c r="F882" s="20" t="n">
        <v>0</v>
      </c>
    </row>
    <row r="883" customFormat="false" ht="15" hidden="false" customHeight="false" outlineLevel="0" collapsed="false">
      <c r="A883" s="22" t="n">
        <v>46166</v>
      </c>
      <c r="B883" s="19" t="s">
        <v>50</v>
      </c>
      <c r="C883" s="19" t="s">
        <v>13</v>
      </c>
      <c r="D883" s="19" t="s">
        <v>64</v>
      </c>
      <c r="E883" s="20" t="n">
        <v>295337</v>
      </c>
      <c r="F883" s="20" t="n">
        <v>2079123</v>
      </c>
    </row>
    <row r="884" customFormat="false" ht="15" hidden="false" customHeight="false" outlineLevel="0" collapsed="false">
      <c r="A884" s="22" t="n">
        <v>46166</v>
      </c>
      <c r="B884" s="19" t="s">
        <v>50</v>
      </c>
      <c r="C884" s="19" t="s">
        <v>12</v>
      </c>
      <c r="D884" s="19" t="s">
        <v>65</v>
      </c>
      <c r="E884" s="20" t="n">
        <v>79978</v>
      </c>
      <c r="F884" s="20" t="n">
        <v>481896</v>
      </c>
    </row>
    <row r="885" customFormat="false" ht="15" hidden="false" customHeight="false" outlineLevel="0" collapsed="false">
      <c r="A885" s="22" t="n">
        <v>46167</v>
      </c>
      <c r="B885" s="19" t="s">
        <v>50</v>
      </c>
      <c r="C885" s="19" t="s">
        <v>16</v>
      </c>
      <c r="D885" s="19" t="s">
        <v>59</v>
      </c>
      <c r="E885" s="20" t="n">
        <v>171477</v>
      </c>
      <c r="F885" s="20" t="n">
        <v>1019109</v>
      </c>
    </row>
    <row r="886" customFormat="false" ht="15" hidden="false" customHeight="false" outlineLevel="0" collapsed="false">
      <c r="A886" s="22" t="n">
        <v>46167</v>
      </c>
      <c r="B886" s="19" t="s">
        <v>50</v>
      </c>
      <c r="C886" s="19" t="s">
        <v>12</v>
      </c>
      <c r="D886" s="19" t="s">
        <v>58</v>
      </c>
      <c r="E886" s="20" t="n">
        <v>3405</v>
      </c>
      <c r="F886" s="20" t="n">
        <v>0</v>
      </c>
    </row>
    <row r="887" customFormat="false" ht="15" hidden="false" customHeight="false" outlineLevel="0" collapsed="false">
      <c r="A887" s="22" t="n">
        <v>46167</v>
      </c>
      <c r="B887" s="19" t="s">
        <v>50</v>
      </c>
      <c r="C887" s="19" t="s">
        <v>12</v>
      </c>
      <c r="D887" s="19" t="s">
        <v>72</v>
      </c>
      <c r="E887" s="20" t="n">
        <v>4074</v>
      </c>
      <c r="F887" s="20" t="n">
        <v>0</v>
      </c>
    </row>
    <row r="888" customFormat="false" ht="15" hidden="false" customHeight="false" outlineLevel="0" collapsed="false">
      <c r="A888" s="22" t="n">
        <v>46167</v>
      </c>
      <c r="B888" s="19" t="s">
        <v>50</v>
      </c>
      <c r="C888" s="19" t="s">
        <v>11</v>
      </c>
      <c r="D888" s="19" t="s">
        <v>60</v>
      </c>
      <c r="E888" s="20" t="n">
        <v>127952</v>
      </c>
      <c r="F888" s="20" t="n">
        <v>623098</v>
      </c>
    </row>
    <row r="889" customFormat="false" ht="15" hidden="false" customHeight="false" outlineLevel="0" collapsed="false">
      <c r="A889" s="22" t="n">
        <v>46167</v>
      </c>
      <c r="B889" s="19" t="s">
        <v>50</v>
      </c>
      <c r="C889" s="19" t="s">
        <v>16</v>
      </c>
      <c r="D889" s="19" t="s">
        <v>80</v>
      </c>
      <c r="E889" s="20" t="n">
        <v>199917</v>
      </c>
      <c r="F889" s="20" t="n">
        <v>1444620</v>
      </c>
    </row>
    <row r="890" customFormat="false" ht="15" hidden="false" customHeight="false" outlineLevel="0" collapsed="false">
      <c r="A890" s="22" t="n">
        <v>46167</v>
      </c>
      <c r="B890" s="19" t="s">
        <v>50</v>
      </c>
      <c r="C890" s="19" t="s">
        <v>14</v>
      </c>
      <c r="D890" s="19" t="s">
        <v>62</v>
      </c>
      <c r="E890" s="20" t="n">
        <v>4158</v>
      </c>
      <c r="F890" s="20" t="n">
        <v>0</v>
      </c>
    </row>
    <row r="891" customFormat="false" ht="15" hidden="false" customHeight="false" outlineLevel="0" collapsed="false">
      <c r="A891" s="22" t="n">
        <v>46167</v>
      </c>
      <c r="B891" s="19" t="s">
        <v>50</v>
      </c>
      <c r="C891" s="19" t="s">
        <v>70</v>
      </c>
      <c r="D891" s="19" t="s">
        <v>93</v>
      </c>
      <c r="E891" s="20" t="n">
        <v>1199</v>
      </c>
      <c r="F891" s="20" t="n">
        <v>0</v>
      </c>
    </row>
    <row r="892" customFormat="false" ht="15" hidden="false" customHeight="false" outlineLevel="0" collapsed="false">
      <c r="A892" s="22" t="n">
        <v>46167</v>
      </c>
      <c r="B892" s="19" t="s">
        <v>50</v>
      </c>
      <c r="C892" s="19" t="s">
        <v>11</v>
      </c>
      <c r="D892" s="19" t="s">
        <v>63</v>
      </c>
      <c r="E892" s="20" t="n">
        <v>47189</v>
      </c>
      <c r="F892" s="20" t="n">
        <v>233586</v>
      </c>
    </row>
    <row r="893" customFormat="false" ht="15" hidden="false" customHeight="false" outlineLevel="0" collapsed="false">
      <c r="A893" s="22" t="n">
        <v>46167</v>
      </c>
      <c r="B893" s="19" t="s">
        <v>50</v>
      </c>
      <c r="C893" s="19" t="s">
        <v>13</v>
      </c>
      <c r="D893" s="19" t="s">
        <v>64</v>
      </c>
      <c r="E893" s="20" t="n">
        <v>282543</v>
      </c>
      <c r="F893" s="20" t="n">
        <v>1239741</v>
      </c>
    </row>
    <row r="894" customFormat="false" ht="15" hidden="false" customHeight="false" outlineLevel="0" collapsed="false">
      <c r="A894" s="22" t="n">
        <v>46167</v>
      </c>
      <c r="B894" s="19" t="s">
        <v>50</v>
      </c>
      <c r="C894" s="19" t="s">
        <v>12</v>
      </c>
      <c r="D894" s="19" t="s">
        <v>65</v>
      </c>
      <c r="E894" s="20" t="n">
        <v>269327</v>
      </c>
      <c r="F894" s="20" t="n">
        <v>1315971</v>
      </c>
    </row>
    <row r="895" customFormat="false" ht="15" hidden="false" customHeight="false" outlineLevel="0" collapsed="false">
      <c r="A895" s="22" t="n">
        <v>46168</v>
      </c>
      <c r="B895" s="19" t="s">
        <v>50</v>
      </c>
      <c r="C895" s="19" t="s">
        <v>16</v>
      </c>
      <c r="D895" s="19" t="s">
        <v>59</v>
      </c>
      <c r="E895" s="20" t="n">
        <v>144038</v>
      </c>
      <c r="F895" s="20" t="n">
        <v>745757</v>
      </c>
    </row>
    <row r="896" customFormat="false" ht="15" hidden="false" customHeight="false" outlineLevel="0" collapsed="false">
      <c r="A896" s="22" t="n">
        <v>46168</v>
      </c>
      <c r="B896" s="19" t="s">
        <v>50</v>
      </c>
      <c r="C896" s="19" t="s">
        <v>12</v>
      </c>
      <c r="D896" s="19" t="s">
        <v>58</v>
      </c>
      <c r="E896" s="20" t="n">
        <v>179597</v>
      </c>
      <c r="F896" s="20" t="n">
        <v>1069558</v>
      </c>
    </row>
    <row r="897" customFormat="false" ht="15" hidden="false" customHeight="false" outlineLevel="0" collapsed="false">
      <c r="A897" s="22" t="n">
        <v>46168</v>
      </c>
      <c r="B897" s="19" t="s">
        <v>50</v>
      </c>
      <c r="C897" s="19" t="s">
        <v>12</v>
      </c>
      <c r="D897" s="19" t="s">
        <v>72</v>
      </c>
      <c r="E897" s="20" t="n">
        <v>74741</v>
      </c>
      <c r="F897" s="20" t="n">
        <v>418434</v>
      </c>
    </row>
    <row r="898" customFormat="false" ht="15" hidden="false" customHeight="false" outlineLevel="0" collapsed="false">
      <c r="A898" s="22" t="n">
        <v>46168</v>
      </c>
      <c r="B898" s="19" t="s">
        <v>50</v>
      </c>
      <c r="C898" s="19" t="s">
        <v>11</v>
      </c>
      <c r="D898" s="19" t="s">
        <v>60</v>
      </c>
      <c r="E898" s="20" t="n">
        <v>24315</v>
      </c>
      <c r="F898" s="20" t="n">
        <v>89700</v>
      </c>
    </row>
    <row r="899" customFormat="false" ht="15" hidden="false" customHeight="false" outlineLevel="0" collapsed="false">
      <c r="A899" s="22" t="n">
        <v>46168</v>
      </c>
      <c r="B899" s="19" t="s">
        <v>50</v>
      </c>
      <c r="C899" s="19" t="s">
        <v>16</v>
      </c>
      <c r="D899" s="19" t="s">
        <v>80</v>
      </c>
      <c r="E899" s="20" t="n">
        <v>54380</v>
      </c>
      <c r="F899" s="20" t="n">
        <v>0</v>
      </c>
    </row>
    <row r="900" customFormat="false" ht="15" hidden="false" customHeight="false" outlineLevel="0" collapsed="false">
      <c r="A900" s="22" t="n">
        <v>46168</v>
      </c>
      <c r="B900" s="19" t="s">
        <v>50</v>
      </c>
      <c r="C900" s="19" t="s">
        <v>70</v>
      </c>
      <c r="D900" s="19" t="s">
        <v>91</v>
      </c>
      <c r="E900" s="20" t="n">
        <v>94411</v>
      </c>
      <c r="F900" s="20" t="n">
        <v>436834</v>
      </c>
    </row>
    <row r="901" customFormat="false" ht="15" hidden="false" customHeight="false" outlineLevel="0" collapsed="false">
      <c r="A901" s="22" t="n">
        <v>46168</v>
      </c>
      <c r="B901" s="19" t="s">
        <v>50</v>
      </c>
      <c r="C901" s="19" t="s">
        <v>16</v>
      </c>
      <c r="D901" s="19" t="s">
        <v>94</v>
      </c>
      <c r="E901" s="20" t="n">
        <v>91905</v>
      </c>
      <c r="F901" s="20" t="n">
        <v>800368</v>
      </c>
    </row>
    <row r="902" customFormat="false" ht="15" hidden="false" customHeight="false" outlineLevel="0" collapsed="false">
      <c r="A902" s="22" t="n">
        <v>46168</v>
      </c>
      <c r="B902" s="19" t="s">
        <v>50</v>
      </c>
      <c r="C902" s="19" t="s">
        <v>14</v>
      </c>
      <c r="D902" s="19" t="s">
        <v>62</v>
      </c>
      <c r="E902" s="20" t="n">
        <v>9324</v>
      </c>
      <c r="F902" s="20" t="n">
        <v>138000</v>
      </c>
    </row>
    <row r="903" customFormat="false" ht="15" hidden="false" customHeight="false" outlineLevel="0" collapsed="false">
      <c r="A903" s="22" t="n">
        <v>46168</v>
      </c>
      <c r="B903" s="19" t="s">
        <v>50</v>
      </c>
      <c r="C903" s="19" t="s">
        <v>11</v>
      </c>
      <c r="D903" s="19" t="s">
        <v>63</v>
      </c>
      <c r="E903" s="20" t="n">
        <v>4049</v>
      </c>
      <c r="F903" s="20" t="n">
        <v>0</v>
      </c>
    </row>
    <row r="904" customFormat="false" ht="15" hidden="false" customHeight="false" outlineLevel="0" collapsed="false">
      <c r="A904" s="22" t="n">
        <v>46168</v>
      </c>
      <c r="B904" s="19" t="s">
        <v>50</v>
      </c>
      <c r="C904" s="19" t="s">
        <v>13</v>
      </c>
      <c r="D904" s="19" t="s">
        <v>64</v>
      </c>
      <c r="E904" s="20" t="n">
        <v>268206</v>
      </c>
      <c r="F904" s="20" t="n">
        <v>823249</v>
      </c>
    </row>
    <row r="905" customFormat="false" ht="15" hidden="false" customHeight="false" outlineLevel="0" collapsed="false">
      <c r="A905" s="22" t="n">
        <v>46168</v>
      </c>
      <c r="B905" s="19" t="s">
        <v>50</v>
      </c>
      <c r="C905" s="19" t="s">
        <v>12</v>
      </c>
      <c r="D905" s="19" t="s">
        <v>65</v>
      </c>
      <c r="E905" s="20" t="n">
        <v>126397</v>
      </c>
      <c r="F905" s="20" t="n">
        <v>0</v>
      </c>
    </row>
    <row r="906" customFormat="false" ht="15" hidden="false" customHeight="false" outlineLevel="0" collapsed="false">
      <c r="A906" s="22" t="n">
        <v>46169</v>
      </c>
      <c r="B906" s="19" t="s">
        <v>50</v>
      </c>
      <c r="C906" s="19" t="s">
        <v>16</v>
      </c>
      <c r="D906" s="19" t="s">
        <v>59</v>
      </c>
      <c r="E906" s="20" t="n">
        <v>66275</v>
      </c>
      <c r="F906" s="20" t="n">
        <v>292040</v>
      </c>
    </row>
    <row r="907" customFormat="false" ht="15" hidden="false" customHeight="false" outlineLevel="0" collapsed="false">
      <c r="A907" s="22" t="n">
        <v>46169</v>
      </c>
      <c r="B907" s="19" t="s">
        <v>50</v>
      </c>
      <c r="C907" s="19" t="s">
        <v>12</v>
      </c>
      <c r="D907" s="19" t="s">
        <v>58</v>
      </c>
      <c r="E907" s="20" t="n">
        <v>179187</v>
      </c>
      <c r="F907" s="20" t="n">
        <v>1219821</v>
      </c>
    </row>
    <row r="908" customFormat="false" ht="15" hidden="false" customHeight="false" outlineLevel="0" collapsed="false">
      <c r="A908" s="22" t="n">
        <v>46169</v>
      </c>
      <c r="B908" s="19" t="s">
        <v>50</v>
      </c>
      <c r="C908" s="19" t="s">
        <v>12</v>
      </c>
      <c r="D908" s="19" t="s">
        <v>72</v>
      </c>
      <c r="E908" s="20" t="n">
        <v>3472</v>
      </c>
      <c r="F908" s="20" t="n">
        <v>0</v>
      </c>
    </row>
    <row r="909" customFormat="false" ht="15" hidden="false" customHeight="false" outlineLevel="0" collapsed="false">
      <c r="A909" s="22" t="n">
        <v>46169</v>
      </c>
      <c r="B909" s="19" t="s">
        <v>50</v>
      </c>
      <c r="C909" s="19" t="s">
        <v>11</v>
      </c>
      <c r="D909" s="19" t="s">
        <v>60</v>
      </c>
      <c r="E909" s="20" t="n">
        <v>62099</v>
      </c>
      <c r="F909" s="20" t="n">
        <v>553755</v>
      </c>
    </row>
    <row r="910" customFormat="false" ht="15" hidden="false" customHeight="false" outlineLevel="0" collapsed="false">
      <c r="A910" s="22" t="n">
        <v>46169</v>
      </c>
      <c r="B910" s="19" t="s">
        <v>50</v>
      </c>
      <c r="C910" s="19" t="s">
        <v>16</v>
      </c>
      <c r="D910" s="19" t="s">
        <v>94</v>
      </c>
      <c r="E910" s="20" t="n">
        <v>64569</v>
      </c>
      <c r="F910" s="20" t="n">
        <v>312412</v>
      </c>
    </row>
    <row r="911" customFormat="false" ht="15" hidden="false" customHeight="false" outlineLevel="0" collapsed="false">
      <c r="A911" s="22" t="n">
        <v>46169</v>
      </c>
      <c r="B911" s="19" t="s">
        <v>50</v>
      </c>
      <c r="C911" s="19" t="s">
        <v>16</v>
      </c>
      <c r="D911" s="19" t="s">
        <v>80</v>
      </c>
      <c r="E911" s="20" t="n">
        <v>4534</v>
      </c>
      <c r="F911" s="20" t="n">
        <v>0</v>
      </c>
    </row>
    <row r="912" customFormat="false" ht="15" hidden="false" customHeight="false" outlineLevel="0" collapsed="false">
      <c r="A912" s="22" t="n">
        <v>46169</v>
      </c>
      <c r="B912" s="19" t="s">
        <v>50</v>
      </c>
      <c r="C912" s="19" t="s">
        <v>70</v>
      </c>
      <c r="D912" s="19" t="s">
        <v>91</v>
      </c>
      <c r="E912" s="20" t="n">
        <v>14333</v>
      </c>
      <c r="F912" s="20" t="n">
        <v>0</v>
      </c>
    </row>
    <row r="913" customFormat="false" ht="15" hidden="false" customHeight="false" outlineLevel="0" collapsed="false">
      <c r="A913" s="22" t="n">
        <v>46169</v>
      </c>
      <c r="B913" s="19" t="s">
        <v>50</v>
      </c>
      <c r="C913" s="19" t="s">
        <v>14</v>
      </c>
      <c r="D913" s="19" t="s">
        <v>62</v>
      </c>
      <c r="E913" s="20" t="n">
        <v>22894</v>
      </c>
      <c r="F913" s="20" t="n">
        <v>78000</v>
      </c>
    </row>
    <row r="914" customFormat="false" ht="15" hidden="false" customHeight="false" outlineLevel="0" collapsed="false">
      <c r="A914" s="22" t="n">
        <v>46169</v>
      </c>
      <c r="B914" s="19" t="s">
        <v>50</v>
      </c>
      <c r="C914" s="19" t="s">
        <v>70</v>
      </c>
      <c r="D914" s="19" t="s">
        <v>93</v>
      </c>
      <c r="E914" s="20" t="n">
        <v>115</v>
      </c>
      <c r="F914" s="20" t="n">
        <v>0</v>
      </c>
    </row>
    <row r="915" customFormat="false" ht="15" hidden="false" customHeight="false" outlineLevel="0" collapsed="false">
      <c r="A915" s="22" t="n">
        <v>46169</v>
      </c>
      <c r="B915" s="19" t="s">
        <v>50</v>
      </c>
      <c r="C915" s="19" t="s">
        <v>11</v>
      </c>
      <c r="D915" s="19" t="s">
        <v>63</v>
      </c>
      <c r="E915" s="20" t="n">
        <v>21181</v>
      </c>
      <c r="F915" s="20" t="n">
        <v>101119</v>
      </c>
    </row>
    <row r="916" customFormat="false" ht="15" hidden="false" customHeight="false" outlineLevel="0" collapsed="false">
      <c r="A916" s="22" t="n">
        <v>46169</v>
      </c>
      <c r="B916" s="19" t="s">
        <v>50</v>
      </c>
      <c r="C916" s="19" t="s">
        <v>13</v>
      </c>
      <c r="D916" s="19" t="s">
        <v>64</v>
      </c>
      <c r="E916" s="20" t="n">
        <v>290840</v>
      </c>
      <c r="F916" s="20" t="n">
        <v>1389520</v>
      </c>
    </row>
    <row r="917" customFormat="false" ht="15" hidden="false" customHeight="false" outlineLevel="0" collapsed="false">
      <c r="A917" s="22" t="n">
        <v>46169</v>
      </c>
      <c r="B917" s="19" t="s">
        <v>50</v>
      </c>
      <c r="C917" s="19" t="s">
        <v>12</v>
      </c>
      <c r="D917" s="19" t="s">
        <v>65</v>
      </c>
      <c r="E917" s="20" t="n">
        <v>700000</v>
      </c>
      <c r="F917" s="20" t="n">
        <v>3471170</v>
      </c>
    </row>
    <row r="918" customFormat="false" ht="15" hidden="false" customHeight="false" outlineLevel="0" collapsed="false">
      <c r="A918" s="22" t="n">
        <v>46170</v>
      </c>
      <c r="B918" s="19" t="s">
        <v>50</v>
      </c>
      <c r="C918" s="19" t="s">
        <v>16</v>
      </c>
      <c r="D918" s="19" t="s">
        <v>59</v>
      </c>
      <c r="E918" s="20" t="n">
        <v>18955</v>
      </c>
      <c r="F918" s="20" t="n">
        <v>0</v>
      </c>
    </row>
    <row r="919" customFormat="false" ht="15" hidden="false" customHeight="false" outlineLevel="0" collapsed="false">
      <c r="A919" s="22" t="n">
        <v>46170</v>
      </c>
      <c r="B919" s="19" t="s">
        <v>50</v>
      </c>
      <c r="C919" s="19" t="s">
        <v>12</v>
      </c>
      <c r="D919" s="19" t="s">
        <v>58</v>
      </c>
      <c r="E919" s="20" t="n">
        <v>84210</v>
      </c>
      <c r="F919" s="20" t="n">
        <v>485034</v>
      </c>
    </row>
    <row r="920" customFormat="false" ht="15" hidden="false" customHeight="false" outlineLevel="0" collapsed="false">
      <c r="A920" s="22" t="n">
        <v>46170</v>
      </c>
      <c r="B920" s="19" t="s">
        <v>50</v>
      </c>
      <c r="C920" s="19" t="s">
        <v>12</v>
      </c>
      <c r="D920" s="19" t="s">
        <v>72</v>
      </c>
      <c r="E920" s="20" t="n">
        <v>24323</v>
      </c>
      <c r="F920" s="20" t="n">
        <v>146020</v>
      </c>
    </row>
    <row r="921" customFormat="false" ht="15" hidden="false" customHeight="false" outlineLevel="0" collapsed="false">
      <c r="A921" s="22" t="n">
        <v>46170</v>
      </c>
      <c r="B921" s="19" t="s">
        <v>50</v>
      </c>
      <c r="C921" s="19" t="s">
        <v>16</v>
      </c>
      <c r="D921" s="19" t="s">
        <v>80</v>
      </c>
      <c r="E921" s="20" t="n">
        <v>53591</v>
      </c>
      <c r="F921" s="20" t="n">
        <v>277425</v>
      </c>
    </row>
    <row r="922" customFormat="false" ht="15" hidden="false" customHeight="false" outlineLevel="0" collapsed="false">
      <c r="A922" s="22" t="n">
        <v>46170</v>
      </c>
      <c r="B922" s="19" t="s">
        <v>50</v>
      </c>
      <c r="C922" s="19" t="s">
        <v>14</v>
      </c>
      <c r="D922" s="19" t="s">
        <v>62</v>
      </c>
      <c r="E922" s="20" t="n">
        <v>7</v>
      </c>
      <c r="F922" s="20" t="n">
        <v>0</v>
      </c>
    </row>
    <row r="923" customFormat="false" ht="15" hidden="false" customHeight="false" outlineLevel="0" collapsed="false">
      <c r="A923" s="22" t="n">
        <v>46170</v>
      </c>
      <c r="B923" s="19" t="s">
        <v>50</v>
      </c>
      <c r="C923" s="19" t="s">
        <v>16</v>
      </c>
      <c r="D923" s="19" t="s">
        <v>94</v>
      </c>
      <c r="E923" s="20" t="n">
        <v>2870</v>
      </c>
      <c r="F923" s="20" t="n">
        <v>0</v>
      </c>
    </row>
    <row r="924" customFormat="false" ht="15" hidden="false" customHeight="false" outlineLevel="0" collapsed="false">
      <c r="A924" s="22" t="n">
        <v>46170</v>
      </c>
      <c r="B924" s="19" t="s">
        <v>50</v>
      </c>
      <c r="C924" s="19" t="s">
        <v>70</v>
      </c>
      <c r="D924" s="19" t="s">
        <v>91</v>
      </c>
      <c r="E924" s="20" t="n">
        <v>38</v>
      </c>
      <c r="F924" s="20" t="n">
        <v>0</v>
      </c>
    </row>
    <row r="925" customFormat="false" ht="15" hidden="false" customHeight="false" outlineLevel="0" collapsed="false">
      <c r="A925" s="22" t="n">
        <v>46170</v>
      </c>
      <c r="B925" s="19" t="s">
        <v>50</v>
      </c>
      <c r="C925" s="19" t="s">
        <v>70</v>
      </c>
      <c r="D925" s="19" t="s">
        <v>93</v>
      </c>
      <c r="E925" s="20" t="n">
        <v>347</v>
      </c>
      <c r="F925" s="20" t="n">
        <v>0</v>
      </c>
    </row>
    <row r="926" customFormat="false" ht="15" hidden="false" customHeight="false" outlineLevel="0" collapsed="false">
      <c r="A926" s="22" t="n">
        <v>46170</v>
      </c>
      <c r="B926" s="19" t="s">
        <v>50</v>
      </c>
      <c r="C926" s="19" t="s">
        <v>11</v>
      </c>
      <c r="D926" s="19" t="s">
        <v>63</v>
      </c>
      <c r="E926" s="20" t="n">
        <v>1075</v>
      </c>
      <c r="F926" s="20" t="n">
        <v>0</v>
      </c>
    </row>
    <row r="927" customFormat="false" ht="15" hidden="false" customHeight="false" outlineLevel="0" collapsed="false">
      <c r="A927" s="22" t="n">
        <v>46170</v>
      </c>
      <c r="B927" s="19" t="s">
        <v>50</v>
      </c>
      <c r="C927" s="19" t="s">
        <v>13</v>
      </c>
      <c r="D927" s="19" t="s">
        <v>64</v>
      </c>
      <c r="E927" s="20" t="n">
        <v>400000</v>
      </c>
      <c r="F927" s="20" t="n">
        <v>2785490</v>
      </c>
    </row>
    <row r="928" customFormat="false" ht="15" hidden="false" customHeight="false" outlineLevel="0" collapsed="false">
      <c r="A928" s="22" t="n">
        <v>46170</v>
      </c>
      <c r="B928" s="19" t="s">
        <v>50</v>
      </c>
      <c r="C928" s="19" t="s">
        <v>12</v>
      </c>
      <c r="D928" s="19" t="s">
        <v>65</v>
      </c>
      <c r="E928" s="20" t="n">
        <v>509075</v>
      </c>
      <c r="F928" s="20" t="n">
        <v>2151284</v>
      </c>
    </row>
    <row r="929" customFormat="false" ht="15" hidden="false" customHeight="false" outlineLevel="0" collapsed="false">
      <c r="A929" s="22" t="n">
        <v>46171</v>
      </c>
      <c r="B929" s="19" t="s">
        <v>50</v>
      </c>
      <c r="C929" s="19" t="s">
        <v>16</v>
      </c>
      <c r="D929" s="19" t="s">
        <v>59</v>
      </c>
      <c r="E929" s="20" t="n">
        <v>44195</v>
      </c>
      <c r="F929" s="20" t="n">
        <v>196000</v>
      </c>
    </row>
    <row r="930" customFormat="false" ht="15" hidden="false" customHeight="false" outlineLevel="0" collapsed="false">
      <c r="A930" s="22" t="n">
        <v>46171</v>
      </c>
      <c r="B930" s="19" t="s">
        <v>50</v>
      </c>
      <c r="C930" s="19" t="s">
        <v>12</v>
      </c>
      <c r="D930" s="19" t="s">
        <v>72</v>
      </c>
      <c r="E930" s="20" t="n">
        <v>146963</v>
      </c>
      <c r="F930" s="20" t="n">
        <v>641579</v>
      </c>
    </row>
    <row r="931" customFormat="false" ht="15" hidden="false" customHeight="false" outlineLevel="0" collapsed="false">
      <c r="A931" s="22" t="n">
        <v>46171</v>
      </c>
      <c r="B931" s="19" t="s">
        <v>50</v>
      </c>
      <c r="C931" s="19" t="s">
        <v>12</v>
      </c>
      <c r="D931" s="19" t="s">
        <v>58</v>
      </c>
      <c r="E931" s="20" t="n">
        <v>10970</v>
      </c>
      <c r="F931" s="20" t="n">
        <v>0</v>
      </c>
    </row>
    <row r="932" customFormat="false" ht="15" hidden="false" customHeight="false" outlineLevel="0" collapsed="false">
      <c r="A932" s="22" t="n">
        <v>46171</v>
      </c>
      <c r="B932" s="19" t="s">
        <v>50</v>
      </c>
      <c r="C932" s="19" t="s">
        <v>16</v>
      </c>
      <c r="D932" s="19" t="s">
        <v>80</v>
      </c>
      <c r="E932" s="20" t="n">
        <v>145468</v>
      </c>
      <c r="F932" s="20" t="n">
        <v>773460</v>
      </c>
    </row>
    <row r="933" customFormat="false" ht="15" hidden="false" customHeight="false" outlineLevel="0" collapsed="false">
      <c r="A933" s="22" t="n">
        <v>46171</v>
      </c>
      <c r="B933" s="19" t="s">
        <v>50</v>
      </c>
      <c r="C933" s="19" t="s">
        <v>14</v>
      </c>
      <c r="D933" s="19" t="s">
        <v>62</v>
      </c>
      <c r="E933" s="20" t="n">
        <v>3782</v>
      </c>
      <c r="F933" s="20" t="n">
        <v>0</v>
      </c>
    </row>
    <row r="934" customFormat="false" ht="15" hidden="false" customHeight="false" outlineLevel="0" collapsed="false">
      <c r="A934" s="22" t="n">
        <v>46171</v>
      </c>
      <c r="B934" s="19" t="s">
        <v>50</v>
      </c>
      <c r="C934" s="19" t="s">
        <v>16</v>
      </c>
      <c r="D934" s="19" t="s">
        <v>94</v>
      </c>
      <c r="E934" s="20" t="n">
        <v>2724</v>
      </c>
      <c r="F934" s="20" t="n">
        <v>0</v>
      </c>
    </row>
    <row r="935" customFormat="false" ht="15" hidden="false" customHeight="false" outlineLevel="0" collapsed="false">
      <c r="A935" s="22" t="n">
        <v>46171</v>
      </c>
      <c r="B935" s="19" t="s">
        <v>50</v>
      </c>
      <c r="C935" s="19" t="s">
        <v>70</v>
      </c>
      <c r="D935" s="19" t="s">
        <v>93</v>
      </c>
      <c r="E935" s="20" t="n">
        <v>2315</v>
      </c>
      <c r="F935" s="20" t="n">
        <v>0</v>
      </c>
    </row>
    <row r="936" customFormat="false" ht="15" hidden="false" customHeight="false" outlineLevel="0" collapsed="false">
      <c r="A936" s="22" t="n">
        <v>46171</v>
      </c>
      <c r="B936" s="19" t="s">
        <v>50</v>
      </c>
      <c r="C936" s="19" t="s">
        <v>11</v>
      </c>
      <c r="D936" s="19" t="s">
        <v>63</v>
      </c>
      <c r="E936" s="20" t="n">
        <v>3069</v>
      </c>
      <c r="F936" s="20" t="n">
        <v>0</v>
      </c>
    </row>
    <row r="937" customFormat="false" ht="15" hidden="false" customHeight="false" outlineLevel="0" collapsed="false">
      <c r="A937" s="22" t="n">
        <v>46171</v>
      </c>
      <c r="B937" s="19" t="s">
        <v>50</v>
      </c>
      <c r="C937" s="19" t="s">
        <v>12</v>
      </c>
      <c r="D937" s="19" t="s">
        <v>65</v>
      </c>
      <c r="E937" s="20" t="n">
        <v>628556</v>
      </c>
      <c r="F937" s="20" t="n">
        <v>2989386</v>
      </c>
    </row>
    <row r="938" customFormat="false" ht="15" hidden="false" customHeight="false" outlineLevel="0" collapsed="false">
      <c r="A938" s="22" t="n">
        <v>46171</v>
      </c>
      <c r="B938" s="19" t="s">
        <v>50</v>
      </c>
      <c r="C938" s="19" t="s">
        <v>13</v>
      </c>
      <c r="D938" s="19" t="s">
        <v>64</v>
      </c>
      <c r="E938" s="20" t="n">
        <v>297051</v>
      </c>
      <c r="F938" s="20" t="n">
        <v>1531945</v>
      </c>
    </row>
    <row r="939" customFormat="false" ht="15" hidden="false" customHeight="false" outlineLevel="0" collapsed="false">
      <c r="A939" s="22" t="n">
        <v>46172</v>
      </c>
      <c r="B939" s="19" t="s">
        <v>50</v>
      </c>
      <c r="C939" s="19" t="s">
        <v>16</v>
      </c>
      <c r="D939" s="19" t="s">
        <v>59</v>
      </c>
      <c r="E939" s="20" t="n">
        <v>500000</v>
      </c>
      <c r="F939" s="20" t="n">
        <v>2769210</v>
      </c>
    </row>
    <row r="940" customFormat="false" ht="15" hidden="false" customHeight="false" outlineLevel="0" collapsed="false">
      <c r="A940" s="22" t="n">
        <v>46172</v>
      </c>
      <c r="B940" s="19" t="s">
        <v>50</v>
      </c>
      <c r="C940" s="19" t="s">
        <v>12</v>
      </c>
      <c r="D940" s="19" t="s">
        <v>58</v>
      </c>
      <c r="E940" s="20" t="n">
        <v>11239</v>
      </c>
      <c r="F940" s="20" t="n">
        <v>0</v>
      </c>
    </row>
    <row r="941" customFormat="false" ht="15" hidden="false" customHeight="false" outlineLevel="0" collapsed="false">
      <c r="A941" s="22" t="n">
        <v>46172</v>
      </c>
      <c r="B941" s="19" t="s">
        <v>50</v>
      </c>
      <c r="C941" s="19" t="s">
        <v>12</v>
      </c>
      <c r="D941" s="19" t="s">
        <v>72</v>
      </c>
      <c r="E941" s="20" t="n">
        <v>4024</v>
      </c>
      <c r="F941" s="20" t="n">
        <v>0</v>
      </c>
    </row>
    <row r="942" customFormat="false" ht="15" hidden="false" customHeight="false" outlineLevel="0" collapsed="false">
      <c r="A942" s="22" t="n">
        <v>46172</v>
      </c>
      <c r="B942" s="19" t="s">
        <v>50</v>
      </c>
      <c r="C942" s="19" t="s">
        <v>16</v>
      </c>
      <c r="D942" s="19" t="s">
        <v>80</v>
      </c>
      <c r="E942" s="20" t="n">
        <v>48072</v>
      </c>
      <c r="F942" s="20" t="n">
        <v>366300</v>
      </c>
    </row>
    <row r="943" customFormat="false" ht="15" hidden="false" customHeight="false" outlineLevel="0" collapsed="false">
      <c r="A943" s="22" t="n">
        <v>46172</v>
      </c>
      <c r="B943" s="19" t="s">
        <v>50</v>
      </c>
      <c r="C943" s="19" t="s">
        <v>16</v>
      </c>
      <c r="D943" s="19" t="s">
        <v>94</v>
      </c>
      <c r="E943" s="20" t="n">
        <v>48209</v>
      </c>
      <c r="F943" s="20" t="n">
        <v>287832</v>
      </c>
    </row>
    <row r="944" customFormat="false" ht="15" hidden="false" customHeight="false" outlineLevel="0" collapsed="false">
      <c r="A944" s="22" t="n">
        <v>46172</v>
      </c>
      <c r="B944" s="19" t="s">
        <v>50</v>
      </c>
      <c r="C944" s="19" t="s">
        <v>11</v>
      </c>
      <c r="D944" s="19" t="s">
        <v>60</v>
      </c>
      <c r="E944" s="20" t="n">
        <v>14901</v>
      </c>
      <c r="F944" s="20" t="n">
        <v>0</v>
      </c>
    </row>
    <row r="945" customFormat="false" ht="15" hidden="false" customHeight="false" outlineLevel="0" collapsed="false">
      <c r="A945" s="22" t="n">
        <v>46172</v>
      </c>
      <c r="B945" s="19" t="s">
        <v>50</v>
      </c>
      <c r="C945" s="19" t="s">
        <v>70</v>
      </c>
      <c r="D945" s="19" t="s">
        <v>91</v>
      </c>
      <c r="E945" s="20" t="n">
        <v>17922</v>
      </c>
      <c r="F945" s="20" t="n">
        <v>93060</v>
      </c>
    </row>
    <row r="946" customFormat="false" ht="15" hidden="false" customHeight="false" outlineLevel="0" collapsed="false">
      <c r="A946" s="22" t="n">
        <v>46172</v>
      </c>
      <c r="B946" s="19" t="s">
        <v>50</v>
      </c>
      <c r="C946" s="19" t="s">
        <v>14</v>
      </c>
      <c r="D946" s="19" t="s">
        <v>62</v>
      </c>
      <c r="E946" s="20" t="n">
        <v>11592</v>
      </c>
      <c r="F946" s="20" t="n">
        <v>0</v>
      </c>
    </row>
    <row r="947" customFormat="false" ht="15" hidden="false" customHeight="false" outlineLevel="0" collapsed="false">
      <c r="A947" s="22" t="n">
        <v>46172</v>
      </c>
      <c r="B947" s="19" t="s">
        <v>50</v>
      </c>
      <c r="C947" s="19" t="s">
        <v>70</v>
      </c>
      <c r="D947" s="19" t="s">
        <v>93</v>
      </c>
      <c r="E947" s="20" t="n">
        <v>612</v>
      </c>
      <c r="F947" s="20" t="n">
        <v>0</v>
      </c>
    </row>
    <row r="948" customFormat="false" ht="15" hidden="false" customHeight="false" outlineLevel="0" collapsed="false">
      <c r="A948" s="22" t="n">
        <v>46172</v>
      </c>
      <c r="B948" s="19" t="s">
        <v>50</v>
      </c>
      <c r="C948" s="19" t="s">
        <v>11</v>
      </c>
      <c r="D948" s="19" t="s">
        <v>63</v>
      </c>
      <c r="E948" s="20" t="n">
        <v>14264</v>
      </c>
      <c r="F948" s="20" t="n">
        <v>78000</v>
      </c>
    </row>
    <row r="949" customFormat="false" ht="15" hidden="false" customHeight="false" outlineLevel="0" collapsed="false">
      <c r="A949" s="22" t="n">
        <v>46172</v>
      </c>
      <c r="B949" s="19" t="s">
        <v>50</v>
      </c>
      <c r="C949" s="19" t="s">
        <v>12</v>
      </c>
      <c r="D949" s="19" t="s">
        <v>65</v>
      </c>
      <c r="E949" s="20" t="n">
        <v>700000</v>
      </c>
      <c r="F949" s="20" t="n">
        <v>3436119</v>
      </c>
    </row>
    <row r="950" customFormat="false" ht="15" hidden="false" customHeight="false" outlineLevel="0" collapsed="false">
      <c r="A950" s="22" t="n">
        <v>46172</v>
      </c>
      <c r="B950" s="19" t="s">
        <v>50</v>
      </c>
      <c r="C950" s="19" t="s">
        <v>13</v>
      </c>
      <c r="D950" s="19" t="s">
        <v>64</v>
      </c>
      <c r="E950" s="20" t="n">
        <v>183045</v>
      </c>
      <c r="F950" s="20" t="n">
        <v>1019630</v>
      </c>
    </row>
    <row r="951" customFormat="false" ht="15" hidden="false" customHeight="false" outlineLevel="0" collapsed="false">
      <c r="A951" s="22" t="n">
        <v>46173</v>
      </c>
      <c r="B951" s="19" t="s">
        <v>50</v>
      </c>
      <c r="C951" s="19" t="s">
        <v>16</v>
      </c>
      <c r="D951" s="19" t="s">
        <v>59</v>
      </c>
      <c r="E951" s="20" t="n">
        <v>413805</v>
      </c>
      <c r="F951" s="20" t="n">
        <v>1726422</v>
      </c>
    </row>
    <row r="952" customFormat="false" ht="15" hidden="false" customHeight="false" outlineLevel="0" collapsed="false">
      <c r="A952" s="22" t="n">
        <v>46173</v>
      </c>
      <c r="B952" s="19" t="s">
        <v>50</v>
      </c>
      <c r="C952" s="19" t="s">
        <v>12</v>
      </c>
      <c r="D952" s="19" t="s">
        <v>58</v>
      </c>
      <c r="E952" s="20" t="n">
        <v>7214</v>
      </c>
      <c r="F952" s="20" t="n">
        <v>0</v>
      </c>
    </row>
    <row r="953" customFormat="false" ht="15" hidden="false" customHeight="false" outlineLevel="0" collapsed="false">
      <c r="A953" s="22" t="n">
        <v>46173</v>
      </c>
      <c r="B953" s="19" t="s">
        <v>50</v>
      </c>
      <c r="C953" s="19" t="s">
        <v>12</v>
      </c>
      <c r="D953" s="19" t="s">
        <v>72</v>
      </c>
      <c r="E953" s="20" t="n">
        <v>11367</v>
      </c>
      <c r="F953" s="20" t="n">
        <v>0</v>
      </c>
    </row>
    <row r="954" customFormat="false" ht="15" hidden="false" customHeight="false" outlineLevel="0" collapsed="false">
      <c r="A954" s="22" t="n">
        <v>46173</v>
      </c>
      <c r="B954" s="19" t="s">
        <v>50</v>
      </c>
      <c r="C954" s="19" t="s">
        <v>16</v>
      </c>
      <c r="D954" s="19" t="s">
        <v>80</v>
      </c>
      <c r="E954" s="20" t="n">
        <v>63783</v>
      </c>
      <c r="F954" s="20" t="n">
        <v>362600</v>
      </c>
    </row>
    <row r="955" customFormat="false" ht="15" hidden="false" customHeight="false" outlineLevel="0" collapsed="false">
      <c r="A955" s="22" t="n">
        <v>46173</v>
      </c>
      <c r="B955" s="19" t="s">
        <v>50</v>
      </c>
      <c r="C955" s="19" t="s">
        <v>11</v>
      </c>
      <c r="D955" s="19" t="s">
        <v>60</v>
      </c>
      <c r="E955" s="20" t="n">
        <v>8362</v>
      </c>
      <c r="F955" s="20" t="n">
        <v>0</v>
      </c>
    </row>
    <row r="956" customFormat="false" ht="15" hidden="false" customHeight="false" outlineLevel="0" collapsed="false">
      <c r="A956" s="22" t="n">
        <v>46173</v>
      </c>
      <c r="B956" s="19" t="s">
        <v>50</v>
      </c>
      <c r="C956" s="19" t="s">
        <v>16</v>
      </c>
      <c r="D956" s="19" t="s">
        <v>94</v>
      </c>
      <c r="E956" s="20" t="n">
        <v>6286</v>
      </c>
      <c r="F956" s="20" t="n">
        <v>0</v>
      </c>
    </row>
    <row r="957" customFormat="false" ht="15" hidden="false" customHeight="false" outlineLevel="0" collapsed="false">
      <c r="A957" s="22" t="n">
        <v>46173</v>
      </c>
      <c r="B957" s="19" t="s">
        <v>50</v>
      </c>
      <c r="C957" s="19" t="s">
        <v>70</v>
      </c>
      <c r="D957" s="19" t="s">
        <v>93</v>
      </c>
      <c r="E957" s="20" t="n">
        <v>1492</v>
      </c>
      <c r="F957" s="20" t="n">
        <v>0</v>
      </c>
    </row>
    <row r="958" customFormat="false" ht="15" hidden="false" customHeight="false" outlineLevel="0" collapsed="false">
      <c r="A958" s="22" t="n">
        <v>46173</v>
      </c>
      <c r="B958" s="19" t="s">
        <v>50</v>
      </c>
      <c r="C958" s="19" t="s">
        <v>70</v>
      </c>
      <c r="D958" s="19" t="s">
        <v>91</v>
      </c>
      <c r="E958" s="20" t="n">
        <v>296</v>
      </c>
      <c r="F958" s="20" t="n">
        <v>0</v>
      </c>
    </row>
    <row r="959" customFormat="false" ht="15" hidden="false" customHeight="false" outlineLevel="0" collapsed="false">
      <c r="A959" s="22" t="n">
        <v>46173</v>
      </c>
      <c r="B959" s="19" t="s">
        <v>50</v>
      </c>
      <c r="C959" s="19" t="s">
        <v>11</v>
      </c>
      <c r="D959" s="19" t="s">
        <v>63</v>
      </c>
      <c r="E959" s="20" t="n">
        <v>5495</v>
      </c>
      <c r="F959" s="20" t="n">
        <v>0</v>
      </c>
    </row>
    <row r="960" customFormat="false" ht="15" hidden="false" customHeight="false" outlineLevel="0" collapsed="false">
      <c r="A960" s="22" t="n">
        <v>46173</v>
      </c>
      <c r="B960" s="19" t="s">
        <v>50</v>
      </c>
      <c r="C960" s="19" t="s">
        <v>13</v>
      </c>
      <c r="D960" s="19" t="s">
        <v>64</v>
      </c>
      <c r="E960" s="20" t="n">
        <v>169959</v>
      </c>
      <c r="F960" s="20" t="n">
        <v>655152</v>
      </c>
    </row>
    <row r="961" customFormat="false" ht="15" hidden="false" customHeight="false" outlineLevel="0" collapsed="false">
      <c r="A961" s="22" t="n">
        <v>46173</v>
      </c>
      <c r="B961" s="19" t="s">
        <v>50</v>
      </c>
      <c r="C961" s="19" t="s">
        <v>12</v>
      </c>
      <c r="D961" s="19" t="s">
        <v>65</v>
      </c>
      <c r="E961" s="20" t="n">
        <v>202836</v>
      </c>
      <c r="F961" s="20" t="n">
        <v>272810</v>
      </c>
    </row>
    <row r="962" customFormat="false" ht="15" hidden="false" customHeight="false" outlineLevel="0" collapsed="false">
      <c r="A962" s="22" t="n">
        <v>46174</v>
      </c>
      <c r="B962" s="19" t="s">
        <v>50</v>
      </c>
      <c r="C962" s="19" t="s">
        <v>16</v>
      </c>
      <c r="D962" s="19" t="s">
        <v>59</v>
      </c>
      <c r="E962" s="20" t="n">
        <v>64534</v>
      </c>
      <c r="F962" s="20" t="n">
        <v>0</v>
      </c>
    </row>
    <row r="963" customFormat="false" ht="15" hidden="false" customHeight="false" outlineLevel="0" collapsed="false">
      <c r="A963" s="22" t="n">
        <v>46174</v>
      </c>
      <c r="B963" s="19" t="s">
        <v>50</v>
      </c>
      <c r="C963" s="19" t="s">
        <v>12</v>
      </c>
      <c r="D963" s="19" t="s">
        <v>58</v>
      </c>
      <c r="E963" s="20" t="n">
        <v>101908</v>
      </c>
      <c r="F963" s="20" t="n">
        <v>580982</v>
      </c>
    </row>
    <row r="964" customFormat="false" ht="15" hidden="false" customHeight="false" outlineLevel="0" collapsed="false">
      <c r="A964" s="22" t="n">
        <v>46174</v>
      </c>
      <c r="B964" s="19" t="s">
        <v>50</v>
      </c>
      <c r="C964" s="19" t="s">
        <v>12</v>
      </c>
      <c r="D964" s="19" t="s">
        <v>72</v>
      </c>
      <c r="E964" s="20" t="n">
        <v>230964</v>
      </c>
      <c r="F964" s="20" t="n">
        <v>1413485</v>
      </c>
    </row>
    <row r="965" customFormat="false" ht="15" hidden="false" customHeight="false" outlineLevel="0" collapsed="false">
      <c r="A965" s="22" t="n">
        <v>46174</v>
      </c>
      <c r="B965" s="19" t="s">
        <v>50</v>
      </c>
      <c r="C965" s="19" t="s">
        <v>16</v>
      </c>
      <c r="D965" s="19" t="s">
        <v>80</v>
      </c>
      <c r="E965" s="20" t="n">
        <v>188604</v>
      </c>
      <c r="F965" s="20" t="n">
        <v>847500</v>
      </c>
    </row>
    <row r="966" customFormat="false" ht="15" hidden="false" customHeight="false" outlineLevel="0" collapsed="false">
      <c r="A966" s="22" t="n">
        <v>46174</v>
      </c>
      <c r="B966" s="19" t="s">
        <v>50</v>
      </c>
      <c r="C966" s="19" t="s">
        <v>11</v>
      </c>
      <c r="D966" s="19" t="s">
        <v>60</v>
      </c>
      <c r="E966" s="20" t="n">
        <v>8347</v>
      </c>
      <c r="F966" s="20" t="n">
        <v>0</v>
      </c>
    </row>
    <row r="967" customFormat="false" ht="15" hidden="false" customHeight="false" outlineLevel="0" collapsed="false">
      <c r="A967" s="22" t="n">
        <v>46174</v>
      </c>
      <c r="B967" s="19" t="s">
        <v>50</v>
      </c>
      <c r="C967" s="19" t="s">
        <v>16</v>
      </c>
      <c r="D967" s="19" t="s">
        <v>94</v>
      </c>
      <c r="E967" s="20" t="n">
        <v>71773</v>
      </c>
      <c r="F967" s="20" t="n">
        <v>434233</v>
      </c>
    </row>
    <row r="968" customFormat="false" ht="15" hidden="false" customHeight="false" outlineLevel="0" collapsed="false">
      <c r="A968" s="22" t="n">
        <v>46174</v>
      </c>
      <c r="B968" s="19" t="s">
        <v>50</v>
      </c>
      <c r="C968" s="19" t="s">
        <v>70</v>
      </c>
      <c r="D968" s="19" t="s">
        <v>93</v>
      </c>
      <c r="E968" s="20" t="n">
        <v>4374</v>
      </c>
      <c r="F968" s="20" t="n">
        <v>0</v>
      </c>
    </row>
    <row r="969" customFormat="false" ht="15" hidden="false" customHeight="false" outlineLevel="0" collapsed="false">
      <c r="A969" s="22" t="n">
        <v>46174</v>
      </c>
      <c r="B969" s="19" t="s">
        <v>50</v>
      </c>
      <c r="C969" s="19" t="s">
        <v>70</v>
      </c>
      <c r="D969" s="19" t="s">
        <v>91</v>
      </c>
      <c r="E969" s="20" t="n">
        <v>104</v>
      </c>
      <c r="F969" s="20" t="n">
        <v>0</v>
      </c>
    </row>
    <row r="970" customFormat="false" ht="15" hidden="false" customHeight="false" outlineLevel="0" collapsed="false">
      <c r="A970" s="22" t="n">
        <v>46174</v>
      </c>
      <c r="B970" s="19" t="s">
        <v>50</v>
      </c>
      <c r="C970" s="19" t="s">
        <v>14</v>
      </c>
      <c r="D970" s="19" t="s">
        <v>62</v>
      </c>
      <c r="E970" s="20" t="n">
        <v>1</v>
      </c>
      <c r="F970" s="20" t="n">
        <v>0</v>
      </c>
    </row>
    <row r="971" customFormat="false" ht="15" hidden="false" customHeight="false" outlineLevel="0" collapsed="false">
      <c r="A971" s="22" t="n">
        <v>46174</v>
      </c>
      <c r="B971" s="19" t="s">
        <v>50</v>
      </c>
      <c r="C971" s="19" t="s">
        <v>11</v>
      </c>
      <c r="D971" s="19" t="s">
        <v>63</v>
      </c>
      <c r="E971" s="20" t="n">
        <v>44817</v>
      </c>
      <c r="F971" s="20" t="n">
        <v>230880</v>
      </c>
    </row>
    <row r="972" customFormat="false" ht="15" hidden="false" customHeight="false" outlineLevel="0" collapsed="false">
      <c r="A972" s="22" t="n">
        <v>46174</v>
      </c>
      <c r="B972" s="19" t="s">
        <v>50</v>
      </c>
      <c r="C972" s="19" t="s">
        <v>13</v>
      </c>
      <c r="D972" s="19" t="s">
        <v>64</v>
      </c>
      <c r="E972" s="20" t="n">
        <v>343464</v>
      </c>
      <c r="F972" s="20" t="n">
        <v>1922547</v>
      </c>
    </row>
    <row r="973" customFormat="false" ht="15" hidden="false" customHeight="false" outlineLevel="0" collapsed="false">
      <c r="A973" s="22" t="n">
        <v>46174</v>
      </c>
      <c r="B973" s="19" t="s">
        <v>50</v>
      </c>
      <c r="C973" s="19" t="s">
        <v>12</v>
      </c>
      <c r="D973" s="19" t="s">
        <v>65</v>
      </c>
      <c r="E973" s="20" t="n">
        <v>215003</v>
      </c>
      <c r="F973" s="20" t="n">
        <v>698605</v>
      </c>
    </row>
    <row r="974" customFormat="false" ht="15" hidden="false" customHeight="false" outlineLevel="0" collapsed="false">
      <c r="A974" s="22" t="n">
        <v>46175</v>
      </c>
      <c r="B974" s="19" t="s">
        <v>50</v>
      </c>
      <c r="C974" s="19" t="s">
        <v>16</v>
      </c>
      <c r="D974" s="19" t="s">
        <v>59</v>
      </c>
      <c r="E974" s="20" t="n">
        <v>121504</v>
      </c>
      <c r="F974" s="20" t="n">
        <v>559459</v>
      </c>
    </row>
    <row r="975" customFormat="false" ht="15" hidden="false" customHeight="false" outlineLevel="0" collapsed="false">
      <c r="A975" s="22" t="n">
        <v>46175</v>
      </c>
      <c r="B975" s="19" t="s">
        <v>50</v>
      </c>
      <c r="C975" s="19" t="s">
        <v>12</v>
      </c>
      <c r="D975" s="19" t="s">
        <v>58</v>
      </c>
      <c r="E975" s="20" t="n">
        <v>14171</v>
      </c>
      <c r="F975" s="20" t="n">
        <v>0</v>
      </c>
    </row>
    <row r="976" customFormat="false" ht="15" hidden="false" customHeight="false" outlineLevel="0" collapsed="false">
      <c r="A976" s="22" t="n">
        <v>46175</v>
      </c>
      <c r="B976" s="19" t="s">
        <v>50</v>
      </c>
      <c r="C976" s="19" t="s">
        <v>12</v>
      </c>
      <c r="D976" s="19" t="s">
        <v>72</v>
      </c>
      <c r="E976" s="20" t="n">
        <v>20567</v>
      </c>
      <c r="F976" s="20" t="n">
        <v>0</v>
      </c>
    </row>
    <row r="977" customFormat="false" ht="15" hidden="false" customHeight="false" outlineLevel="0" collapsed="false">
      <c r="A977" s="22" t="n">
        <v>46175</v>
      </c>
      <c r="B977" s="19" t="s">
        <v>50</v>
      </c>
      <c r="C977" s="19" t="s">
        <v>11</v>
      </c>
      <c r="D977" s="19" t="s">
        <v>60</v>
      </c>
      <c r="E977" s="20" t="n">
        <v>32387</v>
      </c>
      <c r="F977" s="20" t="n">
        <v>0</v>
      </c>
    </row>
    <row r="978" customFormat="false" ht="15" hidden="false" customHeight="false" outlineLevel="0" collapsed="false">
      <c r="A978" s="22" t="n">
        <v>46175</v>
      </c>
      <c r="B978" s="19" t="s">
        <v>50</v>
      </c>
      <c r="C978" s="19" t="s">
        <v>16</v>
      </c>
      <c r="D978" s="19" t="s">
        <v>80</v>
      </c>
      <c r="E978" s="20" t="n">
        <v>200000</v>
      </c>
      <c r="F978" s="20" t="n">
        <v>1100735</v>
      </c>
    </row>
    <row r="979" customFormat="false" ht="15" hidden="false" customHeight="false" outlineLevel="0" collapsed="false">
      <c r="A979" s="22" t="n">
        <v>46175</v>
      </c>
      <c r="B979" s="19" t="s">
        <v>50</v>
      </c>
      <c r="C979" s="19" t="s">
        <v>14</v>
      </c>
      <c r="D979" s="19" t="s">
        <v>62</v>
      </c>
      <c r="E979" s="20" t="n">
        <v>2</v>
      </c>
      <c r="F979" s="20" t="n">
        <v>0</v>
      </c>
    </row>
    <row r="980" customFormat="false" ht="15" hidden="false" customHeight="false" outlineLevel="0" collapsed="false">
      <c r="A980" s="22" t="n">
        <v>46175</v>
      </c>
      <c r="B980" s="19" t="s">
        <v>50</v>
      </c>
      <c r="C980" s="19" t="s">
        <v>70</v>
      </c>
      <c r="D980" s="19" t="s">
        <v>93</v>
      </c>
      <c r="E980" s="20" t="n">
        <v>6747</v>
      </c>
      <c r="F980" s="20" t="n">
        <v>99000</v>
      </c>
    </row>
    <row r="981" customFormat="false" ht="15" hidden="false" customHeight="false" outlineLevel="0" collapsed="false">
      <c r="A981" s="22" t="n">
        <v>46175</v>
      </c>
      <c r="B981" s="19" t="s">
        <v>50</v>
      </c>
      <c r="C981" s="19" t="s">
        <v>16</v>
      </c>
      <c r="D981" s="19" t="s">
        <v>94</v>
      </c>
      <c r="E981" s="20" t="n">
        <v>30450</v>
      </c>
      <c r="F981" s="20" t="n">
        <v>0</v>
      </c>
    </row>
    <row r="982" customFormat="false" ht="15" hidden="false" customHeight="false" outlineLevel="0" collapsed="false">
      <c r="A982" s="22" t="n">
        <v>46175</v>
      </c>
      <c r="B982" s="19" t="s">
        <v>50</v>
      </c>
      <c r="C982" s="19" t="s">
        <v>11</v>
      </c>
      <c r="D982" s="19" t="s">
        <v>63</v>
      </c>
      <c r="E982" s="20" t="n">
        <v>5863</v>
      </c>
      <c r="F982" s="20" t="n">
        <v>0</v>
      </c>
    </row>
    <row r="983" customFormat="false" ht="15" hidden="false" customHeight="false" outlineLevel="0" collapsed="false">
      <c r="A983" s="22" t="n">
        <v>46175</v>
      </c>
      <c r="B983" s="19" t="s">
        <v>50</v>
      </c>
      <c r="C983" s="19" t="s">
        <v>12</v>
      </c>
      <c r="D983" s="19" t="s">
        <v>65</v>
      </c>
      <c r="E983" s="20" t="n">
        <v>539815</v>
      </c>
      <c r="F983" s="20" t="n">
        <v>2404773</v>
      </c>
    </row>
    <row r="984" customFormat="false" ht="15" hidden="false" customHeight="false" outlineLevel="0" collapsed="false">
      <c r="A984" s="22" t="n">
        <v>46175</v>
      </c>
      <c r="B984" s="19" t="s">
        <v>50</v>
      </c>
      <c r="C984" s="19" t="s">
        <v>13</v>
      </c>
      <c r="D984" s="19" t="s">
        <v>64</v>
      </c>
      <c r="E984" s="20" t="n">
        <v>127543</v>
      </c>
      <c r="F984" s="20" t="n">
        <v>286631</v>
      </c>
    </row>
    <row r="985" customFormat="false" ht="15" hidden="false" customHeight="false" outlineLevel="0" collapsed="false">
      <c r="A985" s="22" t="n">
        <v>46176</v>
      </c>
      <c r="B985" s="19" t="s">
        <v>50</v>
      </c>
      <c r="C985" s="19" t="s">
        <v>12</v>
      </c>
      <c r="D985" s="19" t="s">
        <v>72</v>
      </c>
      <c r="E985" s="20" t="n">
        <v>41582</v>
      </c>
      <c r="F985" s="20" t="n">
        <v>267836</v>
      </c>
    </row>
    <row r="986" customFormat="false" ht="15" hidden="false" customHeight="false" outlineLevel="0" collapsed="false">
      <c r="A986" s="22" t="n">
        <v>46176</v>
      </c>
      <c r="B986" s="19" t="s">
        <v>50</v>
      </c>
      <c r="C986" s="19" t="s">
        <v>16</v>
      </c>
      <c r="D986" s="19" t="s">
        <v>59</v>
      </c>
      <c r="E986" s="20" t="n">
        <v>4158</v>
      </c>
      <c r="F986" s="20" t="n">
        <v>0</v>
      </c>
    </row>
    <row r="987" customFormat="false" ht="15" hidden="false" customHeight="false" outlineLevel="0" collapsed="false">
      <c r="A987" s="22" t="n">
        <v>46176</v>
      </c>
      <c r="B987" s="19" t="s">
        <v>50</v>
      </c>
      <c r="C987" s="19" t="s">
        <v>12</v>
      </c>
      <c r="D987" s="19" t="s">
        <v>58</v>
      </c>
      <c r="E987" s="20" t="n">
        <v>10754</v>
      </c>
      <c r="F987" s="20" t="n">
        <v>0</v>
      </c>
    </row>
    <row r="988" customFormat="false" ht="15" hidden="false" customHeight="false" outlineLevel="0" collapsed="false">
      <c r="A988" s="22" t="n">
        <v>46176</v>
      </c>
      <c r="B988" s="19" t="s">
        <v>50</v>
      </c>
      <c r="C988" s="19" t="s">
        <v>11</v>
      </c>
      <c r="D988" s="19" t="s">
        <v>60</v>
      </c>
      <c r="E988" s="20" t="n">
        <v>36714</v>
      </c>
      <c r="F988" s="20" t="n">
        <v>112000</v>
      </c>
    </row>
    <row r="989" customFormat="false" ht="15" hidden="false" customHeight="false" outlineLevel="0" collapsed="false">
      <c r="A989" s="22" t="n">
        <v>46176</v>
      </c>
      <c r="B989" s="19" t="s">
        <v>50</v>
      </c>
      <c r="C989" s="19" t="s">
        <v>16</v>
      </c>
      <c r="D989" s="19" t="s">
        <v>80</v>
      </c>
      <c r="E989" s="20" t="n">
        <v>4390</v>
      </c>
      <c r="F989" s="20" t="n">
        <v>0</v>
      </c>
    </row>
    <row r="990" customFormat="false" ht="15" hidden="false" customHeight="false" outlineLevel="0" collapsed="false">
      <c r="A990" s="22" t="n">
        <v>46176</v>
      </c>
      <c r="B990" s="19" t="s">
        <v>50</v>
      </c>
      <c r="C990" s="19" t="s">
        <v>70</v>
      </c>
      <c r="D990" s="19" t="s">
        <v>93</v>
      </c>
      <c r="E990" s="20" t="n">
        <v>7796</v>
      </c>
      <c r="F990" s="20" t="n">
        <v>0</v>
      </c>
    </row>
    <row r="991" customFormat="false" ht="15" hidden="false" customHeight="false" outlineLevel="0" collapsed="false">
      <c r="A991" s="22" t="n">
        <v>46176</v>
      </c>
      <c r="B991" s="19" t="s">
        <v>50</v>
      </c>
      <c r="C991" s="19" t="s">
        <v>16</v>
      </c>
      <c r="D991" s="19" t="s">
        <v>94</v>
      </c>
      <c r="E991" s="20" t="n">
        <v>230</v>
      </c>
      <c r="F991" s="20" t="n">
        <v>0</v>
      </c>
    </row>
    <row r="992" customFormat="false" ht="15" hidden="false" customHeight="false" outlineLevel="0" collapsed="false">
      <c r="A992" s="22" t="n">
        <v>46176</v>
      </c>
      <c r="B992" s="19" t="s">
        <v>50</v>
      </c>
      <c r="C992" s="19" t="s">
        <v>70</v>
      </c>
      <c r="D992" s="19" t="s">
        <v>91</v>
      </c>
      <c r="E992" s="20" t="n">
        <v>33</v>
      </c>
      <c r="F992" s="20" t="n">
        <v>0</v>
      </c>
    </row>
    <row r="993" customFormat="false" ht="15" hidden="false" customHeight="false" outlineLevel="0" collapsed="false">
      <c r="A993" s="22" t="n">
        <v>46176</v>
      </c>
      <c r="B993" s="19" t="s">
        <v>50</v>
      </c>
      <c r="C993" s="19" t="s">
        <v>11</v>
      </c>
      <c r="D993" s="19" t="s">
        <v>63</v>
      </c>
      <c r="E993" s="20" t="n">
        <v>8852</v>
      </c>
      <c r="F993" s="20" t="n">
        <v>39000</v>
      </c>
    </row>
    <row r="994" customFormat="false" ht="15" hidden="false" customHeight="false" outlineLevel="0" collapsed="false">
      <c r="A994" s="22" t="n">
        <v>46176</v>
      </c>
      <c r="B994" s="19" t="s">
        <v>50</v>
      </c>
      <c r="C994" s="19" t="s">
        <v>13</v>
      </c>
      <c r="D994" s="19" t="s">
        <v>64</v>
      </c>
      <c r="E994" s="20" t="n">
        <v>650000</v>
      </c>
      <c r="F994" s="20" t="n">
        <v>3966926</v>
      </c>
    </row>
    <row r="995" customFormat="false" ht="15" hidden="false" customHeight="false" outlineLevel="0" collapsed="false">
      <c r="A995" s="22" t="n">
        <v>46176</v>
      </c>
      <c r="B995" s="19" t="s">
        <v>50</v>
      </c>
      <c r="C995" s="19" t="s">
        <v>12</v>
      </c>
      <c r="D995" s="19" t="s">
        <v>65</v>
      </c>
      <c r="E995" s="20" t="n">
        <v>360050</v>
      </c>
      <c r="F995" s="20" t="n">
        <v>1746685</v>
      </c>
    </row>
    <row r="996" customFormat="false" ht="15" hidden="false" customHeight="false" outlineLevel="0" collapsed="false">
      <c r="A996" s="22" t="n">
        <v>46177</v>
      </c>
      <c r="B996" s="19" t="s">
        <v>50</v>
      </c>
      <c r="C996" s="19" t="s">
        <v>12</v>
      </c>
      <c r="D996" s="19" t="s">
        <v>58</v>
      </c>
      <c r="E996" s="20" t="n">
        <v>46120</v>
      </c>
      <c r="F996" s="20" t="n">
        <v>265547</v>
      </c>
    </row>
    <row r="997" customFormat="false" ht="15" hidden="false" customHeight="false" outlineLevel="0" collapsed="false">
      <c r="A997" s="22" t="n">
        <v>46177</v>
      </c>
      <c r="B997" s="19" t="s">
        <v>50</v>
      </c>
      <c r="C997" s="19" t="s">
        <v>16</v>
      </c>
      <c r="D997" s="19" t="s">
        <v>59</v>
      </c>
      <c r="E997" s="20" t="n">
        <v>5704</v>
      </c>
      <c r="F997" s="20" t="n">
        <v>0</v>
      </c>
    </row>
    <row r="998" customFormat="false" ht="15" hidden="false" customHeight="false" outlineLevel="0" collapsed="false">
      <c r="A998" s="22" t="n">
        <v>46177</v>
      </c>
      <c r="B998" s="19" t="s">
        <v>50</v>
      </c>
      <c r="C998" s="19" t="s">
        <v>12</v>
      </c>
      <c r="D998" s="19" t="s">
        <v>72</v>
      </c>
      <c r="E998" s="20" t="n">
        <v>12809</v>
      </c>
      <c r="F998" s="20" t="n">
        <v>0</v>
      </c>
    </row>
    <row r="999" customFormat="false" ht="15" hidden="false" customHeight="false" outlineLevel="0" collapsed="false">
      <c r="A999" s="22" t="n">
        <v>46177</v>
      </c>
      <c r="B999" s="19" t="s">
        <v>50</v>
      </c>
      <c r="C999" s="19" t="s">
        <v>16</v>
      </c>
      <c r="D999" s="19" t="s">
        <v>80</v>
      </c>
      <c r="E999" s="20" t="n">
        <v>31916</v>
      </c>
      <c r="F999" s="20" t="n">
        <v>181300</v>
      </c>
    </row>
    <row r="1000" customFormat="false" ht="15" hidden="false" customHeight="false" outlineLevel="0" collapsed="false">
      <c r="A1000" s="22" t="n">
        <v>46177</v>
      </c>
      <c r="B1000" s="19" t="s">
        <v>50</v>
      </c>
      <c r="C1000" s="19" t="s">
        <v>11</v>
      </c>
      <c r="D1000" s="19" t="s">
        <v>60</v>
      </c>
      <c r="E1000" s="20" t="n">
        <v>6980</v>
      </c>
      <c r="F1000" s="20" t="n">
        <v>0</v>
      </c>
    </row>
    <row r="1001" customFormat="false" ht="15" hidden="false" customHeight="false" outlineLevel="0" collapsed="false">
      <c r="A1001" s="22" t="n">
        <v>46177</v>
      </c>
      <c r="B1001" s="19" t="s">
        <v>50</v>
      </c>
      <c r="C1001" s="19" t="s">
        <v>70</v>
      </c>
      <c r="D1001" s="19" t="s">
        <v>91</v>
      </c>
      <c r="E1001" s="20" t="n">
        <v>22159</v>
      </c>
      <c r="F1001" s="20" t="n">
        <v>103998</v>
      </c>
    </row>
    <row r="1002" customFormat="false" ht="15" hidden="false" customHeight="false" outlineLevel="0" collapsed="false">
      <c r="A1002" s="22" t="n">
        <v>46177</v>
      </c>
      <c r="B1002" s="19" t="s">
        <v>50</v>
      </c>
      <c r="C1002" s="19" t="s">
        <v>14</v>
      </c>
      <c r="D1002" s="19" t="s">
        <v>62</v>
      </c>
      <c r="E1002" s="20" t="n">
        <v>3897</v>
      </c>
      <c r="F1002" s="20" t="n">
        <v>0</v>
      </c>
    </row>
    <row r="1003" customFormat="false" ht="15" hidden="false" customHeight="false" outlineLevel="0" collapsed="false">
      <c r="A1003" s="22" t="n">
        <v>46177</v>
      </c>
      <c r="B1003" s="19" t="s">
        <v>50</v>
      </c>
      <c r="C1003" s="19" t="s">
        <v>70</v>
      </c>
      <c r="D1003" s="19" t="s">
        <v>93</v>
      </c>
      <c r="E1003" s="20" t="n">
        <v>4257</v>
      </c>
      <c r="F1003" s="20" t="n">
        <v>0</v>
      </c>
    </row>
    <row r="1004" customFormat="false" ht="15" hidden="false" customHeight="false" outlineLevel="0" collapsed="false">
      <c r="A1004" s="22" t="n">
        <v>46177</v>
      </c>
      <c r="B1004" s="19" t="s">
        <v>50</v>
      </c>
      <c r="C1004" s="19" t="s">
        <v>16</v>
      </c>
      <c r="D1004" s="19" t="s">
        <v>94</v>
      </c>
      <c r="E1004" s="20" t="n">
        <v>3594</v>
      </c>
      <c r="F1004" s="20" t="n">
        <v>0</v>
      </c>
    </row>
    <row r="1005" customFormat="false" ht="15" hidden="false" customHeight="false" outlineLevel="0" collapsed="false">
      <c r="A1005" s="22" t="n">
        <v>46177</v>
      </c>
      <c r="B1005" s="19" t="s">
        <v>50</v>
      </c>
      <c r="C1005" s="19" t="s">
        <v>11</v>
      </c>
      <c r="D1005" s="19" t="s">
        <v>63</v>
      </c>
      <c r="E1005" s="20" t="n">
        <v>6501</v>
      </c>
      <c r="F1005" s="20" t="n">
        <v>0</v>
      </c>
    </row>
    <row r="1006" customFormat="false" ht="15" hidden="false" customHeight="false" outlineLevel="0" collapsed="false">
      <c r="A1006" s="22" t="n">
        <v>46177</v>
      </c>
      <c r="B1006" s="19" t="s">
        <v>50</v>
      </c>
      <c r="C1006" s="19" t="s">
        <v>12</v>
      </c>
      <c r="D1006" s="19" t="s">
        <v>65</v>
      </c>
      <c r="E1006" s="20" t="n">
        <v>144945</v>
      </c>
      <c r="F1006" s="20" t="n">
        <v>665185</v>
      </c>
    </row>
    <row r="1007" customFormat="false" ht="15" hidden="false" customHeight="false" outlineLevel="0" collapsed="false">
      <c r="A1007" s="22" t="n">
        <v>46177</v>
      </c>
      <c r="B1007" s="19" t="s">
        <v>50</v>
      </c>
      <c r="C1007" s="19" t="s">
        <v>13</v>
      </c>
      <c r="D1007" s="19" t="s">
        <v>95</v>
      </c>
      <c r="E1007" s="20" t="n">
        <v>225294</v>
      </c>
      <c r="F1007" s="20" t="n">
        <v>1120894</v>
      </c>
    </row>
    <row r="1008" customFormat="false" ht="15" hidden="false" customHeight="false" outlineLevel="0" collapsed="false">
      <c r="A1008" s="22" t="n">
        <v>46177</v>
      </c>
      <c r="B1008" s="19" t="s">
        <v>50</v>
      </c>
      <c r="C1008" s="19" t="s">
        <v>13</v>
      </c>
      <c r="D1008" s="19" t="s">
        <v>64</v>
      </c>
      <c r="E1008" s="20" t="n">
        <v>78363</v>
      </c>
      <c r="F1008" s="20" t="n">
        <v>0</v>
      </c>
    </row>
    <row r="1009" customFormat="false" ht="15" hidden="false" customHeight="false" outlineLevel="0" collapsed="false">
      <c r="A1009" s="22" t="n">
        <v>46177</v>
      </c>
      <c r="B1009" s="19" t="s">
        <v>50</v>
      </c>
      <c r="C1009" s="19" t="s">
        <v>13</v>
      </c>
      <c r="D1009" s="19" t="s">
        <v>96</v>
      </c>
      <c r="E1009" s="20" t="n">
        <v>51651</v>
      </c>
      <c r="F1009" s="20" t="n">
        <v>0</v>
      </c>
    </row>
    <row r="1010" customFormat="false" ht="15" hidden="false" customHeight="false" outlineLevel="0" collapsed="false">
      <c r="A1010" s="22" t="n">
        <v>46178</v>
      </c>
      <c r="B1010" s="19" t="s">
        <v>50</v>
      </c>
      <c r="C1010" s="19" t="s">
        <v>16</v>
      </c>
      <c r="D1010" s="19" t="s">
        <v>59</v>
      </c>
      <c r="E1010" s="20" t="n">
        <v>25033</v>
      </c>
      <c r="F1010" s="20" t="n">
        <v>139010</v>
      </c>
    </row>
    <row r="1011" customFormat="false" ht="15" hidden="false" customHeight="false" outlineLevel="0" collapsed="false">
      <c r="A1011" s="22" t="n">
        <v>46178</v>
      </c>
      <c r="B1011" s="19" t="s">
        <v>50</v>
      </c>
      <c r="C1011" s="19" t="s">
        <v>12</v>
      </c>
      <c r="D1011" s="19" t="s">
        <v>58</v>
      </c>
      <c r="E1011" s="20" t="n">
        <v>32856</v>
      </c>
      <c r="F1011" s="20" t="n">
        <v>208164</v>
      </c>
    </row>
    <row r="1012" customFormat="false" ht="15" hidden="false" customHeight="false" outlineLevel="0" collapsed="false">
      <c r="A1012" s="22" t="n">
        <v>46178</v>
      </c>
      <c r="B1012" s="19" t="s">
        <v>50</v>
      </c>
      <c r="C1012" s="19" t="s">
        <v>12</v>
      </c>
      <c r="D1012" s="19" t="s">
        <v>72</v>
      </c>
      <c r="E1012" s="20" t="n">
        <v>15322</v>
      </c>
      <c r="F1012" s="20" t="n">
        <v>0</v>
      </c>
    </row>
    <row r="1013" customFormat="false" ht="15" hidden="false" customHeight="false" outlineLevel="0" collapsed="false">
      <c r="A1013" s="22" t="n">
        <v>46178</v>
      </c>
      <c r="B1013" s="19" t="s">
        <v>50</v>
      </c>
      <c r="C1013" s="19" t="s">
        <v>70</v>
      </c>
      <c r="D1013" s="19" t="s">
        <v>91</v>
      </c>
      <c r="E1013" s="20" t="n">
        <v>68283</v>
      </c>
      <c r="F1013" s="20" t="n">
        <v>270370</v>
      </c>
    </row>
    <row r="1014" customFormat="false" ht="15" hidden="false" customHeight="false" outlineLevel="0" collapsed="false">
      <c r="A1014" s="22" t="n">
        <v>46178</v>
      </c>
      <c r="B1014" s="19" t="s">
        <v>50</v>
      </c>
      <c r="C1014" s="19" t="s">
        <v>14</v>
      </c>
      <c r="D1014" s="19" t="s">
        <v>62</v>
      </c>
      <c r="E1014" s="20" t="n">
        <v>16134</v>
      </c>
      <c r="F1014" s="20" t="n">
        <v>0</v>
      </c>
    </row>
    <row r="1015" customFormat="false" ht="15" hidden="false" customHeight="false" outlineLevel="0" collapsed="false">
      <c r="A1015" s="22" t="n">
        <v>46178</v>
      </c>
      <c r="B1015" s="19" t="s">
        <v>50</v>
      </c>
      <c r="C1015" s="19" t="s">
        <v>11</v>
      </c>
      <c r="D1015" s="19" t="s">
        <v>60</v>
      </c>
      <c r="E1015" s="20" t="n">
        <v>41220</v>
      </c>
      <c r="F1015" s="20" t="n">
        <v>178710</v>
      </c>
    </row>
    <row r="1016" customFormat="false" ht="15" hidden="false" customHeight="false" outlineLevel="0" collapsed="false">
      <c r="A1016" s="22" t="n">
        <v>46178</v>
      </c>
      <c r="B1016" s="19" t="s">
        <v>50</v>
      </c>
      <c r="C1016" s="19" t="s">
        <v>16</v>
      </c>
      <c r="D1016" s="19" t="s">
        <v>80</v>
      </c>
      <c r="E1016" s="20" t="n">
        <v>35125</v>
      </c>
      <c r="F1016" s="20" t="n">
        <v>185000</v>
      </c>
    </row>
    <row r="1017" customFormat="false" ht="15" hidden="false" customHeight="false" outlineLevel="0" collapsed="false">
      <c r="A1017" s="22" t="n">
        <v>46178</v>
      </c>
      <c r="B1017" s="19" t="s">
        <v>50</v>
      </c>
      <c r="C1017" s="19" t="s">
        <v>16</v>
      </c>
      <c r="D1017" s="19" t="s">
        <v>94</v>
      </c>
      <c r="E1017" s="20" t="n">
        <v>45588</v>
      </c>
      <c r="F1017" s="20" t="n">
        <v>0</v>
      </c>
    </row>
    <row r="1018" customFormat="false" ht="15" hidden="false" customHeight="false" outlineLevel="0" collapsed="false">
      <c r="A1018" s="22" t="n">
        <v>46178</v>
      </c>
      <c r="B1018" s="19" t="s">
        <v>50</v>
      </c>
      <c r="C1018" s="19" t="s">
        <v>70</v>
      </c>
      <c r="D1018" s="19" t="s">
        <v>93</v>
      </c>
      <c r="E1018" s="20" t="n">
        <v>5183</v>
      </c>
      <c r="F1018" s="20" t="n">
        <v>0</v>
      </c>
    </row>
    <row r="1019" customFormat="false" ht="15" hidden="false" customHeight="false" outlineLevel="0" collapsed="false">
      <c r="A1019" s="22" t="n">
        <v>46178</v>
      </c>
      <c r="B1019" s="19" t="s">
        <v>50</v>
      </c>
      <c r="C1019" s="19" t="s">
        <v>11</v>
      </c>
      <c r="D1019" s="19" t="s">
        <v>63</v>
      </c>
      <c r="E1019" s="20" t="n">
        <v>33803</v>
      </c>
      <c r="F1019" s="20" t="n">
        <v>162000</v>
      </c>
    </row>
    <row r="1020" customFormat="false" ht="15" hidden="false" customHeight="false" outlineLevel="0" collapsed="false">
      <c r="A1020" s="22" t="n">
        <v>46178</v>
      </c>
      <c r="B1020" s="19" t="s">
        <v>50</v>
      </c>
      <c r="C1020" s="19" t="s">
        <v>12</v>
      </c>
      <c r="D1020" s="19" t="s">
        <v>65</v>
      </c>
      <c r="E1020" s="20" t="n">
        <v>377680</v>
      </c>
      <c r="F1020" s="20" t="n">
        <v>1693572</v>
      </c>
    </row>
    <row r="1021" customFormat="false" ht="15" hidden="false" customHeight="false" outlineLevel="0" collapsed="false">
      <c r="A1021" s="22" t="n">
        <v>46178</v>
      </c>
      <c r="B1021" s="19" t="s">
        <v>50</v>
      </c>
      <c r="C1021" s="19" t="s">
        <v>13</v>
      </c>
      <c r="D1021" s="19" t="s">
        <v>95</v>
      </c>
      <c r="E1021" s="20" t="n">
        <v>799575</v>
      </c>
      <c r="F1021" s="20" t="n">
        <v>3632900</v>
      </c>
    </row>
    <row r="1022" customFormat="false" ht="15" hidden="false" customHeight="false" outlineLevel="0" collapsed="false">
      <c r="A1022" s="22" t="n">
        <v>46179</v>
      </c>
      <c r="B1022" s="19" t="s">
        <v>50</v>
      </c>
      <c r="C1022" s="19" t="s">
        <v>16</v>
      </c>
      <c r="D1022" s="19" t="s">
        <v>59</v>
      </c>
      <c r="E1022" s="20" t="n">
        <v>84629</v>
      </c>
      <c r="F1022" s="20" t="n">
        <v>431795</v>
      </c>
    </row>
    <row r="1023" customFormat="false" ht="15" hidden="false" customHeight="false" outlineLevel="0" collapsed="false">
      <c r="A1023" s="22" t="n">
        <v>46179</v>
      </c>
      <c r="B1023" s="19" t="s">
        <v>50</v>
      </c>
      <c r="C1023" s="19" t="s">
        <v>12</v>
      </c>
      <c r="D1023" s="19" t="s">
        <v>72</v>
      </c>
      <c r="E1023" s="20" t="n">
        <v>86720</v>
      </c>
      <c r="F1023" s="20" t="n">
        <v>691047</v>
      </c>
    </row>
    <row r="1024" customFormat="false" ht="15" hidden="false" customHeight="false" outlineLevel="0" collapsed="false">
      <c r="A1024" s="22" t="n">
        <v>46179</v>
      </c>
      <c r="B1024" s="19" t="s">
        <v>50</v>
      </c>
      <c r="C1024" s="19" t="s">
        <v>12</v>
      </c>
      <c r="D1024" s="19" t="s">
        <v>58</v>
      </c>
      <c r="E1024" s="20" t="n">
        <v>63882</v>
      </c>
      <c r="F1024" s="20" t="n">
        <v>321500</v>
      </c>
    </row>
    <row r="1025" customFormat="false" ht="15" hidden="false" customHeight="false" outlineLevel="0" collapsed="false">
      <c r="A1025" s="22" t="n">
        <v>46179</v>
      </c>
      <c r="B1025" s="19" t="s">
        <v>50</v>
      </c>
      <c r="C1025" s="19" t="s">
        <v>11</v>
      </c>
      <c r="D1025" s="19" t="s">
        <v>60</v>
      </c>
      <c r="E1025" s="20" t="n">
        <v>79303</v>
      </c>
      <c r="F1025" s="20" t="n">
        <v>245920</v>
      </c>
    </row>
    <row r="1026" customFormat="false" ht="15" hidden="false" customHeight="false" outlineLevel="0" collapsed="false">
      <c r="A1026" s="22" t="n">
        <v>46179</v>
      </c>
      <c r="B1026" s="19" t="s">
        <v>50</v>
      </c>
      <c r="C1026" s="19" t="s">
        <v>14</v>
      </c>
      <c r="D1026" s="19" t="s">
        <v>62</v>
      </c>
      <c r="E1026" s="20" t="n">
        <v>15226</v>
      </c>
      <c r="F1026" s="20" t="n">
        <v>75000</v>
      </c>
    </row>
    <row r="1027" customFormat="false" ht="15" hidden="false" customHeight="false" outlineLevel="0" collapsed="false">
      <c r="A1027" s="22" t="n">
        <v>46179</v>
      </c>
      <c r="B1027" s="19" t="s">
        <v>50</v>
      </c>
      <c r="C1027" s="19" t="s">
        <v>16</v>
      </c>
      <c r="D1027" s="19" t="s">
        <v>94</v>
      </c>
      <c r="E1027" s="20" t="n">
        <v>47597</v>
      </c>
      <c r="F1027" s="20" t="n">
        <v>0</v>
      </c>
    </row>
    <row r="1028" customFormat="false" ht="15" hidden="false" customHeight="false" outlineLevel="0" collapsed="false">
      <c r="A1028" s="22" t="n">
        <v>46179</v>
      </c>
      <c r="B1028" s="19" t="s">
        <v>50</v>
      </c>
      <c r="C1028" s="19" t="s">
        <v>16</v>
      </c>
      <c r="D1028" s="19" t="s">
        <v>80</v>
      </c>
      <c r="E1028" s="20" t="n">
        <v>7783</v>
      </c>
      <c r="F1028" s="20" t="n">
        <v>0</v>
      </c>
    </row>
    <row r="1029" customFormat="false" ht="15" hidden="false" customHeight="false" outlineLevel="0" collapsed="false">
      <c r="A1029" s="22" t="n">
        <v>46179</v>
      </c>
      <c r="B1029" s="19" t="s">
        <v>50</v>
      </c>
      <c r="C1029" s="19" t="s">
        <v>70</v>
      </c>
      <c r="D1029" s="19" t="s">
        <v>91</v>
      </c>
      <c r="E1029" s="20" t="n">
        <v>41456</v>
      </c>
      <c r="F1029" s="20" t="n">
        <v>135066</v>
      </c>
    </row>
    <row r="1030" customFormat="false" ht="15" hidden="false" customHeight="false" outlineLevel="0" collapsed="false">
      <c r="A1030" s="22" t="n">
        <v>46179</v>
      </c>
      <c r="B1030" s="19" t="s">
        <v>50</v>
      </c>
      <c r="C1030" s="19" t="s">
        <v>11</v>
      </c>
      <c r="D1030" s="19" t="s">
        <v>63</v>
      </c>
      <c r="E1030" s="20" t="n">
        <v>34076</v>
      </c>
      <c r="F1030" s="20" t="n">
        <v>154050</v>
      </c>
    </row>
    <row r="1031" customFormat="false" ht="15" hidden="false" customHeight="false" outlineLevel="0" collapsed="false">
      <c r="A1031" s="22" t="n">
        <v>46179</v>
      </c>
      <c r="B1031" s="19" t="s">
        <v>50</v>
      </c>
      <c r="C1031" s="19" t="s">
        <v>15</v>
      </c>
      <c r="D1031" s="19" t="s">
        <v>97</v>
      </c>
      <c r="E1031" s="20" t="n">
        <v>2539</v>
      </c>
      <c r="F1031" s="20" t="n">
        <v>66792</v>
      </c>
    </row>
    <row r="1032" customFormat="false" ht="15" hidden="false" customHeight="false" outlineLevel="0" collapsed="false">
      <c r="A1032" s="22" t="n">
        <v>46179</v>
      </c>
      <c r="B1032" s="19" t="s">
        <v>50</v>
      </c>
      <c r="C1032" s="19" t="s">
        <v>11</v>
      </c>
      <c r="D1032" s="19" t="s">
        <v>98</v>
      </c>
      <c r="E1032" s="20" t="n">
        <v>6421</v>
      </c>
      <c r="F1032" s="20" t="n">
        <v>0</v>
      </c>
    </row>
    <row r="1033" customFormat="false" ht="15" hidden="false" customHeight="false" outlineLevel="0" collapsed="false">
      <c r="A1033" s="22" t="n">
        <v>46179</v>
      </c>
      <c r="B1033" s="19" t="s">
        <v>50</v>
      </c>
      <c r="C1033" s="19" t="s">
        <v>13</v>
      </c>
      <c r="D1033" s="19" t="s">
        <v>95</v>
      </c>
      <c r="E1033" s="20" t="n">
        <v>556835</v>
      </c>
      <c r="F1033" s="20" t="n">
        <v>2546474</v>
      </c>
    </row>
    <row r="1034" customFormat="false" ht="15" hidden="false" customHeight="false" outlineLevel="0" collapsed="false">
      <c r="A1034" s="22" t="n">
        <v>46179</v>
      </c>
      <c r="B1034" s="19" t="s">
        <v>50</v>
      </c>
      <c r="C1034" s="19" t="s">
        <v>12</v>
      </c>
      <c r="D1034" s="19" t="s">
        <v>99</v>
      </c>
      <c r="E1034" s="20" t="n">
        <v>200000</v>
      </c>
      <c r="F1034" s="20" t="n">
        <v>175000</v>
      </c>
    </row>
    <row r="1035" customFormat="false" ht="15" hidden="false" customHeight="false" outlineLevel="0" collapsed="false">
      <c r="A1035" s="22" t="n">
        <v>46179</v>
      </c>
      <c r="B1035" s="19" t="s">
        <v>50</v>
      </c>
      <c r="C1035" s="19" t="s">
        <v>12</v>
      </c>
      <c r="D1035" s="19" t="s">
        <v>100</v>
      </c>
      <c r="E1035" s="20" t="n">
        <v>72243</v>
      </c>
      <c r="F1035" s="20" t="n">
        <v>296842</v>
      </c>
    </row>
    <row r="1036" customFormat="false" ht="15" hidden="false" customHeight="false" outlineLevel="0" collapsed="false">
      <c r="A1036" s="22" t="n">
        <v>46179</v>
      </c>
      <c r="B1036" s="19" t="s">
        <v>50</v>
      </c>
      <c r="C1036" s="19" t="s">
        <v>12</v>
      </c>
      <c r="D1036" s="19" t="s">
        <v>65</v>
      </c>
      <c r="E1036" s="20" t="n">
        <v>70836</v>
      </c>
      <c r="F1036" s="20" t="n">
        <v>269440</v>
      </c>
    </row>
    <row r="1037" customFormat="false" ht="15" hidden="false" customHeight="false" outlineLevel="0" collapsed="false">
      <c r="A1037" s="22" t="n">
        <v>46179</v>
      </c>
      <c r="B1037" s="19" t="s">
        <v>50</v>
      </c>
      <c r="C1037" s="19" t="s">
        <v>12</v>
      </c>
      <c r="D1037" s="19" t="s">
        <v>101</v>
      </c>
      <c r="E1037" s="20" t="n">
        <v>70933</v>
      </c>
      <c r="F1037" s="20" t="n">
        <v>0</v>
      </c>
    </row>
    <row r="1038" customFormat="false" ht="15" hidden="false" customHeight="false" outlineLevel="0" collapsed="false">
      <c r="A1038" s="22" t="n">
        <v>46179</v>
      </c>
      <c r="B1038" s="19" t="s">
        <v>50</v>
      </c>
      <c r="C1038" s="19" t="s">
        <v>13</v>
      </c>
      <c r="D1038" s="19" t="s">
        <v>102</v>
      </c>
      <c r="E1038" s="20" t="n">
        <v>9993</v>
      </c>
      <c r="F1038" s="20" t="n">
        <v>0</v>
      </c>
    </row>
    <row r="1039" customFormat="false" ht="15" hidden="false" customHeight="false" outlineLevel="0" collapsed="false">
      <c r="A1039" s="22" t="n">
        <v>46179</v>
      </c>
      <c r="B1039" s="19" t="s">
        <v>50</v>
      </c>
      <c r="C1039" s="19" t="s">
        <v>13</v>
      </c>
      <c r="D1039" s="19" t="s">
        <v>103</v>
      </c>
      <c r="E1039" s="20" t="n">
        <v>37</v>
      </c>
      <c r="F1039" s="20" t="n">
        <v>0</v>
      </c>
    </row>
    <row r="1040" customFormat="false" ht="15" hidden="false" customHeight="false" outlineLevel="0" collapsed="false">
      <c r="A1040" s="22" t="n">
        <v>46179</v>
      </c>
      <c r="B1040" s="19" t="s">
        <v>50</v>
      </c>
      <c r="C1040" s="19" t="s">
        <v>11</v>
      </c>
      <c r="D1040" s="19" t="s">
        <v>104</v>
      </c>
      <c r="E1040" s="20" t="n">
        <v>1419</v>
      </c>
      <c r="F1040" s="20" t="n">
        <v>0</v>
      </c>
    </row>
    <row r="1041" customFormat="false" ht="15" hidden="false" customHeight="false" outlineLevel="0" collapsed="false">
      <c r="A1041" s="22" t="n">
        <v>46180</v>
      </c>
      <c r="B1041" s="19" t="s">
        <v>50</v>
      </c>
      <c r="C1041" s="19" t="s">
        <v>12</v>
      </c>
      <c r="D1041" s="19" t="s">
        <v>72</v>
      </c>
      <c r="E1041" s="20" t="n">
        <v>128895</v>
      </c>
      <c r="F1041" s="20" t="n">
        <v>914242</v>
      </c>
    </row>
    <row r="1042" customFormat="false" ht="15" hidden="false" customHeight="false" outlineLevel="0" collapsed="false">
      <c r="A1042" s="22" t="n">
        <v>46180</v>
      </c>
      <c r="B1042" s="19" t="s">
        <v>50</v>
      </c>
      <c r="C1042" s="19" t="s">
        <v>16</v>
      </c>
      <c r="D1042" s="19" t="s">
        <v>59</v>
      </c>
      <c r="E1042" s="20" t="n">
        <v>5104</v>
      </c>
      <c r="F1042" s="20" t="n">
        <v>0</v>
      </c>
    </row>
    <row r="1043" customFormat="false" ht="15" hidden="false" customHeight="false" outlineLevel="0" collapsed="false">
      <c r="A1043" s="22" t="n">
        <v>46180</v>
      </c>
      <c r="B1043" s="19" t="s">
        <v>50</v>
      </c>
      <c r="C1043" s="19" t="s">
        <v>12</v>
      </c>
      <c r="D1043" s="19" t="s">
        <v>58</v>
      </c>
      <c r="E1043" s="20" t="n">
        <v>8571</v>
      </c>
      <c r="F1043" s="20" t="n">
        <v>0</v>
      </c>
    </row>
    <row r="1044" customFormat="false" ht="15" hidden="false" customHeight="false" outlineLevel="0" collapsed="false">
      <c r="A1044" s="22" t="n">
        <v>46180</v>
      </c>
      <c r="B1044" s="19" t="s">
        <v>50</v>
      </c>
      <c r="C1044" s="19" t="s">
        <v>70</v>
      </c>
      <c r="D1044" s="19" t="s">
        <v>91</v>
      </c>
      <c r="E1044" s="20" t="n">
        <v>3265</v>
      </c>
      <c r="F1044" s="20" t="n">
        <v>0</v>
      </c>
    </row>
    <row r="1045" customFormat="false" ht="15" hidden="false" customHeight="false" outlineLevel="0" collapsed="false">
      <c r="A1045" s="22" t="n">
        <v>46180</v>
      </c>
      <c r="B1045" s="19" t="s">
        <v>50</v>
      </c>
      <c r="C1045" s="19" t="s">
        <v>16</v>
      </c>
      <c r="D1045" s="19" t="s">
        <v>94</v>
      </c>
      <c r="E1045" s="20" t="n">
        <v>8901</v>
      </c>
      <c r="F1045" s="20" t="n">
        <v>0</v>
      </c>
    </row>
    <row r="1046" customFormat="false" ht="15" hidden="false" customHeight="false" outlineLevel="0" collapsed="false">
      <c r="A1046" s="22" t="n">
        <v>46180</v>
      </c>
      <c r="B1046" s="19" t="s">
        <v>50</v>
      </c>
      <c r="C1046" s="19" t="s">
        <v>14</v>
      </c>
      <c r="D1046" s="19" t="s">
        <v>62</v>
      </c>
      <c r="E1046" s="20" t="n">
        <v>1948</v>
      </c>
      <c r="F1046" s="20" t="n">
        <v>0</v>
      </c>
    </row>
    <row r="1047" customFormat="false" ht="15" hidden="false" customHeight="false" outlineLevel="0" collapsed="false">
      <c r="A1047" s="22" t="n">
        <v>46180</v>
      </c>
      <c r="B1047" s="19" t="s">
        <v>50</v>
      </c>
      <c r="C1047" s="19" t="s">
        <v>15</v>
      </c>
      <c r="D1047" s="19" t="s">
        <v>97</v>
      </c>
      <c r="E1047" s="20" t="n">
        <v>32588</v>
      </c>
      <c r="F1047" s="20" t="n">
        <v>0</v>
      </c>
    </row>
    <row r="1048" customFormat="false" ht="15" hidden="false" customHeight="false" outlineLevel="0" collapsed="false">
      <c r="A1048" s="22" t="n">
        <v>46180</v>
      </c>
      <c r="B1048" s="19" t="s">
        <v>50</v>
      </c>
      <c r="C1048" s="19" t="s">
        <v>11</v>
      </c>
      <c r="D1048" s="19" t="s">
        <v>63</v>
      </c>
      <c r="E1048" s="20" t="n">
        <v>115142</v>
      </c>
      <c r="F1048" s="20" t="n">
        <v>583759</v>
      </c>
    </row>
    <row r="1049" customFormat="false" ht="15" hidden="false" customHeight="false" outlineLevel="0" collapsed="false">
      <c r="A1049" s="22" t="n">
        <v>46180</v>
      </c>
      <c r="B1049" s="19" t="s">
        <v>50</v>
      </c>
      <c r="C1049" s="19" t="s">
        <v>11</v>
      </c>
      <c r="D1049" s="19" t="s">
        <v>98</v>
      </c>
      <c r="E1049" s="20" t="n">
        <v>97714</v>
      </c>
      <c r="F1049" s="20" t="n">
        <v>431719</v>
      </c>
    </row>
    <row r="1050" customFormat="false" ht="15" hidden="false" customHeight="false" outlineLevel="0" collapsed="false">
      <c r="A1050" s="22" t="n">
        <v>46180</v>
      </c>
      <c r="B1050" s="19" t="s">
        <v>50</v>
      </c>
      <c r="C1050" s="19" t="s">
        <v>11</v>
      </c>
      <c r="D1050" s="19" t="s">
        <v>105</v>
      </c>
      <c r="E1050" s="20" t="n">
        <v>63632</v>
      </c>
      <c r="F1050" s="20" t="n">
        <v>295000</v>
      </c>
    </row>
    <row r="1051" customFormat="false" ht="15" hidden="false" customHeight="false" outlineLevel="0" collapsed="false">
      <c r="A1051" s="22" t="n">
        <v>46180</v>
      </c>
      <c r="B1051" s="19" t="s">
        <v>50</v>
      </c>
      <c r="C1051" s="19" t="s">
        <v>11</v>
      </c>
      <c r="D1051" s="19" t="s">
        <v>106</v>
      </c>
      <c r="E1051" s="20" t="n">
        <v>93677</v>
      </c>
      <c r="F1051" s="20" t="n">
        <v>1323000</v>
      </c>
    </row>
    <row r="1052" customFormat="false" ht="15" hidden="false" customHeight="false" outlineLevel="0" collapsed="false">
      <c r="A1052" s="22" t="n">
        <v>46180</v>
      </c>
      <c r="B1052" s="19" t="s">
        <v>50</v>
      </c>
      <c r="C1052" s="19" t="s">
        <v>13</v>
      </c>
      <c r="D1052" s="19" t="s">
        <v>103</v>
      </c>
      <c r="E1052" s="20" t="n">
        <v>32906</v>
      </c>
      <c r="F1052" s="20" t="n">
        <v>0</v>
      </c>
    </row>
    <row r="1053" customFormat="false" ht="15" hidden="false" customHeight="false" outlineLevel="0" collapsed="false">
      <c r="A1053" s="22" t="n">
        <v>46180</v>
      </c>
      <c r="B1053" s="19" t="s">
        <v>50</v>
      </c>
      <c r="C1053" s="19" t="s">
        <v>13</v>
      </c>
      <c r="D1053" s="19" t="s">
        <v>95</v>
      </c>
      <c r="E1053" s="20" t="n">
        <v>38645</v>
      </c>
      <c r="F1053" s="20" t="n">
        <v>195000</v>
      </c>
    </row>
    <row r="1054" customFormat="false" ht="15" hidden="false" customHeight="false" outlineLevel="0" collapsed="false">
      <c r="A1054" s="22" t="n">
        <v>46180</v>
      </c>
      <c r="B1054" s="19" t="s">
        <v>50</v>
      </c>
      <c r="C1054" s="19" t="s">
        <v>13</v>
      </c>
      <c r="D1054" s="19" t="s">
        <v>102</v>
      </c>
      <c r="E1054" s="20" t="n">
        <v>41887</v>
      </c>
      <c r="F1054" s="20" t="n">
        <v>0</v>
      </c>
    </row>
    <row r="1055" customFormat="false" ht="15" hidden="false" customHeight="false" outlineLevel="0" collapsed="false">
      <c r="A1055" s="22" t="n">
        <v>46180</v>
      </c>
      <c r="B1055" s="19" t="s">
        <v>50</v>
      </c>
      <c r="C1055" s="19" t="s">
        <v>12</v>
      </c>
      <c r="D1055" s="19" t="s">
        <v>107</v>
      </c>
      <c r="E1055" s="20" t="n">
        <v>68999</v>
      </c>
      <c r="F1055" s="20" t="n">
        <v>519400</v>
      </c>
    </row>
    <row r="1056" customFormat="false" ht="15" hidden="false" customHeight="false" outlineLevel="0" collapsed="false">
      <c r="A1056" s="22" t="n">
        <v>46180</v>
      </c>
      <c r="B1056" s="19" t="s">
        <v>50</v>
      </c>
      <c r="C1056" s="19" t="s">
        <v>13</v>
      </c>
      <c r="D1056" s="19" t="s">
        <v>108</v>
      </c>
      <c r="E1056" s="20" t="n">
        <v>42665</v>
      </c>
      <c r="F1056" s="20" t="n">
        <v>376860</v>
      </c>
    </row>
    <row r="1057" customFormat="false" ht="15" hidden="false" customHeight="false" outlineLevel="0" collapsed="false">
      <c r="A1057" s="22" t="n">
        <v>46180</v>
      </c>
      <c r="B1057" s="19" t="s">
        <v>50</v>
      </c>
      <c r="C1057" s="19" t="s">
        <v>12</v>
      </c>
      <c r="D1057" s="19" t="s">
        <v>101</v>
      </c>
      <c r="E1057" s="20" t="n">
        <v>70674</v>
      </c>
      <c r="F1057" s="20" t="n">
        <v>0</v>
      </c>
    </row>
    <row r="1058" customFormat="false" ht="15" hidden="false" customHeight="false" outlineLevel="0" collapsed="false">
      <c r="A1058" s="22" t="n">
        <v>46180</v>
      </c>
      <c r="B1058" s="19" t="s">
        <v>50</v>
      </c>
      <c r="C1058" s="19" t="s">
        <v>11</v>
      </c>
      <c r="D1058" s="19" t="s">
        <v>104</v>
      </c>
      <c r="E1058" s="20" t="n">
        <v>8303</v>
      </c>
      <c r="F1058" s="20" t="n">
        <v>0</v>
      </c>
    </row>
    <row r="1059" customFormat="false" ht="15" hidden="false" customHeight="false" outlineLevel="0" collapsed="false">
      <c r="A1059" s="22" t="n">
        <v>46181</v>
      </c>
      <c r="B1059" s="19" t="s">
        <v>50</v>
      </c>
      <c r="C1059" s="19" t="s">
        <v>16</v>
      </c>
      <c r="D1059" s="19" t="s">
        <v>59</v>
      </c>
      <c r="E1059" s="20" t="n">
        <v>10048</v>
      </c>
      <c r="F1059" s="20" t="n">
        <v>0</v>
      </c>
    </row>
    <row r="1060" customFormat="false" ht="15" hidden="false" customHeight="false" outlineLevel="0" collapsed="false">
      <c r="A1060" s="22" t="n">
        <v>46181</v>
      </c>
      <c r="B1060" s="19" t="s">
        <v>50</v>
      </c>
      <c r="C1060" s="19" t="s">
        <v>12</v>
      </c>
      <c r="D1060" s="19" t="s">
        <v>58</v>
      </c>
      <c r="E1060" s="20" t="n">
        <v>42493</v>
      </c>
      <c r="F1060" s="20" t="n">
        <v>274355</v>
      </c>
    </row>
    <row r="1061" customFormat="false" ht="15" hidden="false" customHeight="false" outlineLevel="0" collapsed="false">
      <c r="A1061" s="22" t="n">
        <v>46181</v>
      </c>
      <c r="B1061" s="19" t="s">
        <v>50</v>
      </c>
      <c r="C1061" s="19" t="s">
        <v>12</v>
      </c>
      <c r="D1061" s="19" t="s">
        <v>72</v>
      </c>
      <c r="E1061" s="20" t="n">
        <v>68825</v>
      </c>
      <c r="F1061" s="20" t="n">
        <v>324242</v>
      </c>
    </row>
    <row r="1062" customFormat="false" ht="15" hidden="false" customHeight="false" outlineLevel="0" collapsed="false">
      <c r="A1062" s="22" t="n">
        <v>46181</v>
      </c>
      <c r="B1062" s="19" t="s">
        <v>50</v>
      </c>
      <c r="C1062" s="19" t="s">
        <v>70</v>
      </c>
      <c r="D1062" s="19" t="s">
        <v>91</v>
      </c>
      <c r="E1062" s="20" t="n">
        <v>6564</v>
      </c>
      <c r="F1062" s="20" t="n">
        <v>25070</v>
      </c>
    </row>
    <row r="1063" customFormat="false" ht="15" hidden="false" customHeight="false" outlineLevel="0" collapsed="false">
      <c r="A1063" s="22" t="n">
        <v>46181</v>
      </c>
      <c r="B1063" s="19" t="s">
        <v>50</v>
      </c>
      <c r="C1063" s="19" t="s">
        <v>16</v>
      </c>
      <c r="D1063" s="19" t="s">
        <v>94</v>
      </c>
      <c r="E1063" s="20" t="n">
        <v>2469</v>
      </c>
      <c r="F1063" s="20" t="n">
        <v>0</v>
      </c>
    </row>
    <row r="1064" customFormat="false" ht="15" hidden="false" customHeight="false" outlineLevel="0" collapsed="false">
      <c r="A1064" s="22" t="n">
        <v>46181</v>
      </c>
      <c r="B1064" s="19" t="s">
        <v>50</v>
      </c>
      <c r="C1064" s="19" t="s">
        <v>14</v>
      </c>
      <c r="D1064" s="19" t="s">
        <v>62</v>
      </c>
      <c r="E1064" s="20" t="n">
        <v>41</v>
      </c>
      <c r="F1064" s="20" t="n">
        <v>0</v>
      </c>
    </row>
    <row r="1065" customFormat="false" ht="15" hidden="false" customHeight="false" outlineLevel="0" collapsed="false">
      <c r="A1065" s="22" t="n">
        <v>46181</v>
      </c>
      <c r="B1065" s="19" t="s">
        <v>50</v>
      </c>
      <c r="C1065" s="19" t="s">
        <v>70</v>
      </c>
      <c r="D1065" s="19" t="s">
        <v>93</v>
      </c>
      <c r="E1065" s="20" t="n">
        <v>2</v>
      </c>
      <c r="F1065" s="20" t="n">
        <v>109000</v>
      </c>
    </row>
    <row r="1066" customFormat="false" ht="15" hidden="false" customHeight="false" outlineLevel="0" collapsed="false">
      <c r="A1066" s="22" t="n">
        <v>46181</v>
      </c>
      <c r="B1066" s="19" t="s">
        <v>50</v>
      </c>
      <c r="C1066" s="19" t="s">
        <v>11</v>
      </c>
      <c r="D1066" s="19" t="s">
        <v>98</v>
      </c>
      <c r="E1066" s="20" t="n">
        <v>22563</v>
      </c>
      <c r="F1066" s="20" t="n">
        <v>115000</v>
      </c>
    </row>
    <row r="1067" customFormat="false" ht="15" hidden="false" customHeight="false" outlineLevel="0" collapsed="false">
      <c r="A1067" s="22" t="n">
        <v>46181</v>
      </c>
      <c r="B1067" s="19" t="s">
        <v>50</v>
      </c>
      <c r="C1067" s="19" t="s">
        <v>15</v>
      </c>
      <c r="D1067" s="19" t="s">
        <v>97</v>
      </c>
      <c r="E1067" s="20" t="n">
        <v>25212</v>
      </c>
      <c r="F1067" s="20" t="n">
        <v>64307</v>
      </c>
    </row>
    <row r="1068" customFormat="false" ht="15" hidden="false" customHeight="false" outlineLevel="0" collapsed="false">
      <c r="A1068" s="22" t="n">
        <v>46181</v>
      </c>
      <c r="B1068" s="19" t="s">
        <v>50</v>
      </c>
      <c r="C1068" s="19" t="s">
        <v>11</v>
      </c>
      <c r="D1068" s="19" t="s">
        <v>63</v>
      </c>
      <c r="E1068" s="20" t="n">
        <v>23584</v>
      </c>
      <c r="F1068" s="20" t="n">
        <v>39000</v>
      </c>
    </row>
    <row r="1069" customFormat="false" ht="15" hidden="false" customHeight="false" outlineLevel="0" collapsed="false">
      <c r="A1069" s="22" t="n">
        <v>46181</v>
      </c>
      <c r="B1069" s="19" t="s">
        <v>50</v>
      </c>
      <c r="C1069" s="19" t="s">
        <v>11</v>
      </c>
      <c r="D1069" s="19" t="s">
        <v>106</v>
      </c>
      <c r="E1069" s="20" t="n">
        <v>145265</v>
      </c>
      <c r="F1069" s="20" t="n">
        <v>824000</v>
      </c>
    </row>
    <row r="1070" customFormat="false" ht="15" hidden="false" customHeight="false" outlineLevel="0" collapsed="false">
      <c r="A1070" s="22" t="n">
        <v>46181</v>
      </c>
      <c r="B1070" s="19" t="s">
        <v>50</v>
      </c>
      <c r="C1070" s="19" t="s">
        <v>13</v>
      </c>
      <c r="D1070" s="19" t="s">
        <v>102</v>
      </c>
      <c r="E1070" s="20" t="n">
        <v>222371</v>
      </c>
      <c r="F1070" s="20" t="n">
        <v>1396600</v>
      </c>
    </row>
    <row r="1071" customFormat="false" ht="15" hidden="false" customHeight="false" outlineLevel="0" collapsed="false">
      <c r="A1071" s="22" t="n">
        <v>46181</v>
      </c>
      <c r="B1071" s="19" t="s">
        <v>50</v>
      </c>
      <c r="C1071" s="19" t="s">
        <v>11</v>
      </c>
      <c r="D1071" s="19" t="s">
        <v>105</v>
      </c>
      <c r="E1071" s="20" t="n">
        <v>39679</v>
      </c>
      <c r="F1071" s="20" t="n">
        <v>279100</v>
      </c>
    </row>
    <row r="1072" customFormat="false" ht="15" hidden="false" customHeight="false" outlineLevel="0" collapsed="false">
      <c r="A1072" s="22" t="n">
        <v>46181</v>
      </c>
      <c r="B1072" s="19" t="s">
        <v>50</v>
      </c>
      <c r="C1072" s="19" t="s">
        <v>13</v>
      </c>
      <c r="D1072" s="19" t="s">
        <v>108</v>
      </c>
      <c r="E1072" s="20" t="n">
        <v>53501</v>
      </c>
      <c r="F1072" s="20" t="n">
        <v>426280</v>
      </c>
    </row>
    <row r="1073" customFormat="false" ht="15" hidden="false" customHeight="false" outlineLevel="0" collapsed="false">
      <c r="A1073" s="22" t="n">
        <v>46181</v>
      </c>
      <c r="B1073" s="19" t="s">
        <v>50</v>
      </c>
      <c r="C1073" s="19" t="s">
        <v>12</v>
      </c>
      <c r="D1073" s="19" t="s">
        <v>107</v>
      </c>
      <c r="E1073" s="20" t="n">
        <v>71950</v>
      </c>
      <c r="F1073" s="20" t="n">
        <v>289100</v>
      </c>
    </row>
    <row r="1074" customFormat="false" ht="15" hidden="false" customHeight="false" outlineLevel="0" collapsed="false">
      <c r="A1074" s="22" t="n">
        <v>46181</v>
      </c>
      <c r="B1074" s="19" t="s">
        <v>50</v>
      </c>
      <c r="C1074" s="19" t="s">
        <v>13</v>
      </c>
      <c r="D1074" s="19" t="s">
        <v>103</v>
      </c>
      <c r="E1074" s="20" t="n">
        <v>23244</v>
      </c>
      <c r="F1074" s="20" t="n">
        <v>195000</v>
      </c>
    </row>
    <row r="1075" customFormat="false" ht="15" hidden="false" customHeight="false" outlineLevel="0" collapsed="false">
      <c r="A1075" s="22" t="n">
        <v>46181</v>
      </c>
      <c r="B1075" s="19" t="s">
        <v>50</v>
      </c>
      <c r="C1075" s="19" t="s">
        <v>11</v>
      </c>
      <c r="D1075" s="19" t="s">
        <v>104</v>
      </c>
      <c r="E1075" s="20" t="n">
        <v>47388</v>
      </c>
      <c r="F1075" s="20" t="n">
        <v>269441</v>
      </c>
    </row>
    <row r="1076" customFormat="false" ht="15" hidden="false" customHeight="false" outlineLevel="0" collapsed="false">
      <c r="A1076" s="22" t="n">
        <v>46182</v>
      </c>
      <c r="B1076" s="19" t="s">
        <v>50</v>
      </c>
      <c r="C1076" s="19" t="s">
        <v>16</v>
      </c>
      <c r="D1076" s="19" t="s">
        <v>59</v>
      </c>
      <c r="E1076" s="20" t="n">
        <v>199708</v>
      </c>
      <c r="F1076" s="20" t="n">
        <v>2270510</v>
      </c>
    </row>
    <row r="1077" customFormat="false" ht="15" hidden="false" customHeight="false" outlineLevel="0" collapsed="false">
      <c r="A1077" s="22" t="n">
        <v>46182</v>
      </c>
      <c r="B1077" s="19" t="s">
        <v>50</v>
      </c>
      <c r="C1077" s="19" t="s">
        <v>12</v>
      </c>
      <c r="D1077" s="19" t="s">
        <v>72</v>
      </c>
      <c r="E1077" s="20" t="n">
        <v>29362</v>
      </c>
      <c r="F1077" s="20" t="n">
        <v>0</v>
      </c>
    </row>
    <row r="1078" customFormat="false" ht="15" hidden="false" customHeight="false" outlineLevel="0" collapsed="false">
      <c r="A1078" s="22" t="n">
        <v>46182</v>
      </c>
      <c r="B1078" s="19" t="s">
        <v>50</v>
      </c>
      <c r="C1078" s="19" t="s">
        <v>12</v>
      </c>
      <c r="D1078" s="19" t="s">
        <v>58</v>
      </c>
      <c r="E1078" s="20" t="n">
        <v>341</v>
      </c>
      <c r="F1078" s="20" t="n">
        <v>0</v>
      </c>
    </row>
    <row r="1079" customFormat="false" ht="15" hidden="false" customHeight="false" outlineLevel="0" collapsed="false">
      <c r="A1079" s="22" t="n">
        <v>46182</v>
      </c>
      <c r="B1079" s="19" t="s">
        <v>50</v>
      </c>
      <c r="C1079" s="19" t="s">
        <v>16</v>
      </c>
      <c r="D1079" s="19" t="s">
        <v>94</v>
      </c>
      <c r="E1079" s="20" t="n">
        <v>14496</v>
      </c>
      <c r="F1079" s="20" t="n">
        <v>135000</v>
      </c>
    </row>
    <row r="1080" customFormat="false" ht="15" hidden="false" customHeight="false" outlineLevel="0" collapsed="false">
      <c r="A1080" s="22" t="n">
        <v>46182</v>
      </c>
      <c r="B1080" s="19" t="s">
        <v>50</v>
      </c>
      <c r="C1080" s="19" t="s">
        <v>70</v>
      </c>
      <c r="D1080" s="19" t="s">
        <v>91</v>
      </c>
      <c r="E1080" s="20" t="n">
        <v>1436</v>
      </c>
      <c r="F1080" s="20" t="n">
        <v>0</v>
      </c>
    </row>
    <row r="1081" customFormat="false" ht="15" hidden="false" customHeight="false" outlineLevel="0" collapsed="false">
      <c r="A1081" s="22" t="n">
        <v>46182</v>
      </c>
      <c r="B1081" s="19" t="s">
        <v>50</v>
      </c>
      <c r="C1081" s="19" t="s">
        <v>14</v>
      </c>
      <c r="D1081" s="19" t="s">
        <v>62</v>
      </c>
      <c r="E1081" s="20" t="n">
        <v>1334</v>
      </c>
      <c r="F1081" s="20" t="n">
        <v>0</v>
      </c>
    </row>
    <row r="1082" customFormat="false" ht="15" hidden="false" customHeight="false" outlineLevel="0" collapsed="false">
      <c r="A1082" s="22" t="n">
        <v>46182</v>
      </c>
      <c r="B1082" s="19" t="s">
        <v>50</v>
      </c>
      <c r="C1082" s="19" t="s">
        <v>70</v>
      </c>
      <c r="D1082" s="19" t="s">
        <v>93</v>
      </c>
      <c r="E1082" s="20" t="n">
        <v>26423</v>
      </c>
      <c r="F1082" s="20" t="n">
        <v>103768</v>
      </c>
    </row>
    <row r="1083" customFormat="false" ht="15" hidden="false" customHeight="false" outlineLevel="0" collapsed="false">
      <c r="A1083" s="22" t="n">
        <v>46182</v>
      </c>
      <c r="B1083" s="19" t="s">
        <v>50</v>
      </c>
      <c r="C1083" s="19" t="s">
        <v>15</v>
      </c>
      <c r="D1083" s="19" t="s">
        <v>97</v>
      </c>
      <c r="E1083" s="20" t="n">
        <v>45332</v>
      </c>
      <c r="F1083" s="20" t="n">
        <v>250000</v>
      </c>
    </row>
    <row r="1084" customFormat="false" ht="15" hidden="false" customHeight="false" outlineLevel="0" collapsed="false">
      <c r="A1084" s="22" t="n">
        <v>46182</v>
      </c>
      <c r="B1084" s="19" t="s">
        <v>50</v>
      </c>
      <c r="C1084" s="19" t="s">
        <v>11</v>
      </c>
      <c r="D1084" s="19" t="s">
        <v>98</v>
      </c>
      <c r="E1084" s="20" t="n">
        <v>30885</v>
      </c>
      <c r="F1084" s="20" t="n">
        <v>0</v>
      </c>
    </row>
    <row r="1085" customFormat="false" ht="15" hidden="false" customHeight="false" outlineLevel="0" collapsed="false">
      <c r="A1085" s="22" t="n">
        <v>46182</v>
      </c>
      <c r="B1085" s="19" t="s">
        <v>50</v>
      </c>
      <c r="C1085" s="19" t="s">
        <v>11</v>
      </c>
      <c r="D1085" s="19" t="s">
        <v>63</v>
      </c>
      <c r="E1085" s="20" t="n">
        <v>3053</v>
      </c>
      <c r="F1085" s="20" t="n">
        <v>0</v>
      </c>
    </row>
    <row r="1086" customFormat="false" ht="15" hidden="false" customHeight="false" outlineLevel="0" collapsed="false">
      <c r="A1086" s="22" t="n">
        <v>46182</v>
      </c>
      <c r="B1086" s="19" t="s">
        <v>50</v>
      </c>
      <c r="C1086" s="19" t="s">
        <v>13</v>
      </c>
      <c r="D1086" s="19" t="s">
        <v>108</v>
      </c>
      <c r="E1086" s="20" t="n">
        <v>232903</v>
      </c>
      <c r="F1086" s="20" t="n">
        <v>1071086</v>
      </c>
    </row>
    <row r="1087" customFormat="false" ht="15" hidden="false" customHeight="false" outlineLevel="0" collapsed="false">
      <c r="A1087" s="22" t="n">
        <v>46182</v>
      </c>
      <c r="B1087" s="19" t="s">
        <v>50</v>
      </c>
      <c r="C1087" s="19" t="s">
        <v>11</v>
      </c>
      <c r="D1087" s="19" t="s">
        <v>105</v>
      </c>
      <c r="E1087" s="20" t="n">
        <v>28632</v>
      </c>
      <c r="F1087" s="20" t="n">
        <v>0</v>
      </c>
    </row>
    <row r="1088" customFormat="false" ht="15" hidden="false" customHeight="false" outlineLevel="0" collapsed="false">
      <c r="A1088" s="22" t="n">
        <v>46182</v>
      </c>
      <c r="B1088" s="19" t="s">
        <v>50</v>
      </c>
      <c r="C1088" s="19" t="s">
        <v>13</v>
      </c>
      <c r="D1088" s="19" t="s">
        <v>103</v>
      </c>
      <c r="E1088" s="20" t="n">
        <v>35945</v>
      </c>
      <c r="F1088" s="20" t="n">
        <v>195000</v>
      </c>
    </row>
    <row r="1089" customFormat="false" ht="15" hidden="false" customHeight="false" outlineLevel="0" collapsed="false">
      <c r="A1089" s="22" t="n">
        <v>46182</v>
      </c>
      <c r="B1089" s="19" t="s">
        <v>50</v>
      </c>
      <c r="C1089" s="19" t="s">
        <v>11</v>
      </c>
      <c r="D1089" s="19" t="s">
        <v>106</v>
      </c>
      <c r="E1089" s="20" t="n">
        <v>85596</v>
      </c>
      <c r="F1089" s="20" t="n">
        <v>0</v>
      </c>
    </row>
    <row r="1090" customFormat="false" ht="15" hidden="false" customHeight="false" outlineLevel="0" collapsed="false">
      <c r="A1090" s="22" t="n">
        <v>46182</v>
      </c>
      <c r="B1090" s="19" t="s">
        <v>50</v>
      </c>
      <c r="C1090" s="19" t="s">
        <v>12</v>
      </c>
      <c r="D1090" s="19" t="s">
        <v>107</v>
      </c>
      <c r="E1090" s="20" t="n">
        <v>80325</v>
      </c>
      <c r="F1090" s="20" t="n">
        <v>0</v>
      </c>
    </row>
    <row r="1091" customFormat="false" ht="15" hidden="false" customHeight="false" outlineLevel="0" collapsed="false">
      <c r="A1091" s="22" t="n">
        <v>46182</v>
      </c>
      <c r="B1091" s="19" t="s">
        <v>50</v>
      </c>
      <c r="C1091" s="19" t="s">
        <v>11</v>
      </c>
      <c r="D1091" s="19" t="s">
        <v>104</v>
      </c>
      <c r="E1091" s="20" t="n">
        <v>24178</v>
      </c>
      <c r="F1091" s="20" t="n">
        <v>0</v>
      </c>
    </row>
    <row r="1092" customFormat="false" ht="15" hidden="false" customHeight="false" outlineLevel="0" collapsed="false">
      <c r="A1092" s="22" t="n">
        <v>46182</v>
      </c>
      <c r="B1092" s="19" t="s">
        <v>50</v>
      </c>
      <c r="C1092" s="19" t="s">
        <v>13</v>
      </c>
      <c r="D1092" s="19" t="s">
        <v>102</v>
      </c>
      <c r="E1092" s="20" t="n">
        <v>47866</v>
      </c>
      <c r="F1092" s="20" t="n">
        <v>195000</v>
      </c>
    </row>
    <row r="1093" customFormat="false" ht="15" hidden="false" customHeight="false" outlineLevel="0" collapsed="false">
      <c r="A1093" s="22" t="n">
        <v>46183</v>
      </c>
      <c r="B1093" s="19" t="s">
        <v>50</v>
      </c>
      <c r="C1093" s="19" t="s">
        <v>16</v>
      </c>
      <c r="D1093" s="19" t="s">
        <v>59</v>
      </c>
      <c r="E1093" s="20" t="n">
        <v>200000</v>
      </c>
      <c r="F1093" s="20" t="n">
        <v>628716</v>
      </c>
    </row>
    <row r="1094" customFormat="false" ht="15" hidden="false" customHeight="false" outlineLevel="0" collapsed="false">
      <c r="A1094" s="22" t="n">
        <v>46183</v>
      </c>
      <c r="B1094" s="19" t="s">
        <v>50</v>
      </c>
      <c r="C1094" s="19" t="s">
        <v>12</v>
      </c>
      <c r="D1094" s="19" t="s">
        <v>72</v>
      </c>
      <c r="E1094" s="20" t="n">
        <v>161505</v>
      </c>
      <c r="F1094" s="20" t="n">
        <v>852012</v>
      </c>
    </row>
    <row r="1095" customFormat="false" ht="15" hidden="false" customHeight="false" outlineLevel="0" collapsed="false">
      <c r="A1095" s="22" t="n">
        <v>46183</v>
      </c>
      <c r="B1095" s="19" t="s">
        <v>50</v>
      </c>
      <c r="C1095" s="19" t="s">
        <v>12</v>
      </c>
      <c r="D1095" s="19" t="s">
        <v>58</v>
      </c>
      <c r="E1095" s="20" t="n">
        <v>49859</v>
      </c>
      <c r="F1095" s="20" t="n">
        <v>309778</v>
      </c>
    </row>
    <row r="1096" customFormat="false" ht="15" hidden="false" customHeight="false" outlineLevel="0" collapsed="false">
      <c r="A1096" s="22" t="n">
        <v>46183</v>
      </c>
      <c r="B1096" s="19" t="s">
        <v>50</v>
      </c>
      <c r="C1096" s="19" t="s">
        <v>16</v>
      </c>
      <c r="D1096" s="19" t="s">
        <v>94</v>
      </c>
      <c r="E1096" s="20" t="n">
        <v>31356</v>
      </c>
      <c r="F1096" s="20" t="n">
        <v>871361</v>
      </c>
    </row>
    <row r="1097" customFormat="false" ht="15" hidden="false" customHeight="false" outlineLevel="0" collapsed="false">
      <c r="A1097" s="22" t="n">
        <v>46183</v>
      </c>
      <c r="B1097" s="19" t="s">
        <v>50</v>
      </c>
      <c r="C1097" s="19" t="s">
        <v>70</v>
      </c>
      <c r="D1097" s="19" t="s">
        <v>91</v>
      </c>
      <c r="E1097" s="20" t="n">
        <v>14824</v>
      </c>
      <c r="F1097" s="20" t="n">
        <v>59000</v>
      </c>
    </row>
    <row r="1098" customFormat="false" ht="15" hidden="false" customHeight="false" outlineLevel="0" collapsed="false">
      <c r="A1098" s="22" t="n">
        <v>46183</v>
      </c>
      <c r="B1098" s="19" t="s">
        <v>50</v>
      </c>
      <c r="C1098" s="19" t="s">
        <v>14</v>
      </c>
      <c r="D1098" s="19" t="s">
        <v>62</v>
      </c>
      <c r="E1098" s="20" t="n">
        <v>2051</v>
      </c>
      <c r="F1098" s="20" t="n">
        <v>0</v>
      </c>
    </row>
    <row r="1099" customFormat="false" ht="15" hidden="false" customHeight="false" outlineLevel="0" collapsed="false">
      <c r="A1099" s="22" t="n">
        <v>46183</v>
      </c>
      <c r="B1099" s="19" t="s">
        <v>50</v>
      </c>
      <c r="C1099" s="19" t="s">
        <v>70</v>
      </c>
      <c r="D1099" s="19" t="s">
        <v>93</v>
      </c>
      <c r="E1099" s="20" t="n">
        <v>979</v>
      </c>
      <c r="F1099" s="20" t="n">
        <v>0</v>
      </c>
    </row>
    <row r="1100" customFormat="false" ht="15" hidden="false" customHeight="false" outlineLevel="0" collapsed="false">
      <c r="A1100" s="22" t="n">
        <v>46183</v>
      </c>
      <c r="B1100" s="19" t="s">
        <v>50</v>
      </c>
      <c r="C1100" s="19" t="s">
        <v>15</v>
      </c>
      <c r="D1100" s="19" t="s">
        <v>97</v>
      </c>
      <c r="E1100" s="20" t="n">
        <v>24807</v>
      </c>
      <c r="F1100" s="20" t="n">
        <v>135000</v>
      </c>
    </row>
    <row r="1101" customFormat="false" ht="15" hidden="false" customHeight="false" outlineLevel="0" collapsed="false">
      <c r="A1101" s="22" t="n">
        <v>46183</v>
      </c>
      <c r="B1101" s="19" t="s">
        <v>50</v>
      </c>
      <c r="C1101" s="19" t="s">
        <v>11</v>
      </c>
      <c r="D1101" s="19" t="s">
        <v>63</v>
      </c>
      <c r="E1101" s="20" t="n">
        <v>40916</v>
      </c>
      <c r="F1101" s="20" t="n">
        <v>156000</v>
      </c>
    </row>
    <row r="1102" customFormat="false" ht="15" hidden="false" customHeight="false" outlineLevel="0" collapsed="false">
      <c r="A1102" s="22" t="n">
        <v>46183</v>
      </c>
      <c r="B1102" s="19" t="s">
        <v>50</v>
      </c>
      <c r="C1102" s="19" t="s">
        <v>11</v>
      </c>
      <c r="D1102" s="19" t="s">
        <v>98</v>
      </c>
      <c r="E1102" s="20" t="n">
        <v>31075</v>
      </c>
      <c r="F1102" s="20" t="n">
        <v>112000</v>
      </c>
    </row>
    <row r="1103" customFormat="false" ht="15" hidden="false" customHeight="false" outlineLevel="0" collapsed="false">
      <c r="A1103" s="22" t="n">
        <v>46183</v>
      </c>
      <c r="B1103" s="19" t="s">
        <v>50</v>
      </c>
      <c r="C1103" s="19" t="s">
        <v>13</v>
      </c>
      <c r="D1103" s="19" t="s">
        <v>108</v>
      </c>
      <c r="E1103" s="20" t="n">
        <v>800000</v>
      </c>
      <c r="F1103" s="20" t="n">
        <v>3880662</v>
      </c>
    </row>
    <row r="1104" customFormat="false" ht="15" hidden="false" customHeight="false" outlineLevel="0" collapsed="false">
      <c r="A1104" s="22" t="n">
        <v>46183</v>
      </c>
      <c r="B1104" s="19" t="s">
        <v>50</v>
      </c>
      <c r="C1104" s="19" t="s">
        <v>13</v>
      </c>
      <c r="D1104" s="19" t="s">
        <v>102</v>
      </c>
      <c r="E1104" s="20" t="n">
        <v>157328</v>
      </c>
      <c r="F1104" s="20" t="n">
        <v>937727</v>
      </c>
    </row>
    <row r="1105" customFormat="false" ht="15" hidden="false" customHeight="false" outlineLevel="0" collapsed="false">
      <c r="A1105" s="22" t="n">
        <v>46183</v>
      </c>
      <c r="B1105" s="19" t="s">
        <v>50</v>
      </c>
      <c r="C1105" s="19" t="s">
        <v>11</v>
      </c>
      <c r="D1105" s="19" t="s">
        <v>106</v>
      </c>
      <c r="E1105" s="20" t="n">
        <v>79587</v>
      </c>
      <c r="F1105" s="20" t="n">
        <v>268284</v>
      </c>
    </row>
    <row r="1106" customFormat="false" ht="15" hidden="false" customHeight="false" outlineLevel="0" collapsed="false">
      <c r="A1106" s="22" t="n">
        <v>46183</v>
      </c>
      <c r="B1106" s="19" t="s">
        <v>50</v>
      </c>
      <c r="C1106" s="19" t="s">
        <v>11</v>
      </c>
      <c r="D1106" s="19" t="s">
        <v>104</v>
      </c>
      <c r="E1106" s="20" t="n">
        <v>15831</v>
      </c>
      <c r="F1106" s="20" t="n">
        <v>0</v>
      </c>
    </row>
    <row r="1107" customFormat="false" ht="15" hidden="false" customHeight="false" outlineLevel="0" collapsed="false">
      <c r="A1107" s="22" t="n">
        <v>46183</v>
      </c>
      <c r="B1107" s="19" t="s">
        <v>50</v>
      </c>
      <c r="C1107" s="19" t="s">
        <v>11</v>
      </c>
      <c r="D1107" s="19" t="s">
        <v>105</v>
      </c>
      <c r="E1107" s="20" t="n">
        <v>50159</v>
      </c>
      <c r="F1107" s="20" t="n">
        <v>0</v>
      </c>
    </row>
    <row r="1108" customFormat="false" ht="15" hidden="false" customHeight="false" outlineLevel="0" collapsed="false">
      <c r="A1108" s="22" t="n">
        <v>46183</v>
      </c>
      <c r="B1108" s="19" t="s">
        <v>50</v>
      </c>
      <c r="C1108" s="19" t="s">
        <v>13</v>
      </c>
      <c r="D1108" s="19" t="s">
        <v>103</v>
      </c>
      <c r="E1108" s="20" t="n">
        <v>61799</v>
      </c>
      <c r="F1108" s="20" t="n">
        <v>569634</v>
      </c>
    </row>
    <row r="1109" customFormat="false" ht="15" hidden="false" customHeight="false" outlineLevel="0" collapsed="false">
      <c r="A1109" s="22" t="n">
        <v>46183</v>
      </c>
      <c r="B1109" s="19" t="s">
        <v>50</v>
      </c>
      <c r="C1109" s="19" t="s">
        <v>12</v>
      </c>
      <c r="D1109" s="19" t="s">
        <v>109</v>
      </c>
      <c r="E1109" s="20" t="n">
        <v>42525</v>
      </c>
      <c r="F1109" s="20" t="n">
        <v>175000</v>
      </c>
    </row>
    <row r="1110" customFormat="false" ht="15" hidden="false" customHeight="false" outlineLevel="0" collapsed="false">
      <c r="A1110" s="22" t="n">
        <v>46183</v>
      </c>
      <c r="B1110" s="19" t="s">
        <v>50</v>
      </c>
      <c r="C1110" s="19" t="s">
        <v>12</v>
      </c>
      <c r="D1110" s="19" t="s">
        <v>107</v>
      </c>
      <c r="E1110" s="20" t="n">
        <v>60392</v>
      </c>
      <c r="F1110" s="20" t="n">
        <v>0</v>
      </c>
    </row>
    <row r="1111" customFormat="false" ht="15" hidden="false" customHeight="false" outlineLevel="0" collapsed="false">
      <c r="A1111" s="22" t="n">
        <v>46184</v>
      </c>
      <c r="B1111" s="19" t="s">
        <v>50</v>
      </c>
      <c r="C1111" s="19" t="s">
        <v>16</v>
      </c>
      <c r="D1111" s="19" t="s">
        <v>59</v>
      </c>
      <c r="E1111" s="20" t="n">
        <v>38267</v>
      </c>
      <c r="F1111" s="20" t="n">
        <v>0</v>
      </c>
    </row>
    <row r="1112" customFormat="false" ht="15" hidden="false" customHeight="false" outlineLevel="0" collapsed="false">
      <c r="A1112" s="22" t="n">
        <v>46184</v>
      </c>
      <c r="B1112" s="19" t="s">
        <v>50</v>
      </c>
      <c r="C1112" s="19" t="s">
        <v>12</v>
      </c>
      <c r="D1112" s="19" t="s">
        <v>72</v>
      </c>
      <c r="E1112" s="20" t="n">
        <v>27724</v>
      </c>
      <c r="F1112" s="20" t="n">
        <v>149000</v>
      </c>
    </row>
    <row r="1113" customFormat="false" ht="15" hidden="false" customHeight="false" outlineLevel="0" collapsed="false">
      <c r="A1113" s="22" t="n">
        <v>46184</v>
      </c>
      <c r="B1113" s="19" t="s">
        <v>50</v>
      </c>
      <c r="C1113" s="19" t="s">
        <v>12</v>
      </c>
      <c r="D1113" s="19" t="s">
        <v>58</v>
      </c>
      <c r="E1113" s="20" t="n">
        <v>4491</v>
      </c>
      <c r="F1113" s="20" t="n">
        <v>0</v>
      </c>
    </row>
    <row r="1114" customFormat="false" ht="15" hidden="false" customHeight="false" outlineLevel="0" collapsed="false">
      <c r="A1114" s="22" t="n">
        <v>46184</v>
      </c>
      <c r="B1114" s="19" t="s">
        <v>50</v>
      </c>
      <c r="C1114" s="19" t="s">
        <v>16</v>
      </c>
      <c r="D1114" s="19" t="s">
        <v>94</v>
      </c>
      <c r="E1114" s="20" t="n">
        <v>39173</v>
      </c>
      <c r="F1114" s="20" t="n">
        <v>0</v>
      </c>
    </row>
    <row r="1115" customFormat="false" ht="15" hidden="false" customHeight="false" outlineLevel="0" collapsed="false">
      <c r="A1115" s="22" t="n">
        <v>46184</v>
      </c>
      <c r="B1115" s="19" t="s">
        <v>50</v>
      </c>
      <c r="C1115" s="19" t="s">
        <v>70</v>
      </c>
      <c r="D1115" s="19" t="s">
        <v>91</v>
      </c>
      <c r="E1115" s="20" t="n">
        <v>2965</v>
      </c>
      <c r="F1115" s="20" t="n">
        <v>0</v>
      </c>
    </row>
    <row r="1116" customFormat="false" ht="15" hidden="false" customHeight="false" outlineLevel="0" collapsed="false">
      <c r="A1116" s="22" t="n">
        <v>46184</v>
      </c>
      <c r="B1116" s="19" t="s">
        <v>50</v>
      </c>
      <c r="C1116" s="19" t="s">
        <v>14</v>
      </c>
      <c r="D1116" s="19" t="s">
        <v>62</v>
      </c>
      <c r="E1116" s="20" t="n">
        <v>258</v>
      </c>
      <c r="F1116" s="20" t="n">
        <v>0</v>
      </c>
    </row>
    <row r="1117" customFormat="false" ht="15" hidden="false" customHeight="false" outlineLevel="0" collapsed="false">
      <c r="A1117" s="22" t="n">
        <v>46184</v>
      </c>
      <c r="B1117" s="19" t="s">
        <v>50</v>
      </c>
      <c r="C1117" s="19" t="s">
        <v>70</v>
      </c>
      <c r="D1117" s="19" t="s">
        <v>93</v>
      </c>
      <c r="E1117" s="20" t="n">
        <v>243</v>
      </c>
      <c r="F1117" s="20" t="n">
        <v>0</v>
      </c>
    </row>
    <row r="1118" customFormat="false" ht="15" hidden="false" customHeight="false" outlineLevel="0" collapsed="false">
      <c r="A1118" s="22" t="n">
        <v>46184</v>
      </c>
      <c r="B1118" s="19" t="s">
        <v>50</v>
      </c>
      <c r="C1118" s="19" t="s">
        <v>11</v>
      </c>
      <c r="D1118" s="19" t="s">
        <v>98</v>
      </c>
      <c r="E1118" s="20" t="n">
        <v>99634</v>
      </c>
      <c r="F1118" s="20" t="n">
        <v>863640</v>
      </c>
    </row>
    <row r="1119" customFormat="false" ht="15" hidden="false" customHeight="false" outlineLevel="0" collapsed="false">
      <c r="A1119" s="22" t="n">
        <v>46184</v>
      </c>
      <c r="B1119" s="19" t="s">
        <v>50</v>
      </c>
      <c r="C1119" s="19" t="s">
        <v>15</v>
      </c>
      <c r="D1119" s="19" t="s">
        <v>97</v>
      </c>
      <c r="E1119" s="20" t="n">
        <v>32582</v>
      </c>
      <c r="F1119" s="20" t="n">
        <v>0</v>
      </c>
    </row>
    <row r="1120" customFormat="false" ht="15" hidden="false" customHeight="false" outlineLevel="0" collapsed="false">
      <c r="A1120" s="22" t="n">
        <v>46184</v>
      </c>
      <c r="B1120" s="19" t="s">
        <v>50</v>
      </c>
      <c r="C1120" s="19" t="s">
        <v>11</v>
      </c>
      <c r="D1120" s="19" t="s">
        <v>63</v>
      </c>
      <c r="E1120" s="20" t="n">
        <v>9816</v>
      </c>
      <c r="F1120" s="20" t="n">
        <v>39000</v>
      </c>
    </row>
    <row r="1121" customFormat="false" ht="15" hidden="false" customHeight="false" outlineLevel="0" collapsed="false">
      <c r="A1121" s="22" t="n">
        <v>46184</v>
      </c>
      <c r="B1121" s="19" t="s">
        <v>50</v>
      </c>
      <c r="C1121" s="19" t="s">
        <v>13</v>
      </c>
      <c r="D1121" s="19" t="s">
        <v>108</v>
      </c>
      <c r="E1121" s="20" t="n">
        <v>790718</v>
      </c>
      <c r="F1121" s="20" t="n">
        <v>3971380</v>
      </c>
    </row>
    <row r="1122" customFormat="false" ht="15" hidden="false" customHeight="false" outlineLevel="0" collapsed="false">
      <c r="A1122" s="22" t="n">
        <v>46184</v>
      </c>
      <c r="B1122" s="19" t="s">
        <v>50</v>
      </c>
      <c r="C1122" s="19" t="s">
        <v>13</v>
      </c>
      <c r="D1122" s="19" t="s">
        <v>102</v>
      </c>
      <c r="E1122" s="20" t="n">
        <v>174036</v>
      </c>
      <c r="F1122" s="20" t="n">
        <v>939303</v>
      </c>
    </row>
    <row r="1123" customFormat="false" ht="15" hidden="false" customHeight="false" outlineLevel="0" collapsed="false">
      <c r="A1123" s="22" t="n">
        <v>46184</v>
      </c>
      <c r="B1123" s="19" t="s">
        <v>50</v>
      </c>
      <c r="C1123" s="19" t="s">
        <v>12</v>
      </c>
      <c r="D1123" s="19" t="s">
        <v>109</v>
      </c>
      <c r="E1123" s="20" t="n">
        <v>94320</v>
      </c>
      <c r="F1123" s="20" t="n">
        <v>431597</v>
      </c>
    </row>
    <row r="1124" customFormat="false" ht="15" hidden="false" customHeight="false" outlineLevel="0" collapsed="false">
      <c r="A1124" s="22" t="n">
        <v>46184</v>
      </c>
      <c r="B1124" s="19" t="s">
        <v>50</v>
      </c>
      <c r="C1124" s="19" t="s">
        <v>11</v>
      </c>
      <c r="D1124" s="19" t="s">
        <v>106</v>
      </c>
      <c r="E1124" s="20" t="n">
        <v>58487</v>
      </c>
      <c r="F1124" s="20" t="n">
        <v>0</v>
      </c>
    </row>
    <row r="1125" customFormat="false" ht="15" hidden="false" customHeight="false" outlineLevel="0" collapsed="false">
      <c r="A1125" s="22" t="n">
        <v>46184</v>
      </c>
      <c r="B1125" s="19" t="s">
        <v>50</v>
      </c>
      <c r="C1125" s="19" t="s">
        <v>11</v>
      </c>
      <c r="D1125" s="19" t="s">
        <v>105</v>
      </c>
      <c r="E1125" s="20" t="n">
        <v>29921</v>
      </c>
      <c r="F1125" s="20" t="n">
        <v>0</v>
      </c>
    </row>
    <row r="1126" customFormat="false" ht="15" hidden="false" customHeight="false" outlineLevel="0" collapsed="false">
      <c r="A1126" s="22" t="n">
        <v>46184</v>
      </c>
      <c r="B1126" s="19" t="s">
        <v>50</v>
      </c>
      <c r="C1126" s="19" t="s">
        <v>13</v>
      </c>
      <c r="D1126" s="19" t="s">
        <v>103</v>
      </c>
      <c r="E1126" s="20" t="n">
        <v>35502</v>
      </c>
      <c r="F1126" s="20" t="n">
        <v>190200</v>
      </c>
    </row>
    <row r="1127" customFormat="false" ht="15" hidden="false" customHeight="false" outlineLevel="0" collapsed="false">
      <c r="A1127" s="22" t="n">
        <v>46184</v>
      </c>
      <c r="B1127" s="19" t="s">
        <v>50</v>
      </c>
      <c r="C1127" s="19" t="s">
        <v>11</v>
      </c>
      <c r="D1127" s="19" t="s">
        <v>104</v>
      </c>
      <c r="E1127" s="20" t="n">
        <v>18281</v>
      </c>
      <c r="F1127" s="20" t="n">
        <v>0</v>
      </c>
    </row>
    <row r="1128" customFormat="false" ht="15" hidden="false" customHeight="false" outlineLevel="0" collapsed="false">
      <c r="A1128" s="22" t="n">
        <v>46185</v>
      </c>
      <c r="B1128" s="19" t="s">
        <v>50</v>
      </c>
      <c r="C1128" s="19" t="s">
        <v>16</v>
      </c>
      <c r="D1128" s="19" t="s">
        <v>59</v>
      </c>
      <c r="E1128" s="20" t="n">
        <v>25003</v>
      </c>
      <c r="F1128" s="20" t="n">
        <v>99000</v>
      </c>
    </row>
    <row r="1129" customFormat="false" ht="15" hidden="false" customHeight="false" outlineLevel="0" collapsed="false">
      <c r="A1129" s="22" t="n">
        <v>46185</v>
      </c>
      <c r="B1129" s="19" t="s">
        <v>50</v>
      </c>
      <c r="C1129" s="19" t="s">
        <v>12</v>
      </c>
      <c r="D1129" s="19" t="s">
        <v>72</v>
      </c>
      <c r="E1129" s="20" t="n">
        <v>55122</v>
      </c>
      <c r="F1129" s="20" t="n">
        <v>249900</v>
      </c>
    </row>
    <row r="1130" customFormat="false" ht="15" hidden="false" customHeight="false" outlineLevel="0" collapsed="false">
      <c r="A1130" s="22" t="n">
        <v>46185</v>
      </c>
      <c r="B1130" s="19" t="s">
        <v>50</v>
      </c>
      <c r="C1130" s="19" t="s">
        <v>12</v>
      </c>
      <c r="D1130" s="19" t="s">
        <v>58</v>
      </c>
      <c r="E1130" s="20" t="n">
        <v>6458</v>
      </c>
      <c r="F1130" s="20" t="n">
        <v>0</v>
      </c>
    </row>
    <row r="1131" customFormat="false" ht="15" hidden="false" customHeight="false" outlineLevel="0" collapsed="false">
      <c r="A1131" s="22" t="n">
        <v>46185</v>
      </c>
      <c r="B1131" s="19" t="s">
        <v>50</v>
      </c>
      <c r="C1131" s="19" t="s">
        <v>70</v>
      </c>
      <c r="D1131" s="19" t="s">
        <v>91</v>
      </c>
      <c r="E1131" s="20" t="n">
        <v>35996</v>
      </c>
      <c r="F1131" s="20" t="n">
        <v>177000</v>
      </c>
    </row>
    <row r="1132" customFormat="false" ht="15" hidden="false" customHeight="false" outlineLevel="0" collapsed="false">
      <c r="A1132" s="22" t="n">
        <v>46185</v>
      </c>
      <c r="B1132" s="19" t="s">
        <v>50</v>
      </c>
      <c r="C1132" s="19" t="s">
        <v>16</v>
      </c>
      <c r="D1132" s="19" t="s">
        <v>94</v>
      </c>
      <c r="E1132" s="20" t="n">
        <v>21528</v>
      </c>
      <c r="F1132" s="20" t="n">
        <v>0</v>
      </c>
    </row>
    <row r="1133" customFormat="false" ht="15" hidden="false" customHeight="false" outlineLevel="0" collapsed="false">
      <c r="A1133" s="22" t="n">
        <v>46185</v>
      </c>
      <c r="B1133" s="19" t="s">
        <v>50</v>
      </c>
      <c r="C1133" s="19" t="s">
        <v>14</v>
      </c>
      <c r="D1133" s="19" t="s">
        <v>62</v>
      </c>
      <c r="E1133" s="20" t="n">
        <v>375</v>
      </c>
      <c r="F1133" s="20" t="n">
        <v>0</v>
      </c>
    </row>
    <row r="1134" customFormat="false" ht="15" hidden="false" customHeight="false" outlineLevel="0" collapsed="false">
      <c r="A1134" s="22" t="n">
        <v>46185</v>
      </c>
      <c r="B1134" s="19" t="s">
        <v>50</v>
      </c>
      <c r="C1134" s="19" t="s">
        <v>70</v>
      </c>
      <c r="D1134" s="19" t="s">
        <v>93</v>
      </c>
      <c r="E1134" s="20" t="n">
        <v>681</v>
      </c>
      <c r="F1134" s="20" t="n">
        <v>0</v>
      </c>
    </row>
    <row r="1135" customFormat="false" ht="15" hidden="false" customHeight="false" outlineLevel="0" collapsed="false">
      <c r="A1135" s="22" t="n">
        <v>46185</v>
      </c>
      <c r="B1135" s="19" t="s">
        <v>50</v>
      </c>
      <c r="C1135" s="19" t="s">
        <v>15</v>
      </c>
      <c r="D1135" s="19" t="s">
        <v>97</v>
      </c>
      <c r="E1135" s="20" t="n">
        <v>20753</v>
      </c>
      <c r="F1135" s="20" t="n">
        <v>115000</v>
      </c>
    </row>
    <row r="1136" customFormat="false" ht="15" hidden="false" customHeight="false" outlineLevel="0" collapsed="false">
      <c r="A1136" s="22" t="n">
        <v>46185</v>
      </c>
      <c r="B1136" s="19" t="s">
        <v>50</v>
      </c>
      <c r="C1136" s="19" t="s">
        <v>11</v>
      </c>
      <c r="D1136" s="19" t="s">
        <v>63</v>
      </c>
      <c r="E1136" s="20" t="n">
        <v>27386</v>
      </c>
      <c r="F1136" s="20" t="n">
        <v>139968</v>
      </c>
    </row>
    <row r="1137" customFormat="false" ht="15" hidden="false" customHeight="false" outlineLevel="0" collapsed="false">
      <c r="A1137" s="22" t="n">
        <v>46185</v>
      </c>
      <c r="B1137" s="19" t="s">
        <v>50</v>
      </c>
      <c r="C1137" s="19" t="s">
        <v>11</v>
      </c>
      <c r="D1137" s="19" t="s">
        <v>98</v>
      </c>
      <c r="E1137" s="20" t="n">
        <v>41315</v>
      </c>
      <c r="F1137" s="20" t="n">
        <v>0</v>
      </c>
    </row>
    <row r="1138" customFormat="false" ht="15" hidden="false" customHeight="false" outlineLevel="0" collapsed="false">
      <c r="A1138" s="22" t="n">
        <v>46185</v>
      </c>
      <c r="B1138" s="19" t="s">
        <v>50</v>
      </c>
      <c r="C1138" s="19" t="s">
        <v>13</v>
      </c>
      <c r="D1138" s="19" t="s">
        <v>108</v>
      </c>
      <c r="E1138" s="20" t="n">
        <v>816089</v>
      </c>
      <c r="F1138" s="20" t="n">
        <v>4007772</v>
      </c>
    </row>
    <row r="1139" customFormat="false" ht="15" hidden="false" customHeight="false" outlineLevel="0" collapsed="false">
      <c r="A1139" s="22" t="n">
        <v>46185</v>
      </c>
      <c r="B1139" s="19" t="s">
        <v>50</v>
      </c>
      <c r="C1139" s="19" t="s">
        <v>12</v>
      </c>
      <c r="D1139" s="19" t="s">
        <v>109</v>
      </c>
      <c r="E1139" s="20" t="n">
        <v>130941</v>
      </c>
      <c r="F1139" s="20" t="n">
        <v>647076</v>
      </c>
    </row>
    <row r="1140" customFormat="false" ht="15" hidden="false" customHeight="false" outlineLevel="0" collapsed="false">
      <c r="A1140" s="22" t="n">
        <v>46185</v>
      </c>
      <c r="B1140" s="19" t="s">
        <v>50</v>
      </c>
      <c r="C1140" s="19" t="s">
        <v>11</v>
      </c>
      <c r="D1140" s="19" t="s">
        <v>105</v>
      </c>
      <c r="E1140" s="20" t="n">
        <v>91593</v>
      </c>
      <c r="F1140" s="20" t="n">
        <v>365999</v>
      </c>
    </row>
    <row r="1141" customFormat="false" ht="15" hidden="false" customHeight="false" outlineLevel="0" collapsed="false">
      <c r="A1141" s="22" t="n">
        <v>46185</v>
      </c>
      <c r="B1141" s="19" t="s">
        <v>50</v>
      </c>
      <c r="C1141" s="19" t="s">
        <v>11</v>
      </c>
      <c r="D1141" s="19" t="s">
        <v>106</v>
      </c>
      <c r="E1141" s="20" t="n">
        <v>47312</v>
      </c>
      <c r="F1141" s="20" t="n">
        <v>0</v>
      </c>
    </row>
    <row r="1142" customFormat="false" ht="15" hidden="false" customHeight="false" outlineLevel="0" collapsed="false">
      <c r="A1142" s="22" t="n">
        <v>46185</v>
      </c>
      <c r="B1142" s="19" t="s">
        <v>50</v>
      </c>
      <c r="C1142" s="19" t="s">
        <v>13</v>
      </c>
      <c r="D1142" s="19" t="s">
        <v>102</v>
      </c>
      <c r="E1142" s="20" t="n">
        <v>96222</v>
      </c>
      <c r="F1142" s="20" t="n">
        <v>496069</v>
      </c>
    </row>
    <row r="1143" customFormat="false" ht="15" hidden="false" customHeight="false" outlineLevel="0" collapsed="false">
      <c r="A1143" s="22" t="n">
        <v>46185</v>
      </c>
      <c r="B1143" s="19" t="s">
        <v>50</v>
      </c>
      <c r="C1143" s="19" t="s">
        <v>13</v>
      </c>
      <c r="D1143" s="19" t="s">
        <v>103</v>
      </c>
      <c r="E1143" s="20" t="n">
        <v>33212</v>
      </c>
      <c r="F1143" s="20" t="n">
        <v>0</v>
      </c>
    </row>
    <row r="1144" customFormat="false" ht="15" hidden="false" customHeight="false" outlineLevel="0" collapsed="false">
      <c r="A1144" s="22" t="n">
        <v>46185</v>
      </c>
      <c r="B1144" s="19" t="s">
        <v>50</v>
      </c>
      <c r="C1144" s="19" t="s">
        <v>11</v>
      </c>
      <c r="D1144" s="19" t="s">
        <v>104</v>
      </c>
      <c r="E1144" s="20" t="n">
        <v>19268</v>
      </c>
      <c r="F1144" s="20" t="n">
        <v>0</v>
      </c>
    </row>
    <row r="1145" customFormat="false" ht="15" hidden="false" customHeight="false" outlineLevel="0" collapsed="false">
      <c r="A1145" s="22" t="n">
        <v>46186</v>
      </c>
      <c r="B1145" s="19" t="s">
        <v>50</v>
      </c>
      <c r="C1145" s="19" t="s">
        <v>16</v>
      </c>
      <c r="D1145" s="19" t="s">
        <v>59</v>
      </c>
      <c r="E1145" s="20" t="n">
        <v>37888</v>
      </c>
      <c r="F1145" s="20" t="n">
        <v>135000</v>
      </c>
    </row>
    <row r="1146" customFormat="false" ht="15" hidden="false" customHeight="false" outlineLevel="0" collapsed="false">
      <c r="A1146" s="22" t="n">
        <v>46186</v>
      </c>
      <c r="B1146" s="19" t="s">
        <v>50</v>
      </c>
      <c r="C1146" s="19" t="s">
        <v>12</v>
      </c>
      <c r="D1146" s="19" t="s">
        <v>58</v>
      </c>
      <c r="E1146" s="20" t="n">
        <v>5200</v>
      </c>
      <c r="F1146" s="20" t="n">
        <v>0</v>
      </c>
    </row>
    <row r="1147" customFormat="false" ht="15" hidden="false" customHeight="false" outlineLevel="0" collapsed="false">
      <c r="A1147" s="22" t="n">
        <v>46186</v>
      </c>
      <c r="B1147" s="19" t="s">
        <v>50</v>
      </c>
      <c r="C1147" s="19" t="s">
        <v>12</v>
      </c>
      <c r="D1147" s="19" t="s">
        <v>72</v>
      </c>
      <c r="E1147" s="20" t="n">
        <v>5466</v>
      </c>
      <c r="F1147" s="20" t="n">
        <v>0</v>
      </c>
    </row>
    <row r="1148" customFormat="false" ht="15" hidden="false" customHeight="false" outlineLevel="0" collapsed="false">
      <c r="A1148" s="22" t="n">
        <v>46186</v>
      </c>
      <c r="B1148" s="19" t="s">
        <v>50</v>
      </c>
      <c r="C1148" s="19" t="s">
        <v>16</v>
      </c>
      <c r="D1148" s="19" t="s">
        <v>94</v>
      </c>
      <c r="E1148" s="20" t="n">
        <v>33621</v>
      </c>
      <c r="F1148" s="20" t="n">
        <v>0</v>
      </c>
    </row>
    <row r="1149" customFormat="false" ht="15" hidden="false" customHeight="false" outlineLevel="0" collapsed="false">
      <c r="A1149" s="22" t="n">
        <v>46186</v>
      </c>
      <c r="B1149" s="19" t="s">
        <v>50</v>
      </c>
      <c r="C1149" s="19" t="s">
        <v>70</v>
      </c>
      <c r="D1149" s="19" t="s">
        <v>91</v>
      </c>
      <c r="E1149" s="20" t="n">
        <v>2698</v>
      </c>
      <c r="F1149" s="20" t="n">
        <v>0</v>
      </c>
    </row>
    <row r="1150" customFormat="false" ht="15" hidden="false" customHeight="false" outlineLevel="0" collapsed="false">
      <c r="A1150" s="22" t="n">
        <v>46186</v>
      </c>
      <c r="B1150" s="19" t="s">
        <v>50</v>
      </c>
      <c r="C1150" s="19" t="s">
        <v>14</v>
      </c>
      <c r="D1150" s="19" t="s">
        <v>62</v>
      </c>
      <c r="E1150" s="20" t="n">
        <v>13</v>
      </c>
      <c r="F1150" s="20" t="n">
        <v>0</v>
      </c>
    </row>
    <row r="1151" customFormat="false" ht="15" hidden="false" customHeight="false" outlineLevel="0" collapsed="false">
      <c r="A1151" s="22" t="n">
        <v>46186</v>
      </c>
      <c r="B1151" s="19" t="s">
        <v>50</v>
      </c>
      <c r="C1151" s="19" t="s">
        <v>70</v>
      </c>
      <c r="D1151" s="19" t="s">
        <v>93</v>
      </c>
      <c r="E1151" s="20" t="n">
        <v>3114</v>
      </c>
      <c r="F1151" s="20" t="n">
        <v>0</v>
      </c>
    </row>
    <row r="1152" customFormat="false" ht="15" hidden="false" customHeight="false" outlineLevel="0" collapsed="false">
      <c r="A1152" s="22" t="n">
        <v>46186</v>
      </c>
      <c r="B1152" s="19" t="s">
        <v>50</v>
      </c>
      <c r="C1152" s="19" t="s">
        <v>11</v>
      </c>
      <c r="D1152" s="19" t="s">
        <v>98</v>
      </c>
      <c r="E1152" s="20" t="n">
        <v>69278</v>
      </c>
      <c r="F1152" s="20" t="n">
        <v>345000</v>
      </c>
    </row>
    <row r="1153" customFormat="false" ht="15" hidden="false" customHeight="false" outlineLevel="0" collapsed="false">
      <c r="A1153" s="22" t="n">
        <v>46186</v>
      </c>
      <c r="B1153" s="19" t="s">
        <v>50</v>
      </c>
      <c r="C1153" s="19" t="s">
        <v>15</v>
      </c>
      <c r="D1153" s="19" t="s">
        <v>97</v>
      </c>
      <c r="E1153" s="20" t="n">
        <v>26327</v>
      </c>
      <c r="F1153" s="20" t="n">
        <v>106648</v>
      </c>
    </row>
    <row r="1154" customFormat="false" ht="15" hidden="false" customHeight="false" outlineLevel="0" collapsed="false">
      <c r="A1154" s="22" t="n">
        <v>46186</v>
      </c>
      <c r="B1154" s="19" t="s">
        <v>50</v>
      </c>
      <c r="C1154" s="19" t="s">
        <v>11</v>
      </c>
      <c r="D1154" s="19" t="s">
        <v>63</v>
      </c>
      <c r="E1154" s="20" t="n">
        <v>8965</v>
      </c>
      <c r="F1154" s="20" t="n">
        <v>39000</v>
      </c>
    </row>
    <row r="1155" customFormat="false" ht="15" hidden="false" customHeight="false" outlineLevel="0" collapsed="false">
      <c r="A1155" s="22" t="n">
        <v>46186</v>
      </c>
      <c r="B1155" s="19" t="s">
        <v>50</v>
      </c>
      <c r="C1155" s="19" t="s">
        <v>13</v>
      </c>
      <c r="D1155" s="19" t="s">
        <v>108</v>
      </c>
      <c r="E1155" s="20" t="n">
        <v>711693</v>
      </c>
      <c r="F1155" s="20" t="n">
        <v>3436336</v>
      </c>
    </row>
    <row r="1156" customFormat="false" ht="15" hidden="false" customHeight="false" outlineLevel="0" collapsed="false">
      <c r="A1156" s="22" t="n">
        <v>46186</v>
      </c>
      <c r="B1156" s="19" t="s">
        <v>50</v>
      </c>
      <c r="C1156" s="19" t="s">
        <v>11</v>
      </c>
      <c r="D1156" s="19" t="s">
        <v>105</v>
      </c>
      <c r="E1156" s="20" t="n">
        <v>57799</v>
      </c>
      <c r="F1156" s="20" t="n">
        <v>259700</v>
      </c>
    </row>
    <row r="1157" customFormat="false" ht="15" hidden="false" customHeight="false" outlineLevel="0" collapsed="false">
      <c r="A1157" s="22" t="n">
        <v>46186</v>
      </c>
      <c r="B1157" s="19" t="s">
        <v>50</v>
      </c>
      <c r="C1157" s="19" t="s">
        <v>11</v>
      </c>
      <c r="D1157" s="19" t="s">
        <v>106</v>
      </c>
      <c r="E1157" s="20" t="n">
        <v>40915</v>
      </c>
      <c r="F1157" s="20" t="n">
        <v>0</v>
      </c>
    </row>
    <row r="1158" customFormat="false" ht="15" hidden="false" customHeight="false" outlineLevel="0" collapsed="false">
      <c r="A1158" s="22" t="n">
        <v>46186</v>
      </c>
      <c r="B1158" s="19" t="s">
        <v>50</v>
      </c>
      <c r="C1158" s="19" t="s">
        <v>13</v>
      </c>
      <c r="D1158" s="19" t="s">
        <v>103</v>
      </c>
      <c r="E1158" s="20" t="n">
        <v>54657</v>
      </c>
      <c r="F1158" s="20" t="n">
        <v>314000</v>
      </c>
    </row>
    <row r="1159" customFormat="false" ht="15" hidden="false" customHeight="false" outlineLevel="0" collapsed="false">
      <c r="A1159" s="22" t="n">
        <v>46186</v>
      </c>
      <c r="B1159" s="19" t="s">
        <v>50</v>
      </c>
      <c r="C1159" s="19" t="s">
        <v>12</v>
      </c>
      <c r="D1159" s="19" t="s">
        <v>109</v>
      </c>
      <c r="E1159" s="20" t="n">
        <v>66026</v>
      </c>
      <c r="F1159" s="20" t="n">
        <v>0</v>
      </c>
    </row>
    <row r="1160" customFormat="false" ht="15" hidden="false" customHeight="false" outlineLevel="0" collapsed="false">
      <c r="A1160" s="22" t="n">
        <v>46186</v>
      </c>
      <c r="B1160" s="19" t="s">
        <v>50</v>
      </c>
      <c r="C1160" s="19" t="s">
        <v>11</v>
      </c>
      <c r="D1160" s="19" t="s">
        <v>104</v>
      </c>
      <c r="E1160" s="20" t="n">
        <v>20806</v>
      </c>
      <c r="F1160" s="20" t="n">
        <v>0</v>
      </c>
    </row>
    <row r="1161" customFormat="false" ht="15" hidden="false" customHeight="false" outlineLevel="0" collapsed="false">
      <c r="A1161" s="22" t="n">
        <v>46186</v>
      </c>
      <c r="B1161" s="19" t="s">
        <v>50</v>
      </c>
      <c r="C1161" s="19" t="s">
        <v>13</v>
      </c>
      <c r="D1161" s="19" t="s">
        <v>102</v>
      </c>
      <c r="E1161" s="20" t="n">
        <v>25019</v>
      </c>
      <c r="F1161" s="20" t="n">
        <v>0</v>
      </c>
    </row>
    <row r="1162" customFormat="false" ht="15" hidden="false" customHeight="false" outlineLevel="0" collapsed="false">
      <c r="A1162" s="22" t="n">
        <v>46187</v>
      </c>
      <c r="B1162" s="19" t="s">
        <v>50</v>
      </c>
      <c r="C1162" s="19" t="s">
        <v>16</v>
      </c>
      <c r="D1162" s="19" t="s">
        <v>59</v>
      </c>
      <c r="E1162" s="20" t="n">
        <v>23263</v>
      </c>
      <c r="F1162" s="20" t="n">
        <v>109000</v>
      </c>
    </row>
    <row r="1163" customFormat="false" ht="15" hidden="false" customHeight="false" outlineLevel="0" collapsed="false">
      <c r="A1163" s="22" t="n">
        <v>46187</v>
      </c>
      <c r="B1163" s="19" t="s">
        <v>50</v>
      </c>
      <c r="C1163" s="19" t="s">
        <v>12</v>
      </c>
      <c r="D1163" s="19" t="s">
        <v>72</v>
      </c>
      <c r="E1163" s="20" t="n">
        <v>3728</v>
      </c>
      <c r="F1163" s="20" t="n">
        <v>0</v>
      </c>
    </row>
    <row r="1164" customFormat="false" ht="15" hidden="false" customHeight="false" outlineLevel="0" collapsed="false">
      <c r="A1164" s="22" t="n">
        <v>46187</v>
      </c>
      <c r="B1164" s="19" t="s">
        <v>50</v>
      </c>
      <c r="C1164" s="19" t="s">
        <v>12</v>
      </c>
      <c r="D1164" s="19" t="s">
        <v>58</v>
      </c>
      <c r="E1164" s="20" t="n">
        <v>3811</v>
      </c>
      <c r="F1164" s="20" t="n">
        <v>0</v>
      </c>
    </row>
    <row r="1165" customFormat="false" ht="15" hidden="false" customHeight="false" outlineLevel="0" collapsed="false">
      <c r="A1165" s="22" t="n">
        <v>46187</v>
      </c>
      <c r="B1165" s="19" t="s">
        <v>50</v>
      </c>
      <c r="C1165" s="19" t="s">
        <v>16</v>
      </c>
      <c r="D1165" s="19" t="s">
        <v>94</v>
      </c>
      <c r="E1165" s="20" t="n">
        <v>23837</v>
      </c>
      <c r="F1165" s="20" t="n">
        <v>135000</v>
      </c>
    </row>
    <row r="1166" customFormat="false" ht="15" hidden="false" customHeight="false" outlineLevel="0" collapsed="false">
      <c r="A1166" s="22" t="n">
        <v>46187</v>
      </c>
      <c r="B1166" s="19" t="s">
        <v>50</v>
      </c>
      <c r="C1166" s="19" t="s">
        <v>70</v>
      </c>
      <c r="D1166" s="19" t="s">
        <v>91</v>
      </c>
      <c r="E1166" s="20" t="n">
        <v>638</v>
      </c>
      <c r="F1166" s="20" t="n">
        <v>0</v>
      </c>
    </row>
    <row r="1167" customFormat="false" ht="15" hidden="false" customHeight="false" outlineLevel="0" collapsed="false">
      <c r="A1167" s="22" t="n">
        <v>46187</v>
      </c>
      <c r="B1167" s="19" t="s">
        <v>50</v>
      </c>
      <c r="C1167" s="19" t="s">
        <v>14</v>
      </c>
      <c r="D1167" s="19" t="s">
        <v>62</v>
      </c>
      <c r="E1167" s="20" t="n">
        <v>4938</v>
      </c>
      <c r="F1167" s="20" t="n">
        <v>0</v>
      </c>
    </row>
    <row r="1168" customFormat="false" ht="15" hidden="false" customHeight="false" outlineLevel="0" collapsed="false">
      <c r="A1168" s="22" t="n">
        <v>46187</v>
      </c>
      <c r="B1168" s="19" t="s">
        <v>50</v>
      </c>
      <c r="C1168" s="19" t="s">
        <v>70</v>
      </c>
      <c r="D1168" s="19" t="s">
        <v>93</v>
      </c>
      <c r="E1168" s="20" t="n">
        <v>525</v>
      </c>
      <c r="F1168" s="20" t="n">
        <v>0</v>
      </c>
    </row>
    <row r="1169" customFormat="false" ht="15" hidden="false" customHeight="false" outlineLevel="0" collapsed="false">
      <c r="A1169" s="22" t="n">
        <v>46187</v>
      </c>
      <c r="B1169" s="19" t="s">
        <v>50</v>
      </c>
      <c r="C1169" s="19" t="s">
        <v>11</v>
      </c>
      <c r="D1169" s="19" t="s">
        <v>63</v>
      </c>
      <c r="E1169" s="20" t="n">
        <v>9148</v>
      </c>
      <c r="F1169" s="20" t="n">
        <v>39000</v>
      </c>
    </row>
    <row r="1170" customFormat="false" ht="15" hidden="false" customHeight="false" outlineLevel="0" collapsed="false">
      <c r="A1170" s="22" t="n">
        <v>46187</v>
      </c>
      <c r="B1170" s="19" t="s">
        <v>50</v>
      </c>
      <c r="C1170" s="19" t="s">
        <v>15</v>
      </c>
      <c r="D1170" s="19" t="s">
        <v>97</v>
      </c>
      <c r="E1170" s="20" t="n">
        <v>9146</v>
      </c>
      <c r="F1170" s="20" t="n">
        <v>0</v>
      </c>
    </row>
    <row r="1171" customFormat="false" ht="15" hidden="false" customHeight="false" outlineLevel="0" collapsed="false">
      <c r="A1171" s="22" t="n">
        <v>46187</v>
      </c>
      <c r="B1171" s="19" t="s">
        <v>50</v>
      </c>
      <c r="C1171" s="19" t="s">
        <v>11</v>
      </c>
      <c r="D1171" s="19" t="s">
        <v>98</v>
      </c>
      <c r="E1171" s="20" t="n">
        <v>12819</v>
      </c>
      <c r="F1171" s="20" t="n">
        <v>0</v>
      </c>
    </row>
    <row r="1172" customFormat="false" ht="15" hidden="false" customHeight="false" outlineLevel="0" collapsed="false">
      <c r="A1172" s="22" t="n">
        <v>46187</v>
      </c>
      <c r="B1172" s="19" t="s">
        <v>50</v>
      </c>
      <c r="C1172" s="19" t="s">
        <v>12</v>
      </c>
      <c r="D1172" s="19" t="s">
        <v>109</v>
      </c>
      <c r="E1172" s="20" t="n">
        <v>600000</v>
      </c>
      <c r="F1172" s="20" t="n">
        <v>3703938</v>
      </c>
    </row>
    <row r="1173" customFormat="false" ht="15" hidden="false" customHeight="false" outlineLevel="0" collapsed="false">
      <c r="A1173" s="22" t="n">
        <v>46187</v>
      </c>
      <c r="B1173" s="19" t="s">
        <v>50</v>
      </c>
      <c r="C1173" s="19" t="s">
        <v>13</v>
      </c>
      <c r="D1173" s="19" t="s">
        <v>108</v>
      </c>
      <c r="E1173" s="20" t="n">
        <v>112943</v>
      </c>
      <c r="F1173" s="20" t="n">
        <v>428000</v>
      </c>
    </row>
    <row r="1174" customFormat="false" ht="15" hidden="false" customHeight="false" outlineLevel="0" collapsed="false">
      <c r="A1174" s="22" t="n">
        <v>46187</v>
      </c>
      <c r="B1174" s="19" t="s">
        <v>50</v>
      </c>
      <c r="C1174" s="19" t="s">
        <v>11</v>
      </c>
      <c r="D1174" s="19" t="s">
        <v>105</v>
      </c>
      <c r="E1174" s="20" t="n">
        <v>42449</v>
      </c>
      <c r="F1174" s="20" t="n">
        <v>241001</v>
      </c>
    </row>
    <row r="1175" customFormat="false" ht="15" hidden="false" customHeight="false" outlineLevel="0" collapsed="false">
      <c r="A1175" s="22" t="n">
        <v>46187</v>
      </c>
      <c r="B1175" s="19" t="s">
        <v>50</v>
      </c>
      <c r="C1175" s="19" t="s">
        <v>11</v>
      </c>
      <c r="D1175" s="19" t="s">
        <v>106</v>
      </c>
      <c r="E1175" s="20" t="n">
        <v>32431</v>
      </c>
      <c r="F1175" s="20" t="n">
        <v>0</v>
      </c>
    </row>
    <row r="1176" customFormat="false" ht="15" hidden="false" customHeight="false" outlineLevel="0" collapsed="false">
      <c r="A1176" s="22" t="n">
        <v>46187</v>
      </c>
      <c r="B1176" s="19" t="s">
        <v>50</v>
      </c>
      <c r="C1176" s="19" t="s">
        <v>11</v>
      </c>
      <c r="D1176" s="19" t="s">
        <v>104</v>
      </c>
      <c r="E1176" s="20" t="n">
        <v>14350</v>
      </c>
      <c r="F1176" s="20" t="n">
        <v>0</v>
      </c>
    </row>
    <row r="1177" customFormat="false" ht="15" hidden="false" customHeight="false" outlineLevel="0" collapsed="false">
      <c r="A1177" s="22" t="n">
        <v>46187</v>
      </c>
      <c r="B1177" s="19" t="s">
        <v>50</v>
      </c>
      <c r="C1177" s="19" t="s">
        <v>13</v>
      </c>
      <c r="D1177" s="19" t="s">
        <v>102</v>
      </c>
      <c r="E1177" s="20" t="n">
        <v>8806</v>
      </c>
      <c r="F1177" s="20" t="n">
        <v>0</v>
      </c>
    </row>
    <row r="1178" customFormat="false" ht="15" hidden="false" customHeight="false" outlineLevel="0" collapsed="false">
      <c r="A1178" s="22" t="n">
        <v>46187</v>
      </c>
      <c r="B1178" s="19" t="s">
        <v>50</v>
      </c>
      <c r="C1178" s="19" t="s">
        <v>13</v>
      </c>
      <c r="D1178" s="19" t="s">
        <v>103</v>
      </c>
      <c r="E1178" s="20" t="n">
        <v>2277</v>
      </c>
      <c r="F1178" s="20" t="n">
        <v>0</v>
      </c>
    </row>
    <row r="1179" customFormat="false" ht="15" hidden="false" customHeight="false" outlineLevel="0" collapsed="false">
      <c r="A1179" s="22" t="n">
        <v>46188</v>
      </c>
      <c r="B1179" s="19" t="s">
        <v>50</v>
      </c>
      <c r="C1179" s="19" t="s">
        <v>16</v>
      </c>
      <c r="D1179" s="19" t="s">
        <v>59</v>
      </c>
      <c r="E1179" s="20" t="n">
        <v>85029</v>
      </c>
      <c r="F1179" s="20" t="n">
        <v>347900</v>
      </c>
    </row>
    <row r="1180" customFormat="false" ht="15" hidden="false" customHeight="false" outlineLevel="0" collapsed="false">
      <c r="A1180" s="22" t="n">
        <v>46188</v>
      </c>
      <c r="B1180" s="19" t="s">
        <v>50</v>
      </c>
      <c r="C1180" s="19" t="s">
        <v>11</v>
      </c>
      <c r="D1180" s="19" t="s">
        <v>110</v>
      </c>
      <c r="E1180" s="20" t="n">
        <v>186229</v>
      </c>
      <c r="F1180" s="20" t="n">
        <v>918003</v>
      </c>
    </row>
    <row r="1181" customFormat="false" ht="15" hidden="false" customHeight="false" outlineLevel="0" collapsed="false">
      <c r="A1181" s="22" t="n">
        <v>46188</v>
      </c>
      <c r="B1181" s="19" t="s">
        <v>50</v>
      </c>
      <c r="C1181" s="19" t="s">
        <v>12</v>
      </c>
      <c r="D1181" s="19" t="s">
        <v>72</v>
      </c>
      <c r="E1181" s="20" t="n">
        <v>133805</v>
      </c>
      <c r="F1181" s="20" t="n">
        <v>787451</v>
      </c>
    </row>
    <row r="1182" customFormat="false" ht="15" hidden="false" customHeight="false" outlineLevel="0" collapsed="false">
      <c r="A1182" s="22" t="n">
        <v>46188</v>
      </c>
      <c r="B1182" s="19" t="s">
        <v>50</v>
      </c>
      <c r="C1182" s="19" t="s">
        <v>12</v>
      </c>
      <c r="D1182" s="19" t="s">
        <v>58</v>
      </c>
      <c r="E1182" s="20" t="n">
        <v>7947</v>
      </c>
      <c r="F1182" s="20" t="n">
        <v>0</v>
      </c>
    </row>
    <row r="1183" customFormat="false" ht="15" hidden="false" customHeight="false" outlineLevel="0" collapsed="false">
      <c r="A1183" s="22" t="n">
        <v>46188</v>
      </c>
      <c r="B1183" s="19" t="s">
        <v>50</v>
      </c>
      <c r="C1183" s="19" t="s">
        <v>14</v>
      </c>
      <c r="D1183" s="19" t="s">
        <v>111</v>
      </c>
      <c r="E1183" s="20" t="n">
        <v>27326</v>
      </c>
      <c r="F1183" s="20" t="n">
        <v>0</v>
      </c>
    </row>
    <row r="1184" customFormat="false" ht="15" hidden="false" customHeight="false" outlineLevel="0" collapsed="false">
      <c r="A1184" s="22" t="n">
        <v>46188</v>
      </c>
      <c r="B1184" s="19" t="s">
        <v>50</v>
      </c>
      <c r="C1184" s="19" t="s">
        <v>16</v>
      </c>
      <c r="D1184" s="19" t="s">
        <v>94</v>
      </c>
      <c r="E1184" s="20" t="n">
        <v>5858</v>
      </c>
      <c r="F1184" s="20" t="n">
        <v>10000</v>
      </c>
    </row>
    <row r="1185" customFormat="false" ht="15" hidden="false" customHeight="false" outlineLevel="0" collapsed="false">
      <c r="A1185" s="22" t="n">
        <v>46188</v>
      </c>
      <c r="B1185" s="19" t="s">
        <v>50</v>
      </c>
      <c r="C1185" s="19" t="s">
        <v>14</v>
      </c>
      <c r="D1185" s="19" t="s">
        <v>62</v>
      </c>
      <c r="E1185" s="20" t="n">
        <v>4501</v>
      </c>
      <c r="F1185" s="20" t="n">
        <v>0</v>
      </c>
    </row>
    <row r="1186" customFormat="false" ht="15" hidden="false" customHeight="false" outlineLevel="0" collapsed="false">
      <c r="A1186" s="22" t="n">
        <v>46188</v>
      </c>
      <c r="B1186" s="19" t="s">
        <v>50</v>
      </c>
      <c r="C1186" s="19" t="s">
        <v>70</v>
      </c>
      <c r="D1186" s="19" t="s">
        <v>91</v>
      </c>
      <c r="E1186" s="20" t="n">
        <v>603</v>
      </c>
      <c r="F1186" s="20" t="n">
        <v>0</v>
      </c>
    </row>
    <row r="1187" customFormat="false" ht="15" hidden="false" customHeight="false" outlineLevel="0" collapsed="false">
      <c r="A1187" s="22" t="n">
        <v>46188</v>
      </c>
      <c r="B1187" s="19" t="s">
        <v>50</v>
      </c>
      <c r="C1187" s="19" t="s">
        <v>70</v>
      </c>
      <c r="D1187" s="19" t="s">
        <v>93</v>
      </c>
      <c r="E1187" s="20" t="n">
        <v>101</v>
      </c>
      <c r="F1187" s="20" t="n">
        <v>0</v>
      </c>
    </row>
    <row r="1188" customFormat="false" ht="15" hidden="false" customHeight="false" outlineLevel="0" collapsed="false">
      <c r="A1188" s="22" t="n">
        <v>46188</v>
      </c>
      <c r="B1188" s="19" t="s">
        <v>50</v>
      </c>
      <c r="C1188" s="19" t="s">
        <v>15</v>
      </c>
      <c r="D1188" s="19" t="s">
        <v>97</v>
      </c>
      <c r="E1188" s="20" t="n">
        <v>92294</v>
      </c>
      <c r="F1188" s="20" t="n">
        <v>423236</v>
      </c>
    </row>
    <row r="1189" customFormat="false" ht="15" hidden="false" customHeight="false" outlineLevel="0" collapsed="false">
      <c r="A1189" s="22" t="n">
        <v>46188</v>
      </c>
      <c r="B1189" s="19" t="s">
        <v>50</v>
      </c>
      <c r="C1189" s="19" t="s">
        <v>12</v>
      </c>
      <c r="D1189" s="19" t="s">
        <v>112</v>
      </c>
      <c r="E1189" s="20" t="n">
        <v>41287</v>
      </c>
      <c r="F1189" s="20" t="n">
        <v>242714</v>
      </c>
    </row>
    <row r="1190" customFormat="false" ht="15" hidden="false" customHeight="false" outlineLevel="0" collapsed="false">
      <c r="A1190" s="22" t="n">
        <v>46188</v>
      </c>
      <c r="B1190" s="19" t="s">
        <v>50</v>
      </c>
      <c r="C1190" s="19" t="s">
        <v>11</v>
      </c>
      <c r="D1190" s="19" t="s">
        <v>98</v>
      </c>
      <c r="E1190" s="20" t="n">
        <v>30660</v>
      </c>
      <c r="F1190" s="20" t="n">
        <v>115000</v>
      </c>
    </row>
    <row r="1191" customFormat="false" ht="15" hidden="false" customHeight="false" outlineLevel="0" collapsed="false">
      <c r="A1191" s="22" t="n">
        <v>46188</v>
      </c>
      <c r="B1191" s="19" t="s">
        <v>50</v>
      </c>
      <c r="C1191" s="19" t="s">
        <v>11</v>
      </c>
      <c r="D1191" s="19" t="s">
        <v>63</v>
      </c>
      <c r="E1191" s="20" t="n">
        <v>6209</v>
      </c>
      <c r="F1191" s="20" t="n">
        <v>0</v>
      </c>
    </row>
    <row r="1192" customFormat="false" ht="15" hidden="false" customHeight="false" outlineLevel="0" collapsed="false">
      <c r="A1192" s="22" t="n">
        <v>46188</v>
      </c>
      <c r="B1192" s="19" t="s">
        <v>50</v>
      </c>
      <c r="C1192" s="19" t="s">
        <v>13</v>
      </c>
      <c r="D1192" s="19" t="s">
        <v>108</v>
      </c>
      <c r="E1192" s="20" t="n">
        <v>800000</v>
      </c>
      <c r="F1192" s="20" t="n">
        <v>4072603</v>
      </c>
    </row>
    <row r="1193" customFormat="false" ht="15" hidden="false" customHeight="false" outlineLevel="0" collapsed="false">
      <c r="A1193" s="22" t="n">
        <v>46188</v>
      </c>
      <c r="B1193" s="19" t="s">
        <v>50</v>
      </c>
      <c r="C1193" s="19" t="s">
        <v>12</v>
      </c>
      <c r="D1193" s="19" t="s">
        <v>109</v>
      </c>
      <c r="E1193" s="20" t="n">
        <v>275567</v>
      </c>
      <c r="F1193" s="20" t="n">
        <v>556568</v>
      </c>
    </row>
    <row r="1194" customFormat="false" ht="15" hidden="false" customHeight="false" outlineLevel="0" collapsed="false">
      <c r="A1194" s="22" t="n">
        <v>46188</v>
      </c>
      <c r="B1194" s="19" t="s">
        <v>50</v>
      </c>
      <c r="C1194" s="19" t="s">
        <v>13</v>
      </c>
      <c r="D1194" s="19" t="s">
        <v>102</v>
      </c>
      <c r="E1194" s="20" t="n">
        <v>135472</v>
      </c>
      <c r="F1194" s="20" t="n">
        <v>659343</v>
      </c>
    </row>
    <row r="1195" customFormat="false" ht="15" hidden="false" customHeight="false" outlineLevel="0" collapsed="false">
      <c r="A1195" s="22" t="n">
        <v>46188</v>
      </c>
      <c r="B1195" s="19" t="s">
        <v>50</v>
      </c>
      <c r="C1195" s="19" t="s">
        <v>12</v>
      </c>
      <c r="D1195" s="19" t="s">
        <v>113</v>
      </c>
      <c r="E1195" s="20" t="n">
        <v>70720</v>
      </c>
      <c r="F1195" s="20" t="n">
        <v>270138</v>
      </c>
    </row>
    <row r="1196" customFormat="false" ht="15" hidden="false" customHeight="false" outlineLevel="0" collapsed="false">
      <c r="A1196" s="22" t="n">
        <v>46188</v>
      </c>
      <c r="B1196" s="19" t="s">
        <v>50</v>
      </c>
      <c r="C1196" s="19" t="s">
        <v>11</v>
      </c>
      <c r="D1196" s="19" t="s">
        <v>105</v>
      </c>
      <c r="E1196" s="20" t="n">
        <v>47129</v>
      </c>
      <c r="F1196" s="20" t="n">
        <v>0</v>
      </c>
    </row>
    <row r="1197" customFormat="false" ht="15" hidden="false" customHeight="false" outlineLevel="0" collapsed="false">
      <c r="A1197" s="22" t="n">
        <v>46188</v>
      </c>
      <c r="B1197" s="19" t="s">
        <v>50</v>
      </c>
      <c r="C1197" s="19" t="s">
        <v>14</v>
      </c>
      <c r="D1197" s="19" t="s">
        <v>114</v>
      </c>
      <c r="E1197" s="20" t="n">
        <v>44032</v>
      </c>
      <c r="F1197" s="20" t="n">
        <v>0</v>
      </c>
    </row>
    <row r="1198" customFormat="false" ht="15" hidden="false" customHeight="false" outlineLevel="0" collapsed="false">
      <c r="A1198" s="22" t="n">
        <v>46188</v>
      </c>
      <c r="B1198" s="19" t="s">
        <v>50</v>
      </c>
      <c r="C1198" s="19" t="s">
        <v>11</v>
      </c>
      <c r="D1198" s="19" t="s">
        <v>106</v>
      </c>
      <c r="E1198" s="20" t="n">
        <v>20273</v>
      </c>
      <c r="F1198" s="20" t="n">
        <v>0</v>
      </c>
    </row>
    <row r="1199" customFormat="false" ht="15" hidden="false" customHeight="false" outlineLevel="0" collapsed="false">
      <c r="A1199" s="22" t="n">
        <v>46188</v>
      </c>
      <c r="B1199" s="19" t="s">
        <v>50</v>
      </c>
      <c r="C1199" s="19" t="s">
        <v>13</v>
      </c>
      <c r="D1199" s="19" t="s">
        <v>103</v>
      </c>
      <c r="E1199" s="20" t="n">
        <v>11692</v>
      </c>
      <c r="F1199" s="20" t="n">
        <v>0</v>
      </c>
    </row>
    <row r="1200" customFormat="false" ht="15" hidden="false" customHeight="false" outlineLevel="0" collapsed="false">
      <c r="A1200" s="22" t="n">
        <v>46188</v>
      </c>
      <c r="B1200" s="19" t="s">
        <v>50</v>
      </c>
      <c r="C1200" s="19" t="s">
        <v>11</v>
      </c>
      <c r="D1200" s="19" t="s">
        <v>104</v>
      </c>
      <c r="E1200" s="20" t="n">
        <v>17610</v>
      </c>
      <c r="F1200" s="20" t="n">
        <v>0</v>
      </c>
    </row>
    <row r="1201" customFormat="false" ht="15" hidden="false" customHeight="false" outlineLevel="0" collapsed="false">
      <c r="A1201" s="22" t="n">
        <v>46188</v>
      </c>
      <c r="B1201" s="19" t="s">
        <v>50</v>
      </c>
      <c r="C1201" s="19" t="s">
        <v>14</v>
      </c>
      <c r="D1201" s="19" t="s">
        <v>115</v>
      </c>
      <c r="E1201" s="20" t="n">
        <v>6903</v>
      </c>
      <c r="F1201" s="20" t="n">
        <v>0</v>
      </c>
    </row>
    <row r="1202" customFormat="false" ht="15" hidden="false" customHeight="false" outlineLevel="0" collapsed="false">
      <c r="A1202" s="22" t="n">
        <v>46188</v>
      </c>
      <c r="B1202" s="19" t="s">
        <v>50</v>
      </c>
      <c r="C1202" s="19" t="s">
        <v>14</v>
      </c>
      <c r="D1202" s="19" t="s">
        <v>116</v>
      </c>
      <c r="E1202" s="20" t="n">
        <v>3116</v>
      </c>
      <c r="F1202" s="20" t="n">
        <v>0</v>
      </c>
    </row>
    <row r="1203" customFormat="false" ht="15" hidden="false" customHeight="false" outlineLevel="0" collapsed="false">
      <c r="A1203" s="22" t="n">
        <v>46189</v>
      </c>
      <c r="B1203" s="19" t="s">
        <v>50</v>
      </c>
      <c r="C1203" s="19" t="s">
        <v>16</v>
      </c>
      <c r="D1203" s="19" t="s">
        <v>59</v>
      </c>
      <c r="E1203" s="20" t="n">
        <v>153264</v>
      </c>
      <c r="F1203" s="20" t="n">
        <v>859400</v>
      </c>
    </row>
    <row r="1204" customFormat="false" ht="15" hidden="false" customHeight="false" outlineLevel="0" collapsed="false">
      <c r="A1204" s="22" t="n">
        <v>46189</v>
      </c>
      <c r="B1204" s="19" t="s">
        <v>50</v>
      </c>
      <c r="C1204" s="19" t="s">
        <v>11</v>
      </c>
      <c r="D1204" s="19" t="s">
        <v>110</v>
      </c>
      <c r="E1204" s="20" t="n">
        <v>135599</v>
      </c>
      <c r="F1204" s="20" t="n">
        <v>557348</v>
      </c>
    </row>
    <row r="1205" customFormat="false" ht="15" hidden="false" customHeight="false" outlineLevel="0" collapsed="false">
      <c r="A1205" s="22" t="n">
        <v>46189</v>
      </c>
      <c r="B1205" s="19" t="s">
        <v>50</v>
      </c>
      <c r="C1205" s="19" t="s">
        <v>12</v>
      </c>
      <c r="D1205" s="19" t="s">
        <v>58</v>
      </c>
      <c r="E1205" s="20" t="n">
        <v>22395</v>
      </c>
      <c r="F1205" s="20" t="n">
        <v>0</v>
      </c>
    </row>
    <row r="1206" customFormat="false" ht="15" hidden="false" customHeight="false" outlineLevel="0" collapsed="false">
      <c r="A1206" s="22" t="n">
        <v>46189</v>
      </c>
      <c r="B1206" s="19" t="s">
        <v>50</v>
      </c>
      <c r="C1206" s="19" t="s">
        <v>12</v>
      </c>
      <c r="D1206" s="19" t="s">
        <v>72</v>
      </c>
      <c r="E1206" s="20" t="n">
        <v>12822</v>
      </c>
      <c r="F1206" s="20" t="n">
        <v>0</v>
      </c>
    </row>
    <row r="1207" customFormat="false" ht="15" hidden="false" customHeight="false" outlineLevel="0" collapsed="false">
      <c r="A1207" s="22" t="n">
        <v>46189</v>
      </c>
      <c r="B1207" s="19" t="s">
        <v>50</v>
      </c>
      <c r="C1207" s="19" t="s">
        <v>14</v>
      </c>
      <c r="D1207" s="19" t="s">
        <v>111</v>
      </c>
      <c r="E1207" s="20" t="n">
        <v>81781</v>
      </c>
      <c r="F1207" s="20" t="n">
        <v>0</v>
      </c>
    </row>
    <row r="1208" customFormat="false" ht="15" hidden="false" customHeight="false" outlineLevel="0" collapsed="false">
      <c r="A1208" s="22" t="n">
        <v>46189</v>
      </c>
      <c r="B1208" s="19" t="s">
        <v>50</v>
      </c>
      <c r="C1208" s="19" t="s">
        <v>16</v>
      </c>
      <c r="D1208" s="19" t="s">
        <v>94</v>
      </c>
      <c r="E1208" s="20" t="n">
        <v>210</v>
      </c>
      <c r="F1208" s="20" t="n">
        <v>0</v>
      </c>
    </row>
    <row r="1209" customFormat="false" ht="15" hidden="false" customHeight="false" outlineLevel="0" collapsed="false">
      <c r="A1209" s="22" t="n">
        <v>46189</v>
      </c>
      <c r="B1209" s="19" t="s">
        <v>50</v>
      </c>
      <c r="C1209" s="19" t="s">
        <v>12</v>
      </c>
      <c r="D1209" s="19" t="s">
        <v>112</v>
      </c>
      <c r="E1209" s="20" t="n">
        <v>26088</v>
      </c>
      <c r="F1209" s="20" t="n">
        <v>130000</v>
      </c>
    </row>
    <row r="1210" customFormat="false" ht="15" hidden="false" customHeight="false" outlineLevel="0" collapsed="false">
      <c r="A1210" s="22" t="n">
        <v>46189</v>
      </c>
      <c r="B1210" s="19" t="s">
        <v>50</v>
      </c>
      <c r="C1210" s="19" t="s">
        <v>11</v>
      </c>
      <c r="D1210" s="19" t="s">
        <v>63</v>
      </c>
      <c r="E1210" s="20" t="n">
        <v>74117</v>
      </c>
      <c r="F1210" s="20" t="n">
        <v>389363</v>
      </c>
    </row>
    <row r="1211" customFormat="false" ht="15" hidden="false" customHeight="false" outlineLevel="0" collapsed="false">
      <c r="A1211" s="22" t="n">
        <v>46189</v>
      </c>
      <c r="B1211" s="19" t="s">
        <v>50</v>
      </c>
      <c r="C1211" s="19" t="s">
        <v>11</v>
      </c>
      <c r="D1211" s="19" t="s">
        <v>98</v>
      </c>
      <c r="E1211" s="20" t="n">
        <v>45434</v>
      </c>
      <c r="F1211" s="20" t="n">
        <v>115000</v>
      </c>
    </row>
    <row r="1212" customFormat="false" ht="15" hidden="false" customHeight="false" outlineLevel="0" collapsed="false">
      <c r="A1212" s="22" t="n">
        <v>46189</v>
      </c>
      <c r="B1212" s="19" t="s">
        <v>50</v>
      </c>
      <c r="C1212" s="19" t="s">
        <v>15</v>
      </c>
      <c r="D1212" s="19" t="s">
        <v>97</v>
      </c>
      <c r="E1212" s="20" t="n">
        <v>10214</v>
      </c>
      <c r="F1212" s="20" t="n">
        <v>0</v>
      </c>
    </row>
    <row r="1213" customFormat="false" ht="15" hidden="false" customHeight="false" outlineLevel="0" collapsed="false">
      <c r="A1213" s="22" t="n">
        <v>46189</v>
      </c>
      <c r="B1213" s="19" t="s">
        <v>50</v>
      </c>
      <c r="C1213" s="19" t="s">
        <v>13</v>
      </c>
      <c r="D1213" s="19" t="s">
        <v>117</v>
      </c>
      <c r="E1213" s="20" t="n">
        <v>549667</v>
      </c>
      <c r="F1213" s="20" t="n">
        <v>2722512</v>
      </c>
    </row>
    <row r="1214" customFormat="false" ht="15" hidden="false" customHeight="false" outlineLevel="0" collapsed="false">
      <c r="A1214" s="22" t="n">
        <v>46189</v>
      </c>
      <c r="B1214" s="19" t="s">
        <v>50</v>
      </c>
      <c r="C1214" s="19" t="s">
        <v>12</v>
      </c>
      <c r="D1214" s="19" t="s">
        <v>113</v>
      </c>
      <c r="E1214" s="20" t="n">
        <v>280029</v>
      </c>
      <c r="F1214" s="20" t="n">
        <v>1477980</v>
      </c>
    </row>
    <row r="1215" customFormat="false" ht="15" hidden="false" customHeight="false" outlineLevel="0" collapsed="false">
      <c r="A1215" s="22" t="n">
        <v>46189</v>
      </c>
      <c r="B1215" s="19" t="s">
        <v>50</v>
      </c>
      <c r="C1215" s="19" t="s">
        <v>13</v>
      </c>
      <c r="D1215" s="19" t="s">
        <v>108</v>
      </c>
      <c r="E1215" s="20" t="n">
        <v>203794</v>
      </c>
      <c r="F1215" s="20" t="n">
        <v>368951</v>
      </c>
    </row>
    <row r="1216" customFormat="false" ht="15" hidden="false" customHeight="false" outlineLevel="0" collapsed="false">
      <c r="A1216" s="22" t="n">
        <v>46189</v>
      </c>
      <c r="B1216" s="19" t="s">
        <v>50</v>
      </c>
      <c r="C1216" s="19" t="s">
        <v>14</v>
      </c>
      <c r="D1216" s="19" t="s">
        <v>114</v>
      </c>
      <c r="E1216" s="20" t="n">
        <v>25554</v>
      </c>
      <c r="F1216" s="20" t="n">
        <v>79000</v>
      </c>
    </row>
    <row r="1217" customFormat="false" ht="15" hidden="false" customHeight="false" outlineLevel="0" collapsed="false">
      <c r="A1217" s="22" t="n">
        <v>46189</v>
      </c>
      <c r="B1217" s="19" t="s">
        <v>50</v>
      </c>
      <c r="C1217" s="19" t="s">
        <v>13</v>
      </c>
      <c r="D1217" s="19" t="s">
        <v>102</v>
      </c>
      <c r="E1217" s="20" t="n">
        <v>73429</v>
      </c>
      <c r="F1217" s="20" t="n">
        <v>187207</v>
      </c>
    </row>
    <row r="1218" customFormat="false" ht="15" hidden="false" customHeight="false" outlineLevel="0" collapsed="false">
      <c r="A1218" s="22" t="n">
        <v>46189</v>
      </c>
      <c r="B1218" s="19" t="s">
        <v>50</v>
      </c>
      <c r="C1218" s="19" t="s">
        <v>14</v>
      </c>
      <c r="D1218" s="19" t="s">
        <v>115</v>
      </c>
      <c r="E1218" s="20" t="n">
        <v>16634</v>
      </c>
      <c r="F1218" s="20" t="n">
        <v>0</v>
      </c>
    </row>
    <row r="1219" customFormat="false" ht="15" hidden="false" customHeight="false" outlineLevel="0" collapsed="false">
      <c r="A1219" s="22" t="n">
        <v>46189</v>
      </c>
      <c r="B1219" s="19" t="s">
        <v>50</v>
      </c>
      <c r="C1219" s="19" t="s">
        <v>13</v>
      </c>
      <c r="D1219" s="19" t="s">
        <v>103</v>
      </c>
      <c r="E1219" s="20" t="n">
        <v>4866</v>
      </c>
      <c r="F1219" s="20" t="n">
        <v>0</v>
      </c>
    </row>
    <row r="1220" customFormat="false" ht="15" hidden="false" customHeight="false" outlineLevel="0" collapsed="false">
      <c r="A1220" s="22" t="n">
        <v>46189</v>
      </c>
      <c r="B1220" s="19" t="s">
        <v>50</v>
      </c>
      <c r="C1220" s="19" t="s">
        <v>14</v>
      </c>
      <c r="D1220" s="19" t="s">
        <v>116</v>
      </c>
      <c r="E1220" s="20" t="n">
        <v>5734</v>
      </c>
      <c r="F1220" s="20" t="n">
        <v>0</v>
      </c>
    </row>
    <row r="1221" customFormat="false" ht="15" hidden="false" customHeight="false" outlineLevel="0" collapsed="false">
      <c r="A1221" s="22" t="n">
        <v>46190</v>
      </c>
      <c r="B1221" s="19" t="s">
        <v>50</v>
      </c>
      <c r="C1221" s="19" t="s">
        <v>16</v>
      </c>
      <c r="D1221" s="19" t="s">
        <v>59</v>
      </c>
      <c r="E1221" s="20" t="n">
        <v>22103</v>
      </c>
      <c r="F1221" s="20" t="n">
        <v>98000</v>
      </c>
    </row>
    <row r="1222" customFormat="false" ht="15" hidden="false" customHeight="false" outlineLevel="0" collapsed="false">
      <c r="A1222" s="22" t="n">
        <v>46190</v>
      </c>
      <c r="B1222" s="19" t="s">
        <v>50</v>
      </c>
      <c r="C1222" s="19" t="s">
        <v>11</v>
      </c>
      <c r="D1222" s="19" t="s">
        <v>110</v>
      </c>
      <c r="E1222" s="20" t="n">
        <v>56492</v>
      </c>
      <c r="F1222" s="20" t="n">
        <v>283000</v>
      </c>
    </row>
    <row r="1223" customFormat="false" ht="15" hidden="false" customHeight="false" outlineLevel="0" collapsed="false">
      <c r="A1223" s="22" t="n">
        <v>46190</v>
      </c>
      <c r="B1223" s="19" t="s">
        <v>50</v>
      </c>
      <c r="C1223" s="19" t="s">
        <v>12</v>
      </c>
      <c r="D1223" s="19" t="s">
        <v>58</v>
      </c>
      <c r="E1223" s="20" t="n">
        <v>18439</v>
      </c>
      <c r="F1223" s="20" t="n">
        <v>0</v>
      </c>
    </row>
    <row r="1224" customFormat="false" ht="15" hidden="false" customHeight="false" outlineLevel="0" collapsed="false">
      <c r="A1224" s="22" t="n">
        <v>46190</v>
      </c>
      <c r="B1224" s="19" t="s">
        <v>50</v>
      </c>
      <c r="C1224" s="19" t="s">
        <v>12</v>
      </c>
      <c r="D1224" s="19" t="s">
        <v>72</v>
      </c>
      <c r="E1224" s="20" t="n">
        <v>2264</v>
      </c>
      <c r="F1224" s="20" t="n">
        <v>0</v>
      </c>
    </row>
    <row r="1225" customFormat="false" ht="15" hidden="false" customHeight="false" outlineLevel="0" collapsed="false">
      <c r="A1225" s="22" t="n">
        <v>46190</v>
      </c>
      <c r="B1225" s="19" t="s">
        <v>50</v>
      </c>
      <c r="C1225" s="19" t="s">
        <v>14</v>
      </c>
      <c r="D1225" s="19" t="s">
        <v>111</v>
      </c>
      <c r="E1225" s="20" t="n">
        <v>91429</v>
      </c>
      <c r="F1225" s="20" t="n">
        <v>0</v>
      </c>
    </row>
    <row r="1226" customFormat="false" ht="15" hidden="false" customHeight="false" outlineLevel="0" collapsed="false">
      <c r="A1226" s="22" t="n">
        <v>46190</v>
      </c>
      <c r="B1226" s="19" t="s">
        <v>50</v>
      </c>
      <c r="C1226" s="19" t="s">
        <v>12</v>
      </c>
      <c r="D1226" s="19" t="s">
        <v>112</v>
      </c>
      <c r="E1226" s="20" t="n">
        <v>52697</v>
      </c>
      <c r="F1226" s="20" t="n">
        <v>235200</v>
      </c>
    </row>
    <row r="1227" customFormat="false" ht="15" hidden="false" customHeight="false" outlineLevel="0" collapsed="false">
      <c r="A1227" s="22" t="n">
        <v>46190</v>
      </c>
      <c r="B1227" s="19" t="s">
        <v>50</v>
      </c>
      <c r="C1227" s="19" t="s">
        <v>11</v>
      </c>
      <c r="D1227" s="19" t="s">
        <v>63</v>
      </c>
      <c r="E1227" s="20" t="n">
        <v>18713</v>
      </c>
      <c r="F1227" s="20" t="n">
        <v>76659</v>
      </c>
    </row>
    <row r="1228" customFormat="false" ht="15" hidden="false" customHeight="false" outlineLevel="0" collapsed="false">
      <c r="A1228" s="22" t="n">
        <v>46190</v>
      </c>
      <c r="B1228" s="19" t="s">
        <v>50</v>
      </c>
      <c r="C1228" s="19" t="s">
        <v>15</v>
      </c>
      <c r="D1228" s="19" t="s">
        <v>97</v>
      </c>
      <c r="E1228" s="20" t="n">
        <v>16224</v>
      </c>
      <c r="F1228" s="20" t="n">
        <v>0</v>
      </c>
    </row>
    <row r="1229" customFormat="false" ht="15" hidden="false" customHeight="false" outlineLevel="0" collapsed="false">
      <c r="A1229" s="22" t="n">
        <v>46190</v>
      </c>
      <c r="B1229" s="19" t="s">
        <v>50</v>
      </c>
      <c r="C1229" s="19" t="s">
        <v>11</v>
      </c>
      <c r="D1229" s="19" t="s">
        <v>98</v>
      </c>
      <c r="E1229" s="20" t="n">
        <v>16515</v>
      </c>
      <c r="F1229" s="20" t="n">
        <v>0</v>
      </c>
    </row>
    <row r="1230" customFormat="false" ht="15" hidden="false" customHeight="false" outlineLevel="0" collapsed="false">
      <c r="A1230" s="22" t="n">
        <v>46190</v>
      </c>
      <c r="B1230" s="19" t="s">
        <v>50</v>
      </c>
      <c r="C1230" s="19" t="s">
        <v>13</v>
      </c>
      <c r="D1230" s="19" t="s">
        <v>117</v>
      </c>
      <c r="E1230" s="20" t="n">
        <v>850000</v>
      </c>
      <c r="F1230" s="20" t="n">
        <v>4807376</v>
      </c>
    </row>
    <row r="1231" customFormat="false" ht="15" hidden="false" customHeight="false" outlineLevel="0" collapsed="false">
      <c r="A1231" s="22" t="n">
        <v>46190</v>
      </c>
      <c r="B1231" s="19" t="s">
        <v>50</v>
      </c>
      <c r="C1231" s="19" t="s">
        <v>12</v>
      </c>
      <c r="D1231" s="19" t="s">
        <v>113</v>
      </c>
      <c r="E1231" s="20" t="n">
        <v>400000</v>
      </c>
      <c r="F1231" s="20" t="n">
        <v>2624267</v>
      </c>
    </row>
    <row r="1232" customFormat="false" ht="15" hidden="false" customHeight="false" outlineLevel="0" collapsed="false">
      <c r="A1232" s="22" t="n">
        <v>46190</v>
      </c>
      <c r="B1232" s="19" t="s">
        <v>50</v>
      </c>
      <c r="C1232" s="19" t="s">
        <v>13</v>
      </c>
      <c r="D1232" s="19" t="s">
        <v>103</v>
      </c>
      <c r="E1232" s="20" t="n">
        <v>25037</v>
      </c>
      <c r="F1232" s="20" t="n">
        <v>127980</v>
      </c>
    </row>
    <row r="1233" customFormat="false" ht="15" hidden="false" customHeight="false" outlineLevel="0" collapsed="false">
      <c r="A1233" s="22" t="n">
        <v>46190</v>
      </c>
      <c r="B1233" s="19" t="s">
        <v>50</v>
      </c>
      <c r="C1233" s="19" t="s">
        <v>14</v>
      </c>
      <c r="D1233" s="19" t="s">
        <v>114</v>
      </c>
      <c r="E1233" s="20" t="n">
        <v>15629</v>
      </c>
      <c r="F1233" s="20" t="n">
        <v>0</v>
      </c>
    </row>
    <row r="1234" customFormat="false" ht="15" hidden="false" customHeight="false" outlineLevel="0" collapsed="false">
      <c r="A1234" s="22" t="n">
        <v>46190</v>
      </c>
      <c r="B1234" s="19" t="s">
        <v>50</v>
      </c>
      <c r="C1234" s="19" t="s">
        <v>13</v>
      </c>
      <c r="D1234" s="19" t="s">
        <v>102</v>
      </c>
      <c r="E1234" s="20" t="n">
        <v>15663</v>
      </c>
      <c r="F1234" s="20" t="n">
        <v>0</v>
      </c>
    </row>
    <row r="1235" customFormat="false" ht="15" hidden="false" customHeight="false" outlineLevel="0" collapsed="false">
      <c r="A1235" s="22" t="n">
        <v>46190</v>
      </c>
      <c r="B1235" s="19" t="s">
        <v>50</v>
      </c>
      <c r="C1235" s="19" t="s">
        <v>14</v>
      </c>
      <c r="D1235" s="19" t="s">
        <v>116</v>
      </c>
      <c r="E1235" s="20" t="n">
        <v>3312</v>
      </c>
      <c r="F1235" s="20" t="n">
        <v>0</v>
      </c>
    </row>
    <row r="1236" customFormat="false" ht="15" hidden="false" customHeight="false" outlineLevel="0" collapsed="false">
      <c r="A1236" s="22" t="n">
        <v>46190</v>
      </c>
      <c r="B1236" s="19" t="s">
        <v>50</v>
      </c>
      <c r="C1236" s="19" t="s">
        <v>14</v>
      </c>
      <c r="D1236" s="19" t="s">
        <v>115</v>
      </c>
      <c r="E1236" s="20" t="n">
        <v>13530</v>
      </c>
      <c r="F1236" s="20" t="n">
        <v>79000</v>
      </c>
    </row>
    <row r="1237" customFormat="false" ht="15" hidden="false" customHeight="false" outlineLevel="0" collapsed="false">
      <c r="A1237" s="22" t="n">
        <v>46191</v>
      </c>
      <c r="B1237" s="19" t="s">
        <v>50</v>
      </c>
      <c r="C1237" s="19" t="s">
        <v>16</v>
      </c>
      <c r="D1237" s="19" t="s">
        <v>59</v>
      </c>
      <c r="E1237" s="20" t="n">
        <v>4054</v>
      </c>
      <c r="F1237" s="20" t="n">
        <v>0</v>
      </c>
    </row>
    <row r="1238" customFormat="false" ht="15" hidden="false" customHeight="false" outlineLevel="0" collapsed="false">
      <c r="A1238" s="22" t="n">
        <v>46191</v>
      </c>
      <c r="B1238" s="19" t="s">
        <v>50</v>
      </c>
      <c r="C1238" s="19" t="s">
        <v>11</v>
      </c>
      <c r="D1238" s="19" t="s">
        <v>110</v>
      </c>
      <c r="E1238" s="20" t="n">
        <v>10764</v>
      </c>
      <c r="F1238" s="20" t="n">
        <v>0</v>
      </c>
    </row>
    <row r="1239" customFormat="false" ht="15" hidden="false" customHeight="false" outlineLevel="0" collapsed="false">
      <c r="A1239" s="22" t="n">
        <v>46191</v>
      </c>
      <c r="B1239" s="19" t="s">
        <v>50</v>
      </c>
      <c r="C1239" s="19" t="s">
        <v>12</v>
      </c>
      <c r="D1239" s="19" t="s">
        <v>58</v>
      </c>
      <c r="E1239" s="20" t="n">
        <v>25496</v>
      </c>
      <c r="F1239" s="20" t="n">
        <v>0</v>
      </c>
    </row>
    <row r="1240" customFormat="false" ht="15" hidden="false" customHeight="false" outlineLevel="0" collapsed="false">
      <c r="A1240" s="22" t="n">
        <v>46191</v>
      </c>
      <c r="B1240" s="19" t="s">
        <v>50</v>
      </c>
      <c r="C1240" s="19" t="s">
        <v>12</v>
      </c>
      <c r="D1240" s="19" t="s">
        <v>72</v>
      </c>
      <c r="E1240" s="20" t="n">
        <v>3273</v>
      </c>
      <c r="F1240" s="20" t="n">
        <v>0</v>
      </c>
    </row>
    <row r="1241" customFormat="false" ht="15" hidden="false" customHeight="false" outlineLevel="0" collapsed="false">
      <c r="A1241" s="22" t="n">
        <v>46191</v>
      </c>
      <c r="B1241" s="19" t="s">
        <v>50</v>
      </c>
      <c r="C1241" s="19" t="s">
        <v>14</v>
      </c>
      <c r="D1241" s="19" t="s">
        <v>111</v>
      </c>
      <c r="E1241" s="20" t="n">
        <v>63928</v>
      </c>
      <c r="F1241" s="20" t="n">
        <v>258400</v>
      </c>
    </row>
    <row r="1242" customFormat="false" ht="15" hidden="false" customHeight="false" outlineLevel="0" collapsed="false">
      <c r="A1242" s="22" t="n">
        <v>46191</v>
      </c>
      <c r="B1242" s="19" t="s">
        <v>50</v>
      </c>
      <c r="C1242" s="19" t="s">
        <v>12</v>
      </c>
      <c r="D1242" s="19" t="s">
        <v>118</v>
      </c>
      <c r="E1242" s="20" t="n">
        <v>233742</v>
      </c>
      <c r="F1242" s="20" t="n">
        <v>1280659</v>
      </c>
    </row>
    <row r="1243" customFormat="false" ht="15" hidden="false" customHeight="false" outlineLevel="0" collapsed="false">
      <c r="A1243" s="22" t="n">
        <v>46191</v>
      </c>
      <c r="B1243" s="19" t="s">
        <v>50</v>
      </c>
      <c r="C1243" s="19" t="s">
        <v>12</v>
      </c>
      <c r="D1243" s="19" t="s">
        <v>112</v>
      </c>
      <c r="E1243" s="20" t="n">
        <v>23848</v>
      </c>
      <c r="F1243" s="20" t="n">
        <v>0</v>
      </c>
    </row>
    <row r="1244" customFormat="false" ht="15" hidden="false" customHeight="false" outlineLevel="0" collapsed="false">
      <c r="A1244" s="22" t="n">
        <v>46191</v>
      </c>
      <c r="B1244" s="19" t="s">
        <v>50</v>
      </c>
      <c r="C1244" s="19" t="s">
        <v>11</v>
      </c>
      <c r="D1244" s="19" t="s">
        <v>63</v>
      </c>
      <c r="E1244" s="20" t="n">
        <v>16533</v>
      </c>
      <c r="F1244" s="20" t="n">
        <v>78000</v>
      </c>
    </row>
    <row r="1245" customFormat="false" ht="15" hidden="false" customHeight="false" outlineLevel="0" collapsed="false">
      <c r="A1245" s="22" t="n">
        <v>46191</v>
      </c>
      <c r="B1245" s="19" t="s">
        <v>50</v>
      </c>
      <c r="C1245" s="19" t="s">
        <v>15</v>
      </c>
      <c r="D1245" s="19" t="s">
        <v>97</v>
      </c>
      <c r="E1245" s="20" t="n">
        <v>7673</v>
      </c>
      <c r="F1245" s="20" t="n">
        <v>0</v>
      </c>
    </row>
    <row r="1246" customFormat="false" ht="15" hidden="false" customHeight="false" outlineLevel="0" collapsed="false">
      <c r="A1246" s="22" t="n">
        <v>46191</v>
      </c>
      <c r="B1246" s="19" t="s">
        <v>50</v>
      </c>
      <c r="C1246" s="19" t="s">
        <v>11</v>
      </c>
      <c r="D1246" s="19" t="s">
        <v>98</v>
      </c>
      <c r="E1246" s="20" t="n">
        <v>12462</v>
      </c>
      <c r="F1246" s="20" t="n">
        <v>0</v>
      </c>
    </row>
    <row r="1247" customFormat="false" ht="15" hidden="false" customHeight="false" outlineLevel="0" collapsed="false">
      <c r="A1247" s="22" t="n">
        <v>46191</v>
      </c>
      <c r="B1247" s="19" t="s">
        <v>50</v>
      </c>
      <c r="C1247" s="19" t="s">
        <v>13</v>
      </c>
      <c r="D1247" s="19" t="s">
        <v>117</v>
      </c>
      <c r="E1247" s="20" t="n">
        <v>495238</v>
      </c>
      <c r="F1247" s="20" t="n">
        <v>2202146</v>
      </c>
    </row>
    <row r="1248" customFormat="false" ht="15" hidden="false" customHeight="false" outlineLevel="0" collapsed="false">
      <c r="A1248" s="22" t="n">
        <v>46191</v>
      </c>
      <c r="B1248" s="19" t="s">
        <v>50</v>
      </c>
      <c r="C1248" s="19" t="s">
        <v>12</v>
      </c>
      <c r="D1248" s="19" t="s">
        <v>113</v>
      </c>
      <c r="E1248" s="20" t="n">
        <v>133402</v>
      </c>
      <c r="F1248" s="20" t="n">
        <v>0</v>
      </c>
    </row>
    <row r="1249" customFormat="false" ht="15" hidden="false" customHeight="false" outlineLevel="0" collapsed="false">
      <c r="A1249" s="22" t="n">
        <v>46191</v>
      </c>
      <c r="B1249" s="19" t="s">
        <v>50</v>
      </c>
      <c r="C1249" s="19" t="s">
        <v>13</v>
      </c>
      <c r="D1249" s="19" t="s">
        <v>102</v>
      </c>
      <c r="E1249" s="20" t="n">
        <v>23156</v>
      </c>
      <c r="F1249" s="20" t="n">
        <v>0</v>
      </c>
    </row>
    <row r="1250" customFormat="false" ht="15" hidden="false" customHeight="false" outlineLevel="0" collapsed="false">
      <c r="A1250" s="22" t="n">
        <v>46191</v>
      </c>
      <c r="B1250" s="19" t="s">
        <v>50</v>
      </c>
      <c r="C1250" s="19" t="s">
        <v>14</v>
      </c>
      <c r="D1250" s="19" t="s">
        <v>114</v>
      </c>
      <c r="E1250" s="20" t="n">
        <v>21135</v>
      </c>
      <c r="F1250" s="20" t="n">
        <v>79000</v>
      </c>
    </row>
    <row r="1251" customFormat="false" ht="15" hidden="false" customHeight="false" outlineLevel="0" collapsed="false">
      <c r="A1251" s="22" t="n">
        <v>46191</v>
      </c>
      <c r="B1251" s="19" t="s">
        <v>50</v>
      </c>
      <c r="C1251" s="19" t="s">
        <v>14</v>
      </c>
      <c r="D1251" s="19" t="s">
        <v>116</v>
      </c>
      <c r="E1251" s="20" t="n">
        <v>13713</v>
      </c>
      <c r="F1251" s="20" t="n">
        <v>79000</v>
      </c>
    </row>
    <row r="1252" customFormat="false" ht="15" hidden="false" customHeight="false" outlineLevel="0" collapsed="false">
      <c r="A1252" s="22" t="n">
        <v>46191</v>
      </c>
      <c r="B1252" s="19" t="s">
        <v>50</v>
      </c>
      <c r="C1252" s="19" t="s">
        <v>13</v>
      </c>
      <c r="D1252" s="19" t="s">
        <v>103</v>
      </c>
      <c r="E1252" s="20" t="n">
        <v>3168</v>
      </c>
      <c r="F1252" s="20" t="n">
        <v>0</v>
      </c>
    </row>
    <row r="1253" customFormat="false" ht="15" hidden="false" customHeight="false" outlineLevel="0" collapsed="false">
      <c r="A1253" s="22" t="n">
        <v>46191</v>
      </c>
      <c r="B1253" s="19" t="s">
        <v>50</v>
      </c>
      <c r="C1253" s="19" t="s">
        <v>14</v>
      </c>
      <c r="D1253" s="19" t="s">
        <v>115</v>
      </c>
      <c r="E1253" s="20" t="n">
        <v>9479</v>
      </c>
      <c r="F1253" s="20" t="n">
        <v>0</v>
      </c>
    </row>
    <row r="1254" customFormat="false" ht="15" hidden="false" customHeight="false" outlineLevel="0" collapsed="false">
      <c r="A1254" s="22" t="n">
        <v>46192</v>
      </c>
      <c r="B1254" s="19" t="s">
        <v>50</v>
      </c>
      <c r="C1254" s="19" t="s">
        <v>16</v>
      </c>
      <c r="D1254" s="19" t="s">
        <v>119</v>
      </c>
      <c r="E1254" s="20" t="n">
        <v>119906</v>
      </c>
      <c r="F1254" s="20" t="n">
        <v>335947</v>
      </c>
    </row>
    <row r="1255" customFormat="false" ht="15" hidden="false" customHeight="false" outlineLevel="0" collapsed="false">
      <c r="A1255" s="22" t="n">
        <v>46192</v>
      </c>
      <c r="B1255" s="19" t="s">
        <v>50</v>
      </c>
      <c r="C1255" s="19" t="s">
        <v>16</v>
      </c>
      <c r="D1255" s="19" t="s">
        <v>59</v>
      </c>
      <c r="E1255" s="20" t="n">
        <v>2970</v>
      </c>
      <c r="F1255" s="20" t="n">
        <v>0</v>
      </c>
    </row>
    <row r="1256" customFormat="false" ht="15" hidden="false" customHeight="false" outlineLevel="0" collapsed="false">
      <c r="A1256" s="22" t="n">
        <v>46192</v>
      </c>
      <c r="B1256" s="19" t="s">
        <v>50</v>
      </c>
      <c r="C1256" s="19" t="s">
        <v>11</v>
      </c>
      <c r="D1256" s="19" t="s">
        <v>110</v>
      </c>
      <c r="E1256" s="20" t="n">
        <v>6552</v>
      </c>
      <c r="F1256" s="20" t="n">
        <v>0</v>
      </c>
    </row>
    <row r="1257" customFormat="false" ht="15" hidden="false" customHeight="false" outlineLevel="0" collapsed="false">
      <c r="A1257" s="22" t="n">
        <v>46192</v>
      </c>
      <c r="B1257" s="19" t="s">
        <v>50</v>
      </c>
      <c r="C1257" s="19" t="s">
        <v>12</v>
      </c>
      <c r="D1257" s="19" t="s">
        <v>58</v>
      </c>
      <c r="E1257" s="20" t="n">
        <v>16264</v>
      </c>
      <c r="F1257" s="20" t="n">
        <v>0</v>
      </c>
    </row>
    <row r="1258" customFormat="false" ht="15" hidden="false" customHeight="false" outlineLevel="0" collapsed="false">
      <c r="A1258" s="22" t="n">
        <v>46192</v>
      </c>
      <c r="B1258" s="19" t="s">
        <v>50</v>
      </c>
      <c r="C1258" s="19" t="s">
        <v>12</v>
      </c>
      <c r="D1258" s="19" t="s">
        <v>72</v>
      </c>
      <c r="E1258" s="20" t="n">
        <v>3034</v>
      </c>
      <c r="F1258" s="20" t="n">
        <v>0</v>
      </c>
    </row>
    <row r="1259" customFormat="false" ht="15" hidden="false" customHeight="false" outlineLevel="0" collapsed="false">
      <c r="A1259" s="22" t="n">
        <v>46192</v>
      </c>
      <c r="B1259" s="19" t="s">
        <v>50</v>
      </c>
      <c r="C1259" s="19" t="s">
        <v>14</v>
      </c>
      <c r="D1259" s="19" t="s">
        <v>111</v>
      </c>
      <c r="E1259" s="20" t="n">
        <v>90233</v>
      </c>
      <c r="F1259" s="20" t="n">
        <v>109000</v>
      </c>
    </row>
    <row r="1260" customFormat="false" ht="15" hidden="false" customHeight="false" outlineLevel="0" collapsed="false">
      <c r="A1260" s="22" t="n">
        <v>46192</v>
      </c>
      <c r="B1260" s="19" t="s">
        <v>50</v>
      </c>
      <c r="C1260" s="19" t="s">
        <v>12</v>
      </c>
      <c r="D1260" s="19" t="s">
        <v>118</v>
      </c>
      <c r="E1260" s="20" t="n">
        <v>263884</v>
      </c>
      <c r="F1260" s="20" t="n">
        <v>1180912</v>
      </c>
    </row>
    <row r="1261" customFormat="false" ht="15" hidden="false" customHeight="false" outlineLevel="0" collapsed="false">
      <c r="A1261" s="22" t="n">
        <v>46192</v>
      </c>
      <c r="B1261" s="19" t="s">
        <v>50</v>
      </c>
      <c r="C1261" s="19" t="s">
        <v>11</v>
      </c>
      <c r="D1261" s="19" t="s">
        <v>98</v>
      </c>
      <c r="E1261" s="20" t="n">
        <v>91777</v>
      </c>
      <c r="F1261" s="20" t="n">
        <v>412960</v>
      </c>
    </row>
    <row r="1262" customFormat="false" ht="15" hidden="false" customHeight="false" outlineLevel="0" collapsed="false">
      <c r="A1262" s="22" t="n">
        <v>46192</v>
      </c>
      <c r="B1262" s="19" t="s">
        <v>50</v>
      </c>
      <c r="C1262" s="19" t="s">
        <v>15</v>
      </c>
      <c r="D1262" s="19" t="s">
        <v>97</v>
      </c>
      <c r="E1262" s="20" t="n">
        <v>36960</v>
      </c>
      <c r="F1262" s="20" t="n">
        <v>177478</v>
      </c>
    </row>
    <row r="1263" customFormat="false" ht="15" hidden="false" customHeight="false" outlineLevel="0" collapsed="false">
      <c r="A1263" s="22" t="n">
        <v>46192</v>
      </c>
      <c r="B1263" s="19" t="s">
        <v>50</v>
      </c>
      <c r="C1263" s="19" t="s">
        <v>12</v>
      </c>
      <c r="D1263" s="19" t="s">
        <v>112</v>
      </c>
      <c r="E1263" s="20" t="n">
        <v>50848</v>
      </c>
      <c r="F1263" s="20" t="n">
        <v>245000</v>
      </c>
    </row>
    <row r="1264" customFormat="false" ht="15" hidden="false" customHeight="false" outlineLevel="0" collapsed="false">
      <c r="A1264" s="22" t="n">
        <v>46192</v>
      </c>
      <c r="B1264" s="19" t="s">
        <v>50</v>
      </c>
      <c r="C1264" s="19" t="s">
        <v>11</v>
      </c>
      <c r="D1264" s="19" t="s">
        <v>63</v>
      </c>
      <c r="E1264" s="20" t="n">
        <v>5817</v>
      </c>
      <c r="F1264" s="20" t="n">
        <v>0</v>
      </c>
    </row>
    <row r="1265" customFormat="false" ht="15" hidden="false" customHeight="false" outlineLevel="0" collapsed="false">
      <c r="A1265" s="22" t="n">
        <v>46192</v>
      </c>
      <c r="B1265" s="19" t="s">
        <v>50</v>
      </c>
      <c r="C1265" s="19" t="s">
        <v>13</v>
      </c>
      <c r="D1265" s="19" t="s">
        <v>117</v>
      </c>
      <c r="E1265" s="20" t="n">
        <v>617807</v>
      </c>
      <c r="F1265" s="20" t="n">
        <v>3349344</v>
      </c>
    </row>
    <row r="1266" customFormat="false" ht="15" hidden="false" customHeight="false" outlineLevel="0" collapsed="false">
      <c r="A1266" s="22" t="n">
        <v>46192</v>
      </c>
      <c r="B1266" s="19" t="s">
        <v>50</v>
      </c>
      <c r="C1266" s="19" t="s">
        <v>13</v>
      </c>
      <c r="D1266" s="19" t="s">
        <v>102</v>
      </c>
      <c r="E1266" s="20" t="n">
        <v>10138</v>
      </c>
      <c r="F1266" s="20" t="n">
        <v>0</v>
      </c>
    </row>
    <row r="1267" customFormat="false" ht="15" hidden="false" customHeight="false" outlineLevel="0" collapsed="false">
      <c r="A1267" s="22" t="n">
        <v>46192</v>
      </c>
      <c r="B1267" s="19" t="s">
        <v>50</v>
      </c>
      <c r="C1267" s="19" t="s">
        <v>14</v>
      </c>
      <c r="D1267" s="19" t="s">
        <v>114</v>
      </c>
      <c r="E1267" s="20" t="n">
        <v>9996</v>
      </c>
      <c r="F1267" s="20" t="n">
        <v>0</v>
      </c>
    </row>
    <row r="1268" customFormat="false" ht="15" hidden="false" customHeight="false" outlineLevel="0" collapsed="false">
      <c r="A1268" s="22" t="n">
        <v>46192</v>
      </c>
      <c r="B1268" s="19" t="s">
        <v>50</v>
      </c>
      <c r="C1268" s="19" t="s">
        <v>14</v>
      </c>
      <c r="D1268" s="19" t="s">
        <v>115</v>
      </c>
      <c r="E1268" s="20" t="n">
        <v>3878</v>
      </c>
      <c r="F1268" s="20" t="n">
        <v>0</v>
      </c>
    </row>
    <row r="1269" customFormat="false" ht="15" hidden="false" customHeight="false" outlineLevel="0" collapsed="false">
      <c r="A1269" s="22" t="n">
        <v>46192</v>
      </c>
      <c r="B1269" s="19" t="s">
        <v>50</v>
      </c>
      <c r="C1269" s="19" t="s">
        <v>13</v>
      </c>
      <c r="D1269" s="19" t="s">
        <v>103</v>
      </c>
      <c r="E1269" s="20" t="n">
        <v>3759</v>
      </c>
      <c r="F1269" s="20" t="n">
        <v>0</v>
      </c>
    </row>
    <row r="1270" customFormat="false" ht="15" hidden="false" customHeight="false" outlineLevel="0" collapsed="false">
      <c r="A1270" s="22" t="n">
        <v>46192</v>
      </c>
      <c r="B1270" s="19" t="s">
        <v>50</v>
      </c>
      <c r="C1270" s="19" t="s">
        <v>14</v>
      </c>
      <c r="D1270" s="19" t="s">
        <v>116</v>
      </c>
      <c r="E1270" s="20" t="n">
        <v>4633</v>
      </c>
      <c r="F1270" s="20" t="n">
        <v>0</v>
      </c>
    </row>
    <row r="1271" customFormat="false" ht="15" hidden="false" customHeight="false" outlineLevel="0" collapsed="false">
      <c r="A1271" s="22" t="n">
        <v>46193</v>
      </c>
      <c r="B1271" s="19" t="s">
        <v>50</v>
      </c>
      <c r="C1271" s="19" t="s">
        <v>16</v>
      </c>
      <c r="D1271" s="19" t="s">
        <v>119</v>
      </c>
      <c r="E1271" s="20" t="n">
        <v>101921</v>
      </c>
      <c r="F1271" s="20" t="n">
        <v>407065</v>
      </c>
    </row>
    <row r="1272" customFormat="false" ht="15" hidden="false" customHeight="false" outlineLevel="0" collapsed="false">
      <c r="A1272" s="22" t="n">
        <v>46193</v>
      </c>
      <c r="B1272" s="19" t="s">
        <v>50</v>
      </c>
      <c r="C1272" s="19" t="s">
        <v>16</v>
      </c>
      <c r="D1272" s="19" t="s">
        <v>59</v>
      </c>
      <c r="E1272" s="20" t="n">
        <v>10405</v>
      </c>
      <c r="F1272" s="20" t="n">
        <v>0</v>
      </c>
    </row>
    <row r="1273" customFormat="false" ht="15" hidden="false" customHeight="false" outlineLevel="0" collapsed="false">
      <c r="A1273" s="22" t="n">
        <v>46193</v>
      </c>
      <c r="B1273" s="19" t="s">
        <v>50</v>
      </c>
      <c r="C1273" s="19" t="s">
        <v>12</v>
      </c>
      <c r="D1273" s="19" t="s">
        <v>72</v>
      </c>
      <c r="E1273" s="20" t="n">
        <v>47068</v>
      </c>
      <c r="F1273" s="20" t="n">
        <v>216482</v>
      </c>
    </row>
    <row r="1274" customFormat="false" ht="15" hidden="false" customHeight="false" outlineLevel="0" collapsed="false">
      <c r="A1274" s="22" t="n">
        <v>46193</v>
      </c>
      <c r="B1274" s="19" t="s">
        <v>50</v>
      </c>
      <c r="C1274" s="19" t="s">
        <v>12</v>
      </c>
      <c r="D1274" s="19" t="s">
        <v>58</v>
      </c>
      <c r="E1274" s="20" t="n">
        <v>47184</v>
      </c>
      <c r="F1274" s="20" t="n">
        <v>0</v>
      </c>
    </row>
    <row r="1275" customFormat="false" ht="15" hidden="false" customHeight="false" outlineLevel="0" collapsed="false">
      <c r="A1275" s="22" t="n">
        <v>46193</v>
      </c>
      <c r="B1275" s="19" t="s">
        <v>50</v>
      </c>
      <c r="C1275" s="19" t="s">
        <v>11</v>
      </c>
      <c r="D1275" s="19" t="s">
        <v>110</v>
      </c>
      <c r="E1275" s="20" t="n">
        <v>16159</v>
      </c>
      <c r="F1275" s="20" t="n">
        <v>0</v>
      </c>
    </row>
    <row r="1276" customFormat="false" ht="15" hidden="false" customHeight="false" outlineLevel="0" collapsed="false">
      <c r="A1276" s="22" t="n">
        <v>46193</v>
      </c>
      <c r="B1276" s="19" t="s">
        <v>50</v>
      </c>
      <c r="C1276" s="19" t="s">
        <v>12</v>
      </c>
      <c r="D1276" s="19" t="s">
        <v>118</v>
      </c>
      <c r="E1276" s="20" t="n">
        <v>431401</v>
      </c>
      <c r="F1276" s="20" t="n">
        <v>1968809</v>
      </c>
    </row>
    <row r="1277" customFormat="false" ht="15" hidden="false" customHeight="false" outlineLevel="0" collapsed="false">
      <c r="A1277" s="22" t="n">
        <v>46193</v>
      </c>
      <c r="B1277" s="19" t="s">
        <v>50</v>
      </c>
      <c r="C1277" s="19" t="s">
        <v>12</v>
      </c>
      <c r="D1277" s="19" t="s">
        <v>112</v>
      </c>
      <c r="E1277" s="20" t="n">
        <v>136172</v>
      </c>
      <c r="F1277" s="20" t="n">
        <v>708837</v>
      </c>
    </row>
    <row r="1278" customFormat="false" ht="15" hidden="false" customHeight="false" outlineLevel="0" collapsed="false">
      <c r="A1278" s="22" t="n">
        <v>46193</v>
      </c>
      <c r="B1278" s="19" t="s">
        <v>50</v>
      </c>
      <c r="C1278" s="19" t="s">
        <v>15</v>
      </c>
      <c r="D1278" s="19" t="s">
        <v>97</v>
      </c>
      <c r="E1278" s="20" t="n">
        <v>7407</v>
      </c>
      <c r="F1278" s="20" t="n">
        <v>0</v>
      </c>
    </row>
    <row r="1279" customFormat="false" ht="15" hidden="false" customHeight="false" outlineLevel="0" collapsed="false">
      <c r="A1279" s="22" t="n">
        <v>46193</v>
      </c>
      <c r="B1279" s="19" t="s">
        <v>50</v>
      </c>
      <c r="C1279" s="19" t="s">
        <v>11</v>
      </c>
      <c r="D1279" s="19" t="s">
        <v>98</v>
      </c>
      <c r="E1279" s="20" t="n">
        <v>16712</v>
      </c>
      <c r="F1279" s="20" t="n">
        <v>0</v>
      </c>
    </row>
    <row r="1280" customFormat="false" ht="15" hidden="false" customHeight="false" outlineLevel="0" collapsed="false">
      <c r="A1280" s="22" t="n">
        <v>46193</v>
      </c>
      <c r="B1280" s="19" t="s">
        <v>50</v>
      </c>
      <c r="C1280" s="19" t="s">
        <v>11</v>
      </c>
      <c r="D1280" s="19" t="s">
        <v>63</v>
      </c>
      <c r="E1280" s="20" t="n">
        <v>8455</v>
      </c>
      <c r="F1280" s="20" t="n">
        <v>0</v>
      </c>
    </row>
    <row r="1281" customFormat="false" ht="15" hidden="false" customHeight="false" outlineLevel="0" collapsed="false">
      <c r="A1281" s="22" t="n">
        <v>46193</v>
      </c>
      <c r="B1281" s="19" t="s">
        <v>50</v>
      </c>
      <c r="C1281" s="19" t="s">
        <v>13</v>
      </c>
      <c r="D1281" s="19" t="s">
        <v>117</v>
      </c>
      <c r="E1281" s="20" t="n">
        <v>358518</v>
      </c>
      <c r="F1281" s="20" t="n">
        <v>1773952</v>
      </c>
    </row>
    <row r="1282" customFormat="false" ht="15" hidden="false" customHeight="false" outlineLevel="0" collapsed="false">
      <c r="A1282" s="22" t="n">
        <v>46194</v>
      </c>
      <c r="B1282" s="19" t="s">
        <v>50</v>
      </c>
      <c r="C1282" s="19" t="s">
        <v>16</v>
      </c>
      <c r="D1282" s="19" t="s">
        <v>119</v>
      </c>
      <c r="E1282" s="20" t="n">
        <v>94355</v>
      </c>
      <c r="F1282" s="20" t="n">
        <v>497572</v>
      </c>
    </row>
    <row r="1283" customFormat="false" ht="15" hidden="false" customHeight="false" outlineLevel="0" collapsed="false">
      <c r="A1283" s="22" t="n">
        <v>46194</v>
      </c>
      <c r="B1283" s="19" t="s">
        <v>50</v>
      </c>
      <c r="C1283" s="19" t="s">
        <v>12</v>
      </c>
      <c r="D1283" s="19" t="s">
        <v>72</v>
      </c>
      <c r="E1283" s="20" t="n">
        <v>108201</v>
      </c>
      <c r="F1283" s="20" t="n">
        <v>596000</v>
      </c>
    </row>
    <row r="1284" customFormat="false" ht="15" hidden="false" customHeight="false" outlineLevel="0" collapsed="false">
      <c r="A1284" s="22" t="n">
        <v>46194</v>
      </c>
      <c r="B1284" s="19" t="s">
        <v>50</v>
      </c>
      <c r="C1284" s="19" t="s">
        <v>12</v>
      </c>
      <c r="D1284" s="19" t="s">
        <v>58</v>
      </c>
      <c r="E1284" s="20" t="n">
        <v>27644</v>
      </c>
      <c r="F1284" s="20" t="n">
        <v>0</v>
      </c>
    </row>
    <row r="1285" customFormat="false" ht="15" hidden="false" customHeight="false" outlineLevel="0" collapsed="false">
      <c r="A1285" s="22" t="n">
        <v>46194</v>
      </c>
      <c r="B1285" s="19" t="s">
        <v>50</v>
      </c>
      <c r="C1285" s="19" t="s">
        <v>11</v>
      </c>
      <c r="D1285" s="19" t="s">
        <v>110</v>
      </c>
      <c r="E1285" s="20" t="n">
        <v>19694</v>
      </c>
      <c r="F1285" s="20" t="n">
        <v>0</v>
      </c>
    </row>
    <row r="1286" customFormat="false" ht="15" hidden="false" customHeight="false" outlineLevel="0" collapsed="false">
      <c r="A1286" s="22" t="n">
        <v>46194</v>
      </c>
      <c r="B1286" s="19" t="s">
        <v>50</v>
      </c>
      <c r="C1286" s="19" t="s">
        <v>16</v>
      </c>
      <c r="D1286" s="19" t="s">
        <v>59</v>
      </c>
      <c r="E1286" s="20" t="n">
        <v>3319</v>
      </c>
      <c r="F1286" s="20" t="n">
        <v>0</v>
      </c>
    </row>
    <row r="1287" customFormat="false" ht="15" hidden="false" customHeight="false" outlineLevel="0" collapsed="false">
      <c r="A1287" s="22" t="n">
        <v>46194</v>
      </c>
      <c r="B1287" s="19" t="s">
        <v>50</v>
      </c>
      <c r="C1287" s="19" t="s">
        <v>12</v>
      </c>
      <c r="D1287" s="19" t="s">
        <v>118</v>
      </c>
      <c r="E1287" s="20" t="n">
        <v>374388</v>
      </c>
      <c r="F1287" s="20" t="n">
        <v>1534071</v>
      </c>
    </row>
    <row r="1288" customFormat="false" ht="15" hidden="false" customHeight="false" outlineLevel="0" collapsed="false">
      <c r="A1288" s="22" t="n">
        <v>46194</v>
      </c>
      <c r="B1288" s="19" t="s">
        <v>50</v>
      </c>
      <c r="C1288" s="19" t="s">
        <v>12</v>
      </c>
      <c r="D1288" s="19" t="s">
        <v>112</v>
      </c>
      <c r="E1288" s="20" t="n">
        <v>15803</v>
      </c>
      <c r="F1288" s="20" t="n">
        <v>0</v>
      </c>
    </row>
    <row r="1289" customFormat="false" ht="15" hidden="false" customHeight="false" outlineLevel="0" collapsed="false">
      <c r="A1289" s="22" t="n">
        <v>46194</v>
      </c>
      <c r="B1289" s="19" t="s">
        <v>50</v>
      </c>
      <c r="C1289" s="19" t="s">
        <v>15</v>
      </c>
      <c r="D1289" s="19" t="s">
        <v>97</v>
      </c>
      <c r="E1289" s="20" t="n">
        <v>11216</v>
      </c>
      <c r="F1289" s="20" t="n">
        <v>0</v>
      </c>
    </row>
    <row r="1290" customFormat="false" ht="15" hidden="false" customHeight="false" outlineLevel="0" collapsed="false">
      <c r="A1290" s="22" t="n">
        <v>46194</v>
      </c>
      <c r="B1290" s="19" t="s">
        <v>50</v>
      </c>
      <c r="C1290" s="19" t="s">
        <v>11</v>
      </c>
      <c r="D1290" s="19" t="s">
        <v>63</v>
      </c>
      <c r="E1290" s="20" t="n">
        <v>5237</v>
      </c>
      <c r="F1290" s="20" t="n">
        <v>0</v>
      </c>
    </row>
    <row r="1291" customFormat="false" ht="15" hidden="false" customHeight="false" outlineLevel="0" collapsed="false">
      <c r="A1291" s="22" t="n">
        <v>46194</v>
      </c>
      <c r="B1291" s="19" t="s">
        <v>50</v>
      </c>
      <c r="C1291" s="19" t="s">
        <v>11</v>
      </c>
      <c r="D1291" s="19" t="s">
        <v>98</v>
      </c>
      <c r="E1291" s="20" t="n">
        <v>15599</v>
      </c>
      <c r="F1291" s="20" t="n">
        <v>0</v>
      </c>
    </row>
    <row r="1292" customFormat="false" ht="15" hidden="false" customHeight="false" outlineLevel="0" collapsed="false">
      <c r="A1292" s="22" t="n">
        <v>46194</v>
      </c>
      <c r="B1292" s="19" t="s">
        <v>50</v>
      </c>
      <c r="C1292" s="19" t="s">
        <v>13</v>
      </c>
      <c r="D1292" s="19" t="s">
        <v>117</v>
      </c>
      <c r="E1292" s="20" t="n">
        <v>699158</v>
      </c>
      <c r="F1292" s="20" t="n">
        <v>4113382</v>
      </c>
    </row>
    <row r="1293" customFormat="false" ht="15" hidden="false" customHeight="false" outlineLevel="0" collapsed="false">
      <c r="A1293" s="22" t="n">
        <v>46195</v>
      </c>
      <c r="B1293" s="19" t="s">
        <v>50</v>
      </c>
      <c r="C1293" s="19" t="s">
        <v>12</v>
      </c>
      <c r="D1293" s="19" t="s">
        <v>58</v>
      </c>
      <c r="E1293" s="20" t="n">
        <v>37264</v>
      </c>
      <c r="F1293" s="20" t="n">
        <v>0</v>
      </c>
    </row>
    <row r="1294" customFormat="false" ht="15" hidden="false" customHeight="false" outlineLevel="0" collapsed="false">
      <c r="A1294" s="22" t="n">
        <v>46195</v>
      </c>
      <c r="B1294" s="19" t="s">
        <v>50</v>
      </c>
      <c r="C1294" s="19" t="s">
        <v>16</v>
      </c>
      <c r="D1294" s="19" t="s">
        <v>119</v>
      </c>
      <c r="E1294" s="20" t="n">
        <v>12331</v>
      </c>
      <c r="F1294" s="20" t="n">
        <v>30000</v>
      </c>
    </row>
    <row r="1295" customFormat="false" ht="15" hidden="false" customHeight="false" outlineLevel="0" collapsed="false">
      <c r="A1295" s="22" t="n">
        <v>46195</v>
      </c>
      <c r="B1295" s="19" t="s">
        <v>50</v>
      </c>
      <c r="C1295" s="19" t="s">
        <v>11</v>
      </c>
      <c r="D1295" s="19" t="s">
        <v>110</v>
      </c>
      <c r="E1295" s="20" t="n">
        <v>9427</v>
      </c>
      <c r="F1295" s="20" t="n">
        <v>0</v>
      </c>
    </row>
    <row r="1296" customFormat="false" ht="15" hidden="false" customHeight="false" outlineLevel="0" collapsed="false">
      <c r="A1296" s="22" t="n">
        <v>46195</v>
      </c>
      <c r="B1296" s="19" t="s">
        <v>50</v>
      </c>
      <c r="C1296" s="19" t="s">
        <v>12</v>
      </c>
      <c r="D1296" s="19" t="s">
        <v>72</v>
      </c>
      <c r="E1296" s="20" t="n">
        <v>29866</v>
      </c>
      <c r="F1296" s="20" t="n">
        <v>138868</v>
      </c>
    </row>
    <row r="1297" customFormat="false" ht="15" hidden="false" customHeight="false" outlineLevel="0" collapsed="false">
      <c r="A1297" s="22" t="n">
        <v>46195</v>
      </c>
      <c r="B1297" s="19" t="s">
        <v>50</v>
      </c>
      <c r="C1297" s="19" t="s">
        <v>16</v>
      </c>
      <c r="D1297" s="19" t="s">
        <v>59</v>
      </c>
      <c r="E1297" s="20" t="n">
        <v>2459</v>
      </c>
      <c r="F1297" s="20" t="n">
        <v>0</v>
      </c>
    </row>
    <row r="1298" customFormat="false" ht="15" hidden="false" customHeight="false" outlineLevel="0" collapsed="false">
      <c r="A1298" s="22" t="n">
        <v>46195</v>
      </c>
      <c r="B1298" s="19" t="s">
        <v>50</v>
      </c>
      <c r="C1298" s="19" t="s">
        <v>13</v>
      </c>
      <c r="D1298" s="19" t="s">
        <v>120</v>
      </c>
      <c r="E1298" s="20" t="n">
        <v>400000</v>
      </c>
      <c r="F1298" s="20" t="n">
        <v>1995251</v>
      </c>
    </row>
    <row r="1299" customFormat="false" ht="15" hidden="false" customHeight="false" outlineLevel="0" collapsed="false">
      <c r="A1299" s="22" t="n">
        <v>46195</v>
      </c>
      <c r="B1299" s="19" t="s">
        <v>50</v>
      </c>
      <c r="C1299" s="19" t="s">
        <v>12</v>
      </c>
      <c r="D1299" s="19" t="s">
        <v>118</v>
      </c>
      <c r="E1299" s="20" t="n">
        <v>268632</v>
      </c>
      <c r="F1299" s="20" t="n">
        <v>1210322</v>
      </c>
    </row>
    <row r="1300" customFormat="false" ht="15" hidden="false" customHeight="false" outlineLevel="0" collapsed="false">
      <c r="A1300" s="22" t="n">
        <v>46195</v>
      </c>
      <c r="B1300" s="19" t="s">
        <v>50</v>
      </c>
      <c r="C1300" s="19" t="s">
        <v>12</v>
      </c>
      <c r="D1300" s="19" t="s">
        <v>112</v>
      </c>
      <c r="E1300" s="20" t="n">
        <v>48787</v>
      </c>
      <c r="F1300" s="20" t="n">
        <v>249900</v>
      </c>
    </row>
    <row r="1301" customFormat="false" ht="15" hidden="false" customHeight="false" outlineLevel="0" collapsed="false">
      <c r="A1301" s="22" t="n">
        <v>46195</v>
      </c>
      <c r="B1301" s="19" t="s">
        <v>50</v>
      </c>
      <c r="C1301" s="19" t="s">
        <v>11</v>
      </c>
      <c r="D1301" s="19" t="s">
        <v>98</v>
      </c>
      <c r="E1301" s="20" t="n">
        <v>84292</v>
      </c>
      <c r="F1301" s="20" t="n">
        <v>345000</v>
      </c>
    </row>
    <row r="1302" customFormat="false" ht="15" hidden="false" customHeight="false" outlineLevel="0" collapsed="false">
      <c r="A1302" s="22" t="n">
        <v>46195</v>
      </c>
      <c r="B1302" s="19" t="s">
        <v>50</v>
      </c>
      <c r="C1302" s="19" t="s">
        <v>15</v>
      </c>
      <c r="D1302" s="19" t="s">
        <v>97</v>
      </c>
      <c r="E1302" s="20" t="n">
        <v>19991</v>
      </c>
      <c r="F1302" s="20" t="n">
        <v>103240</v>
      </c>
    </row>
    <row r="1303" customFormat="false" ht="15" hidden="false" customHeight="false" outlineLevel="0" collapsed="false">
      <c r="A1303" s="22" t="n">
        <v>46195</v>
      </c>
      <c r="B1303" s="19" t="s">
        <v>50</v>
      </c>
      <c r="C1303" s="19" t="s">
        <v>11</v>
      </c>
      <c r="D1303" s="19" t="s">
        <v>63</v>
      </c>
      <c r="E1303" s="20" t="n">
        <v>3348</v>
      </c>
      <c r="F1303" s="20" t="n">
        <v>0</v>
      </c>
    </row>
    <row r="1304" customFormat="false" ht="15" hidden="false" customHeight="false" outlineLevel="0" collapsed="false">
      <c r="A1304" s="22" t="n">
        <v>46195</v>
      </c>
      <c r="B1304" s="19" t="s">
        <v>50</v>
      </c>
      <c r="C1304" s="19" t="s">
        <v>13</v>
      </c>
      <c r="D1304" s="19" t="s">
        <v>117</v>
      </c>
      <c r="E1304" s="20" t="n">
        <v>153989</v>
      </c>
      <c r="F1304" s="20" t="n">
        <v>991834</v>
      </c>
    </row>
    <row r="1305" customFormat="false" ht="15" hidden="false" customHeight="false" outlineLevel="0" collapsed="false">
      <c r="A1305" s="22" t="n">
        <v>46196</v>
      </c>
      <c r="B1305" s="19" t="s">
        <v>50</v>
      </c>
      <c r="C1305" s="19" t="s">
        <v>16</v>
      </c>
      <c r="D1305" s="19" t="s">
        <v>59</v>
      </c>
      <c r="E1305" s="20" t="n">
        <v>57198</v>
      </c>
      <c r="F1305" s="20" t="n">
        <v>738519</v>
      </c>
    </row>
    <row r="1306" customFormat="false" ht="15" hidden="false" customHeight="false" outlineLevel="0" collapsed="false">
      <c r="A1306" s="22" t="n">
        <v>46196</v>
      </c>
      <c r="B1306" s="19" t="s">
        <v>50</v>
      </c>
      <c r="C1306" s="19" t="s">
        <v>12</v>
      </c>
      <c r="D1306" s="19" t="s">
        <v>72</v>
      </c>
      <c r="E1306" s="20" t="n">
        <v>149843</v>
      </c>
      <c r="F1306" s="20" t="n">
        <v>1038131</v>
      </c>
    </row>
    <row r="1307" customFormat="false" ht="15" hidden="false" customHeight="false" outlineLevel="0" collapsed="false">
      <c r="A1307" s="22" t="n">
        <v>46196</v>
      </c>
      <c r="B1307" s="19" t="s">
        <v>50</v>
      </c>
      <c r="C1307" s="19" t="s">
        <v>11</v>
      </c>
      <c r="D1307" s="19" t="s">
        <v>110</v>
      </c>
      <c r="E1307" s="20" t="n">
        <v>94271</v>
      </c>
      <c r="F1307" s="20" t="n">
        <v>271754</v>
      </c>
    </row>
    <row r="1308" customFormat="false" ht="15" hidden="false" customHeight="false" outlineLevel="0" collapsed="false">
      <c r="A1308" s="22" t="n">
        <v>46196</v>
      </c>
      <c r="B1308" s="19" t="s">
        <v>50</v>
      </c>
      <c r="C1308" s="19" t="s">
        <v>16</v>
      </c>
      <c r="D1308" s="19" t="s">
        <v>119</v>
      </c>
      <c r="E1308" s="20" t="n">
        <v>23493</v>
      </c>
      <c r="F1308" s="20" t="n">
        <v>114000</v>
      </c>
    </row>
    <row r="1309" customFormat="false" ht="15" hidden="false" customHeight="false" outlineLevel="0" collapsed="false">
      <c r="A1309" s="22" t="n">
        <v>46196</v>
      </c>
      <c r="B1309" s="19" t="s">
        <v>50</v>
      </c>
      <c r="C1309" s="19" t="s">
        <v>12</v>
      </c>
      <c r="D1309" s="19" t="s">
        <v>58</v>
      </c>
      <c r="E1309" s="20" t="n">
        <v>26620</v>
      </c>
      <c r="F1309" s="20" t="n">
        <v>0</v>
      </c>
    </row>
    <row r="1310" customFormat="false" ht="15" hidden="false" customHeight="false" outlineLevel="0" collapsed="false">
      <c r="A1310" s="22" t="n">
        <v>46196</v>
      </c>
      <c r="B1310" s="19" t="s">
        <v>50</v>
      </c>
      <c r="C1310" s="19" t="s">
        <v>12</v>
      </c>
      <c r="D1310" s="19" t="s">
        <v>118</v>
      </c>
      <c r="E1310" s="20" t="n">
        <v>551874</v>
      </c>
      <c r="F1310" s="20" t="n">
        <v>2584007</v>
      </c>
    </row>
    <row r="1311" customFormat="false" ht="15" hidden="false" customHeight="false" outlineLevel="0" collapsed="false">
      <c r="A1311" s="22" t="n">
        <v>46196</v>
      </c>
      <c r="B1311" s="19" t="s">
        <v>50</v>
      </c>
      <c r="C1311" s="19" t="s">
        <v>13</v>
      </c>
      <c r="D1311" s="19" t="s">
        <v>120</v>
      </c>
      <c r="E1311" s="20" t="n">
        <v>289013</v>
      </c>
      <c r="F1311" s="20" t="n">
        <v>1825966</v>
      </c>
    </row>
    <row r="1312" customFormat="false" ht="15" hidden="false" customHeight="false" outlineLevel="0" collapsed="false">
      <c r="A1312" s="22" t="n">
        <v>46196</v>
      </c>
      <c r="B1312" s="19" t="s">
        <v>50</v>
      </c>
      <c r="C1312" s="19" t="s">
        <v>12</v>
      </c>
      <c r="D1312" s="19" t="s">
        <v>112</v>
      </c>
      <c r="E1312" s="20" t="n">
        <v>96421</v>
      </c>
      <c r="F1312" s="20" t="n">
        <v>320234</v>
      </c>
    </row>
    <row r="1313" customFormat="false" ht="15" hidden="false" customHeight="false" outlineLevel="0" collapsed="false">
      <c r="A1313" s="22" t="n">
        <v>46196</v>
      </c>
      <c r="B1313" s="19" t="s">
        <v>50</v>
      </c>
      <c r="C1313" s="19" t="s">
        <v>11</v>
      </c>
      <c r="D1313" s="19" t="s">
        <v>63</v>
      </c>
      <c r="E1313" s="20" t="n">
        <v>57794</v>
      </c>
      <c r="F1313" s="20" t="n">
        <v>307200</v>
      </c>
    </row>
    <row r="1314" customFormat="false" ht="15" hidden="false" customHeight="false" outlineLevel="0" collapsed="false">
      <c r="A1314" s="22" t="n">
        <v>46196</v>
      </c>
      <c r="B1314" s="19" t="s">
        <v>50</v>
      </c>
      <c r="C1314" s="19" t="s">
        <v>12</v>
      </c>
      <c r="D1314" s="19" t="s">
        <v>121</v>
      </c>
      <c r="E1314" s="20" t="n">
        <v>16680</v>
      </c>
      <c r="F1314" s="20" t="n">
        <v>0</v>
      </c>
    </row>
    <row r="1315" customFormat="false" ht="15" hidden="false" customHeight="false" outlineLevel="0" collapsed="false">
      <c r="A1315" s="22" t="n">
        <v>46196</v>
      </c>
      <c r="B1315" s="19" t="s">
        <v>50</v>
      </c>
      <c r="C1315" s="19" t="s">
        <v>15</v>
      </c>
      <c r="D1315" s="19" t="s">
        <v>97</v>
      </c>
      <c r="E1315" s="20" t="n">
        <v>6100</v>
      </c>
      <c r="F1315" s="20" t="n">
        <v>0</v>
      </c>
    </row>
    <row r="1316" customFormat="false" ht="15" hidden="false" customHeight="false" outlineLevel="0" collapsed="false">
      <c r="A1316" s="22" t="n">
        <v>46196</v>
      </c>
      <c r="B1316" s="19" t="s">
        <v>50</v>
      </c>
      <c r="C1316" s="19" t="s">
        <v>11</v>
      </c>
      <c r="D1316" s="19" t="s">
        <v>98</v>
      </c>
      <c r="E1316" s="20" t="n">
        <v>13773</v>
      </c>
      <c r="F1316" s="20" t="n">
        <v>0</v>
      </c>
    </row>
    <row r="1317" customFormat="false" ht="15" hidden="false" customHeight="false" outlineLevel="0" collapsed="false">
      <c r="A1317" s="22" t="n">
        <v>46197</v>
      </c>
      <c r="B1317" s="19" t="s">
        <v>50</v>
      </c>
      <c r="C1317" s="19" t="s">
        <v>16</v>
      </c>
      <c r="D1317" s="19" t="s">
        <v>59</v>
      </c>
      <c r="E1317" s="20" t="n">
        <v>229347</v>
      </c>
      <c r="F1317" s="20" t="n">
        <v>898200</v>
      </c>
    </row>
    <row r="1318" customFormat="false" ht="15" hidden="false" customHeight="false" outlineLevel="0" collapsed="false">
      <c r="A1318" s="22" t="n">
        <v>46197</v>
      </c>
      <c r="B1318" s="19" t="s">
        <v>50</v>
      </c>
      <c r="C1318" s="19" t="s">
        <v>16</v>
      </c>
      <c r="D1318" s="19" t="s">
        <v>119</v>
      </c>
      <c r="E1318" s="20" t="n">
        <v>257475</v>
      </c>
      <c r="F1318" s="20" t="n">
        <v>1384211</v>
      </c>
    </row>
    <row r="1319" customFormat="false" ht="15" hidden="false" customHeight="false" outlineLevel="0" collapsed="false">
      <c r="A1319" s="22" t="n">
        <v>46197</v>
      </c>
      <c r="B1319" s="19" t="s">
        <v>50</v>
      </c>
      <c r="C1319" s="19" t="s">
        <v>11</v>
      </c>
      <c r="D1319" s="19" t="s">
        <v>110</v>
      </c>
      <c r="E1319" s="20" t="n">
        <v>46534</v>
      </c>
      <c r="F1319" s="20" t="n">
        <v>238924</v>
      </c>
    </row>
    <row r="1320" customFormat="false" ht="15" hidden="false" customHeight="false" outlineLevel="0" collapsed="false">
      <c r="A1320" s="22" t="n">
        <v>46197</v>
      </c>
      <c r="B1320" s="19" t="s">
        <v>50</v>
      </c>
      <c r="C1320" s="19" t="s">
        <v>12</v>
      </c>
      <c r="D1320" s="19" t="s">
        <v>72</v>
      </c>
      <c r="E1320" s="20" t="n">
        <v>24878</v>
      </c>
      <c r="F1320" s="20" t="n">
        <v>0</v>
      </c>
    </row>
    <row r="1321" customFormat="false" ht="15" hidden="false" customHeight="false" outlineLevel="0" collapsed="false">
      <c r="A1321" s="22" t="n">
        <v>46197</v>
      </c>
      <c r="B1321" s="19" t="s">
        <v>50</v>
      </c>
      <c r="C1321" s="19" t="s">
        <v>12</v>
      </c>
      <c r="D1321" s="19" t="s">
        <v>58</v>
      </c>
      <c r="E1321" s="20" t="n">
        <v>22155</v>
      </c>
      <c r="F1321" s="20" t="n">
        <v>0</v>
      </c>
    </row>
    <row r="1322" customFormat="false" ht="15" hidden="false" customHeight="false" outlineLevel="0" collapsed="false">
      <c r="A1322" s="22" t="n">
        <v>46197</v>
      </c>
      <c r="B1322" s="19" t="s">
        <v>50</v>
      </c>
      <c r="C1322" s="19" t="s">
        <v>13</v>
      </c>
      <c r="D1322" s="19" t="s">
        <v>120</v>
      </c>
      <c r="E1322" s="20" t="n">
        <v>900000</v>
      </c>
      <c r="F1322" s="20" t="n">
        <v>4366188</v>
      </c>
    </row>
    <row r="1323" customFormat="false" ht="15" hidden="false" customHeight="false" outlineLevel="0" collapsed="false">
      <c r="A1323" s="22" t="n">
        <v>46197</v>
      </c>
      <c r="B1323" s="19" t="s">
        <v>50</v>
      </c>
      <c r="C1323" s="19" t="s">
        <v>12</v>
      </c>
      <c r="D1323" s="19" t="s">
        <v>112</v>
      </c>
      <c r="E1323" s="20" t="n">
        <v>188820</v>
      </c>
      <c r="F1323" s="20" t="n">
        <v>1046268</v>
      </c>
    </row>
    <row r="1324" customFormat="false" ht="15" hidden="false" customHeight="false" outlineLevel="0" collapsed="false">
      <c r="A1324" s="22" t="n">
        <v>46197</v>
      </c>
      <c r="B1324" s="19" t="s">
        <v>50</v>
      </c>
      <c r="C1324" s="19" t="s">
        <v>12</v>
      </c>
      <c r="D1324" s="19" t="s">
        <v>118</v>
      </c>
      <c r="E1324" s="20" t="n">
        <v>291666</v>
      </c>
      <c r="F1324" s="20" t="n">
        <v>1321534</v>
      </c>
    </row>
    <row r="1325" customFormat="false" ht="15" hidden="false" customHeight="false" outlineLevel="0" collapsed="false">
      <c r="A1325" s="22" t="n">
        <v>46197</v>
      </c>
      <c r="B1325" s="19" t="s">
        <v>50</v>
      </c>
      <c r="C1325" s="19" t="s">
        <v>12</v>
      </c>
      <c r="D1325" s="19" t="s">
        <v>121</v>
      </c>
      <c r="E1325" s="20" t="n">
        <v>38016</v>
      </c>
      <c r="F1325" s="20" t="n">
        <v>431952</v>
      </c>
    </row>
    <row r="1326" customFormat="false" ht="15" hidden="false" customHeight="false" outlineLevel="0" collapsed="false">
      <c r="A1326" s="22" t="n">
        <v>46197</v>
      </c>
      <c r="B1326" s="19" t="s">
        <v>50</v>
      </c>
      <c r="C1326" s="19" t="s">
        <v>11</v>
      </c>
      <c r="D1326" s="19" t="s">
        <v>63</v>
      </c>
      <c r="E1326" s="20" t="n">
        <v>33652</v>
      </c>
      <c r="F1326" s="20" t="n">
        <v>156000</v>
      </c>
    </row>
    <row r="1327" customFormat="false" ht="15" hidden="false" customHeight="false" outlineLevel="0" collapsed="false">
      <c r="A1327" s="22" t="n">
        <v>46197</v>
      </c>
      <c r="B1327" s="19" t="s">
        <v>50</v>
      </c>
      <c r="C1327" s="19" t="s">
        <v>11</v>
      </c>
      <c r="D1327" s="19" t="s">
        <v>98</v>
      </c>
      <c r="E1327" s="20" t="n">
        <v>56132</v>
      </c>
      <c r="F1327" s="20" t="n">
        <v>221720</v>
      </c>
    </row>
    <row r="1328" customFormat="false" ht="15" hidden="false" customHeight="false" outlineLevel="0" collapsed="false">
      <c r="A1328" s="22" t="n">
        <v>46197</v>
      </c>
      <c r="B1328" s="19" t="s">
        <v>50</v>
      </c>
      <c r="C1328" s="19" t="s">
        <v>15</v>
      </c>
      <c r="D1328" s="19" t="s">
        <v>97</v>
      </c>
      <c r="E1328" s="20" t="n">
        <v>13625</v>
      </c>
      <c r="F1328" s="20" t="n">
        <v>0</v>
      </c>
    </row>
    <row r="1329" customFormat="false" ht="15" hidden="false" customHeight="false" outlineLevel="0" collapsed="false">
      <c r="A1329" s="22" t="n">
        <v>46198</v>
      </c>
      <c r="B1329" s="19" t="s">
        <v>50</v>
      </c>
      <c r="C1329" s="19" t="s">
        <v>12</v>
      </c>
      <c r="D1329" s="19" t="s">
        <v>58</v>
      </c>
      <c r="E1329" s="20" t="n">
        <v>77872</v>
      </c>
      <c r="F1329" s="20" t="n">
        <v>61000</v>
      </c>
    </row>
    <row r="1330" customFormat="false" ht="15" hidden="false" customHeight="false" outlineLevel="0" collapsed="false">
      <c r="A1330" s="22" t="n">
        <v>46198</v>
      </c>
      <c r="B1330" s="19" t="s">
        <v>50</v>
      </c>
      <c r="C1330" s="19" t="s">
        <v>16</v>
      </c>
      <c r="D1330" s="19" t="s">
        <v>119</v>
      </c>
      <c r="E1330" s="20" t="n">
        <v>68099</v>
      </c>
      <c r="F1330" s="20" t="n">
        <v>146000</v>
      </c>
    </row>
    <row r="1331" customFormat="false" ht="15" hidden="false" customHeight="false" outlineLevel="0" collapsed="false">
      <c r="A1331" s="22" t="n">
        <v>46198</v>
      </c>
      <c r="B1331" s="19" t="s">
        <v>50</v>
      </c>
      <c r="C1331" s="19" t="s">
        <v>11</v>
      </c>
      <c r="D1331" s="19" t="s">
        <v>110</v>
      </c>
      <c r="E1331" s="20" t="n">
        <v>60637</v>
      </c>
      <c r="F1331" s="20" t="n">
        <v>238924</v>
      </c>
    </row>
    <row r="1332" customFormat="false" ht="15" hidden="false" customHeight="false" outlineLevel="0" collapsed="false">
      <c r="A1332" s="22" t="n">
        <v>46198</v>
      </c>
      <c r="B1332" s="19" t="s">
        <v>50</v>
      </c>
      <c r="C1332" s="19" t="s">
        <v>16</v>
      </c>
      <c r="D1332" s="19" t="s">
        <v>59</v>
      </c>
      <c r="E1332" s="20" t="n">
        <v>33956</v>
      </c>
      <c r="F1332" s="20" t="n">
        <v>0</v>
      </c>
    </row>
    <row r="1333" customFormat="false" ht="15" hidden="false" customHeight="false" outlineLevel="0" collapsed="false">
      <c r="A1333" s="22" t="n">
        <v>46198</v>
      </c>
      <c r="B1333" s="19" t="s">
        <v>50</v>
      </c>
      <c r="C1333" s="19" t="s">
        <v>12</v>
      </c>
      <c r="D1333" s="19" t="s">
        <v>72</v>
      </c>
      <c r="E1333" s="20" t="n">
        <v>22256</v>
      </c>
      <c r="F1333" s="20" t="n">
        <v>0</v>
      </c>
    </row>
    <row r="1334" customFormat="false" ht="15" hidden="false" customHeight="false" outlineLevel="0" collapsed="false">
      <c r="A1334" s="22" t="n">
        <v>46198</v>
      </c>
      <c r="B1334" s="19" t="s">
        <v>50</v>
      </c>
      <c r="C1334" s="19" t="s">
        <v>13</v>
      </c>
      <c r="D1334" s="19" t="s">
        <v>120</v>
      </c>
      <c r="E1334" s="20" t="n">
        <v>699048</v>
      </c>
      <c r="F1334" s="20" t="n">
        <v>3119469</v>
      </c>
    </row>
    <row r="1335" customFormat="false" ht="15" hidden="false" customHeight="false" outlineLevel="0" collapsed="false">
      <c r="A1335" s="22" t="n">
        <v>46198</v>
      </c>
      <c r="B1335" s="19" t="s">
        <v>50</v>
      </c>
      <c r="C1335" s="19" t="s">
        <v>11</v>
      </c>
      <c r="D1335" s="19" t="s">
        <v>63</v>
      </c>
      <c r="E1335" s="20" t="n">
        <v>200000</v>
      </c>
      <c r="F1335" s="20" t="n">
        <v>1366034</v>
      </c>
    </row>
    <row r="1336" customFormat="false" ht="15" hidden="false" customHeight="false" outlineLevel="0" collapsed="false">
      <c r="A1336" s="22" t="n">
        <v>46198</v>
      </c>
      <c r="B1336" s="19" t="s">
        <v>50</v>
      </c>
      <c r="C1336" s="19" t="s">
        <v>12</v>
      </c>
      <c r="D1336" s="19" t="s">
        <v>112</v>
      </c>
      <c r="E1336" s="20" t="n">
        <v>130554</v>
      </c>
      <c r="F1336" s="20" t="n">
        <v>507200</v>
      </c>
    </row>
    <row r="1337" customFormat="false" ht="15" hidden="false" customHeight="false" outlineLevel="0" collapsed="false">
      <c r="A1337" s="22" t="n">
        <v>46198</v>
      </c>
      <c r="B1337" s="19" t="s">
        <v>50</v>
      </c>
      <c r="C1337" s="19" t="s">
        <v>12</v>
      </c>
      <c r="D1337" s="19" t="s">
        <v>121</v>
      </c>
      <c r="E1337" s="20" t="n">
        <v>40594</v>
      </c>
      <c r="F1337" s="20" t="n">
        <v>209171</v>
      </c>
    </row>
    <row r="1338" customFormat="false" ht="15" hidden="false" customHeight="false" outlineLevel="0" collapsed="false">
      <c r="A1338" s="22" t="n">
        <v>46198</v>
      </c>
      <c r="B1338" s="19" t="s">
        <v>50</v>
      </c>
      <c r="C1338" s="19" t="s">
        <v>12</v>
      </c>
      <c r="D1338" s="19" t="s">
        <v>118</v>
      </c>
      <c r="E1338" s="20" t="n">
        <v>144779</v>
      </c>
      <c r="F1338" s="20" t="n">
        <v>0</v>
      </c>
    </row>
    <row r="1339" customFormat="false" ht="15" hidden="false" customHeight="false" outlineLevel="0" collapsed="false">
      <c r="A1339" s="22" t="n">
        <v>46198</v>
      </c>
      <c r="B1339" s="19" t="s">
        <v>50</v>
      </c>
      <c r="C1339" s="19" t="s">
        <v>15</v>
      </c>
      <c r="D1339" s="19" t="s">
        <v>97</v>
      </c>
      <c r="E1339" s="20" t="n">
        <v>68732</v>
      </c>
      <c r="F1339" s="20" t="n">
        <v>318540</v>
      </c>
    </row>
    <row r="1340" customFormat="false" ht="15" hidden="false" customHeight="false" outlineLevel="0" collapsed="false">
      <c r="A1340" s="22" t="n">
        <v>46198</v>
      </c>
      <c r="B1340" s="19" t="s">
        <v>50</v>
      </c>
      <c r="C1340" s="19" t="s">
        <v>11</v>
      </c>
      <c r="D1340" s="19" t="s">
        <v>98</v>
      </c>
      <c r="E1340" s="20" t="n">
        <v>9775</v>
      </c>
      <c r="F1340" s="20" t="n">
        <v>0</v>
      </c>
    </row>
    <row r="1341" customFormat="false" ht="15" hidden="false" customHeight="false" outlineLevel="0" collapsed="false">
      <c r="A1341" s="22" t="n">
        <v>46199</v>
      </c>
      <c r="B1341" s="19" t="s">
        <v>50</v>
      </c>
      <c r="C1341" s="19" t="s">
        <v>16</v>
      </c>
      <c r="D1341" s="19" t="s">
        <v>119</v>
      </c>
      <c r="E1341" s="20" t="n">
        <v>198867</v>
      </c>
      <c r="F1341" s="20" t="n">
        <v>1105738</v>
      </c>
    </row>
    <row r="1342" customFormat="false" ht="15" hidden="false" customHeight="false" outlineLevel="0" collapsed="false">
      <c r="A1342" s="22" t="n">
        <v>46199</v>
      </c>
      <c r="B1342" s="19" t="s">
        <v>50</v>
      </c>
      <c r="C1342" s="19" t="s">
        <v>12</v>
      </c>
      <c r="D1342" s="19" t="s">
        <v>58</v>
      </c>
      <c r="E1342" s="20" t="n">
        <v>71567</v>
      </c>
      <c r="F1342" s="20" t="n">
        <v>594390</v>
      </c>
    </row>
    <row r="1343" customFormat="false" ht="15" hidden="false" customHeight="false" outlineLevel="0" collapsed="false">
      <c r="A1343" s="22" t="n">
        <v>46199</v>
      </c>
      <c r="B1343" s="19" t="s">
        <v>50</v>
      </c>
      <c r="C1343" s="19" t="s">
        <v>16</v>
      </c>
      <c r="D1343" s="19" t="s">
        <v>59</v>
      </c>
      <c r="E1343" s="20" t="n">
        <v>26844</v>
      </c>
      <c r="F1343" s="20" t="n">
        <v>115000</v>
      </c>
    </row>
    <row r="1344" customFormat="false" ht="15" hidden="false" customHeight="false" outlineLevel="0" collapsed="false">
      <c r="A1344" s="22" t="n">
        <v>46199</v>
      </c>
      <c r="B1344" s="19" t="s">
        <v>50</v>
      </c>
      <c r="C1344" s="19" t="s">
        <v>12</v>
      </c>
      <c r="D1344" s="19" t="s">
        <v>72</v>
      </c>
      <c r="E1344" s="20" t="n">
        <v>17778</v>
      </c>
      <c r="F1344" s="20" t="n">
        <v>115000</v>
      </c>
    </row>
    <row r="1345" customFormat="false" ht="15" hidden="false" customHeight="false" outlineLevel="0" collapsed="false">
      <c r="A1345" s="22" t="n">
        <v>46199</v>
      </c>
      <c r="B1345" s="19" t="s">
        <v>50</v>
      </c>
      <c r="C1345" s="19" t="s">
        <v>11</v>
      </c>
      <c r="D1345" s="19" t="s">
        <v>110</v>
      </c>
      <c r="E1345" s="20" t="n">
        <v>22810</v>
      </c>
      <c r="F1345" s="20" t="n">
        <v>0</v>
      </c>
    </row>
    <row r="1346" customFormat="false" ht="15" hidden="false" customHeight="false" outlineLevel="0" collapsed="false">
      <c r="A1346" s="22" t="n">
        <v>46199</v>
      </c>
      <c r="B1346" s="19" t="s">
        <v>50</v>
      </c>
      <c r="C1346" s="19" t="s">
        <v>13</v>
      </c>
      <c r="D1346" s="19" t="s">
        <v>120</v>
      </c>
      <c r="E1346" s="20" t="n">
        <v>614014</v>
      </c>
      <c r="F1346" s="20" t="n">
        <v>3022315</v>
      </c>
    </row>
    <row r="1347" customFormat="false" ht="15" hidden="false" customHeight="false" outlineLevel="0" collapsed="false">
      <c r="A1347" s="22" t="n">
        <v>46199</v>
      </c>
      <c r="B1347" s="19" t="s">
        <v>50</v>
      </c>
      <c r="C1347" s="19" t="s">
        <v>12</v>
      </c>
      <c r="D1347" s="19" t="s">
        <v>112</v>
      </c>
      <c r="E1347" s="20" t="n">
        <v>183532</v>
      </c>
      <c r="F1347" s="20" t="n">
        <v>907880</v>
      </c>
    </row>
    <row r="1348" customFormat="false" ht="15" hidden="false" customHeight="false" outlineLevel="0" collapsed="false">
      <c r="A1348" s="22" t="n">
        <v>46199</v>
      </c>
      <c r="B1348" s="19" t="s">
        <v>50</v>
      </c>
      <c r="C1348" s="19" t="s">
        <v>12</v>
      </c>
      <c r="D1348" s="19" t="s">
        <v>118</v>
      </c>
      <c r="E1348" s="20" t="n">
        <v>197269</v>
      </c>
      <c r="F1348" s="20" t="n">
        <v>790366</v>
      </c>
    </row>
    <row r="1349" customFormat="false" ht="15" hidden="false" customHeight="false" outlineLevel="0" collapsed="false">
      <c r="A1349" s="22" t="n">
        <v>46199</v>
      </c>
      <c r="B1349" s="19" t="s">
        <v>50</v>
      </c>
      <c r="C1349" s="19" t="s">
        <v>12</v>
      </c>
      <c r="D1349" s="19" t="s">
        <v>121</v>
      </c>
      <c r="E1349" s="20" t="n">
        <v>46483</v>
      </c>
      <c r="F1349" s="20" t="n">
        <v>111780</v>
      </c>
    </row>
    <row r="1350" customFormat="false" ht="15" hidden="false" customHeight="false" outlineLevel="0" collapsed="false">
      <c r="A1350" s="22" t="n">
        <v>46199</v>
      </c>
      <c r="B1350" s="19" t="s">
        <v>50</v>
      </c>
      <c r="C1350" s="19" t="s">
        <v>15</v>
      </c>
      <c r="D1350" s="19" t="s">
        <v>97</v>
      </c>
      <c r="E1350" s="20" t="n">
        <v>23573</v>
      </c>
      <c r="F1350" s="20" t="n">
        <v>111780</v>
      </c>
    </row>
    <row r="1351" customFormat="false" ht="15" hidden="false" customHeight="false" outlineLevel="0" collapsed="false">
      <c r="A1351" s="22" t="n">
        <v>46199</v>
      </c>
      <c r="B1351" s="19" t="s">
        <v>50</v>
      </c>
      <c r="C1351" s="19" t="s">
        <v>11</v>
      </c>
      <c r="D1351" s="19" t="s">
        <v>63</v>
      </c>
      <c r="E1351" s="20" t="n">
        <v>10560</v>
      </c>
      <c r="F1351" s="20" t="n">
        <v>39000</v>
      </c>
    </row>
    <row r="1352" customFormat="false" ht="15" hidden="false" customHeight="false" outlineLevel="0" collapsed="false">
      <c r="A1352" s="22" t="n">
        <v>46199</v>
      </c>
      <c r="B1352" s="19" t="s">
        <v>50</v>
      </c>
      <c r="C1352" s="19" t="s">
        <v>11</v>
      </c>
      <c r="D1352" s="19" t="s">
        <v>98</v>
      </c>
      <c r="E1352" s="20" t="n">
        <v>13458</v>
      </c>
      <c r="F1352" s="20" t="n">
        <v>0</v>
      </c>
    </row>
    <row r="1353" customFormat="false" ht="15" hidden="false" customHeight="false" outlineLevel="0" collapsed="false">
      <c r="A1353" s="22" t="n">
        <v>46200</v>
      </c>
      <c r="B1353" s="19" t="s">
        <v>50</v>
      </c>
      <c r="C1353" s="19" t="s">
        <v>16</v>
      </c>
      <c r="D1353" s="19" t="s">
        <v>119</v>
      </c>
      <c r="E1353" s="20" t="n">
        <v>119614</v>
      </c>
      <c r="F1353" s="20" t="n">
        <v>551824</v>
      </c>
    </row>
    <row r="1354" customFormat="false" ht="15" hidden="false" customHeight="false" outlineLevel="0" collapsed="false">
      <c r="A1354" s="22" t="n">
        <v>46200</v>
      </c>
      <c r="B1354" s="19" t="s">
        <v>50</v>
      </c>
      <c r="C1354" s="19" t="s">
        <v>16</v>
      </c>
      <c r="D1354" s="19" t="s">
        <v>59</v>
      </c>
      <c r="E1354" s="20" t="n">
        <v>103302</v>
      </c>
      <c r="F1354" s="20" t="n">
        <v>519308</v>
      </c>
    </row>
    <row r="1355" customFormat="false" ht="15" hidden="false" customHeight="false" outlineLevel="0" collapsed="false">
      <c r="A1355" s="22" t="n">
        <v>46200</v>
      </c>
      <c r="B1355" s="19" t="s">
        <v>50</v>
      </c>
      <c r="C1355" s="19" t="s">
        <v>12</v>
      </c>
      <c r="D1355" s="19" t="s">
        <v>58</v>
      </c>
      <c r="E1355" s="20" t="n">
        <v>94767</v>
      </c>
      <c r="F1355" s="20" t="n">
        <v>537040</v>
      </c>
    </row>
    <row r="1356" customFormat="false" ht="15" hidden="false" customHeight="false" outlineLevel="0" collapsed="false">
      <c r="A1356" s="22" t="n">
        <v>46200</v>
      </c>
      <c r="B1356" s="19" t="s">
        <v>50</v>
      </c>
      <c r="C1356" s="19" t="s">
        <v>11</v>
      </c>
      <c r="D1356" s="19" t="s">
        <v>110</v>
      </c>
      <c r="E1356" s="20" t="n">
        <v>23496</v>
      </c>
      <c r="F1356" s="20" t="n">
        <v>0</v>
      </c>
    </row>
    <row r="1357" customFormat="false" ht="15" hidden="false" customHeight="false" outlineLevel="0" collapsed="false">
      <c r="A1357" s="22" t="n">
        <v>46200</v>
      </c>
      <c r="B1357" s="19" t="s">
        <v>50</v>
      </c>
      <c r="C1357" s="19" t="s">
        <v>12</v>
      </c>
      <c r="D1357" s="19" t="s">
        <v>72</v>
      </c>
      <c r="E1357" s="20" t="n">
        <v>10808</v>
      </c>
      <c r="F1357" s="20" t="n">
        <v>0</v>
      </c>
    </row>
    <row r="1358" customFormat="false" ht="15" hidden="false" customHeight="false" outlineLevel="0" collapsed="false">
      <c r="A1358" s="22" t="n">
        <v>46200</v>
      </c>
      <c r="B1358" s="19" t="s">
        <v>50</v>
      </c>
      <c r="C1358" s="19" t="s">
        <v>13</v>
      </c>
      <c r="D1358" s="19" t="s">
        <v>120</v>
      </c>
      <c r="E1358" s="20" t="n">
        <v>562467</v>
      </c>
      <c r="F1358" s="20" t="n">
        <v>2891030</v>
      </c>
    </row>
    <row r="1359" customFormat="false" ht="15" hidden="false" customHeight="false" outlineLevel="0" collapsed="false">
      <c r="A1359" s="22" t="n">
        <v>46200</v>
      </c>
      <c r="B1359" s="19" t="s">
        <v>50</v>
      </c>
      <c r="C1359" s="19" t="s">
        <v>12</v>
      </c>
      <c r="D1359" s="19" t="s">
        <v>118</v>
      </c>
      <c r="E1359" s="20" t="n">
        <v>700000</v>
      </c>
      <c r="F1359" s="20" t="n">
        <v>3323930</v>
      </c>
    </row>
    <row r="1360" customFormat="false" ht="15" hidden="false" customHeight="false" outlineLevel="0" collapsed="false">
      <c r="A1360" s="22" t="n">
        <v>46200</v>
      </c>
      <c r="B1360" s="19" t="s">
        <v>50</v>
      </c>
      <c r="C1360" s="19" t="s">
        <v>12</v>
      </c>
      <c r="D1360" s="19" t="s">
        <v>112</v>
      </c>
      <c r="E1360" s="20" t="n">
        <v>27106</v>
      </c>
      <c r="F1360" s="20" t="n">
        <v>0</v>
      </c>
    </row>
    <row r="1361" customFormat="false" ht="15" hidden="false" customHeight="false" outlineLevel="0" collapsed="false">
      <c r="A1361" s="22" t="n">
        <v>46200</v>
      </c>
      <c r="B1361" s="19" t="s">
        <v>50</v>
      </c>
      <c r="C1361" s="19" t="s">
        <v>12</v>
      </c>
      <c r="D1361" s="19" t="s">
        <v>121</v>
      </c>
      <c r="E1361" s="20" t="n">
        <v>41631</v>
      </c>
      <c r="F1361" s="20" t="n">
        <v>196000</v>
      </c>
    </row>
    <row r="1362" customFormat="false" ht="15" hidden="false" customHeight="false" outlineLevel="0" collapsed="false">
      <c r="A1362" s="22" t="n">
        <v>46200</v>
      </c>
      <c r="B1362" s="19" t="s">
        <v>50</v>
      </c>
      <c r="C1362" s="19" t="s">
        <v>15</v>
      </c>
      <c r="D1362" s="19" t="s">
        <v>97</v>
      </c>
      <c r="E1362" s="20" t="n">
        <v>14107</v>
      </c>
      <c r="F1362" s="20" t="n">
        <v>69000</v>
      </c>
    </row>
    <row r="1363" customFormat="false" ht="15" hidden="false" customHeight="false" outlineLevel="0" collapsed="false">
      <c r="A1363" s="22" t="n">
        <v>46200</v>
      </c>
      <c r="B1363" s="19" t="s">
        <v>50</v>
      </c>
      <c r="C1363" s="19" t="s">
        <v>11</v>
      </c>
      <c r="D1363" s="19" t="s">
        <v>63</v>
      </c>
      <c r="E1363" s="20" t="n">
        <v>14257</v>
      </c>
      <c r="F1363" s="20" t="n">
        <v>39000</v>
      </c>
    </row>
    <row r="1364" customFormat="false" ht="15" hidden="false" customHeight="false" outlineLevel="0" collapsed="false">
      <c r="A1364" s="22" t="n">
        <v>46200</v>
      </c>
      <c r="B1364" s="19" t="s">
        <v>50</v>
      </c>
      <c r="C1364" s="19" t="s">
        <v>11</v>
      </c>
      <c r="D1364" s="19" t="s">
        <v>98</v>
      </c>
      <c r="E1364" s="20" t="n">
        <v>6393</v>
      </c>
      <c r="F1364" s="20" t="n">
        <v>0</v>
      </c>
    </row>
    <row r="1365" customFormat="false" ht="15" hidden="false" customHeight="false" outlineLevel="0" collapsed="false">
      <c r="A1365" s="22" t="n">
        <v>46201</v>
      </c>
      <c r="B1365" s="19" t="s">
        <v>50</v>
      </c>
      <c r="C1365" s="19" t="s">
        <v>16</v>
      </c>
      <c r="D1365" s="19" t="s">
        <v>119</v>
      </c>
      <c r="E1365" s="20" t="n">
        <v>103127</v>
      </c>
      <c r="F1365" s="20" t="n">
        <v>981391</v>
      </c>
    </row>
    <row r="1366" customFormat="false" ht="15" hidden="false" customHeight="false" outlineLevel="0" collapsed="false">
      <c r="A1366" s="22" t="n">
        <v>46201</v>
      </c>
      <c r="B1366" s="19" t="s">
        <v>50</v>
      </c>
      <c r="C1366" s="19" t="s">
        <v>16</v>
      </c>
      <c r="D1366" s="19" t="s">
        <v>59</v>
      </c>
      <c r="E1366" s="20" t="n">
        <v>79985</v>
      </c>
      <c r="F1366" s="20" t="n">
        <v>352904</v>
      </c>
    </row>
    <row r="1367" customFormat="false" ht="15" hidden="false" customHeight="false" outlineLevel="0" collapsed="false">
      <c r="A1367" s="22" t="n">
        <v>46201</v>
      </c>
      <c r="B1367" s="19" t="s">
        <v>50</v>
      </c>
      <c r="C1367" s="19" t="s">
        <v>12</v>
      </c>
      <c r="D1367" s="19" t="s">
        <v>72</v>
      </c>
      <c r="E1367" s="20" t="n">
        <v>57220</v>
      </c>
      <c r="F1367" s="20" t="n">
        <v>332955</v>
      </c>
    </row>
    <row r="1368" customFormat="false" ht="15" hidden="false" customHeight="false" outlineLevel="0" collapsed="false">
      <c r="A1368" s="22" t="n">
        <v>46201</v>
      </c>
      <c r="B1368" s="19" t="s">
        <v>50</v>
      </c>
      <c r="C1368" s="19" t="s">
        <v>12</v>
      </c>
      <c r="D1368" s="19" t="s">
        <v>58</v>
      </c>
      <c r="E1368" s="20" t="n">
        <v>115873</v>
      </c>
      <c r="F1368" s="20" t="n">
        <v>613676</v>
      </c>
    </row>
    <row r="1369" customFormat="false" ht="15" hidden="false" customHeight="false" outlineLevel="0" collapsed="false">
      <c r="A1369" s="22" t="n">
        <v>46201</v>
      </c>
      <c r="B1369" s="19" t="s">
        <v>50</v>
      </c>
      <c r="C1369" s="19" t="s">
        <v>11</v>
      </c>
      <c r="D1369" s="19" t="s">
        <v>110</v>
      </c>
      <c r="E1369" s="20" t="n">
        <v>14131</v>
      </c>
      <c r="F1369" s="20" t="n">
        <v>0</v>
      </c>
    </row>
    <row r="1370" customFormat="false" ht="15" hidden="false" customHeight="false" outlineLevel="0" collapsed="false">
      <c r="A1370" s="22" t="n">
        <v>46201</v>
      </c>
      <c r="B1370" s="19" t="s">
        <v>50</v>
      </c>
      <c r="C1370" s="19" t="s">
        <v>12</v>
      </c>
      <c r="D1370" s="19" t="s">
        <v>118</v>
      </c>
      <c r="E1370" s="20" t="n">
        <v>591514</v>
      </c>
      <c r="F1370" s="20" t="n">
        <v>2612374</v>
      </c>
    </row>
    <row r="1371" customFormat="false" ht="15" hidden="false" customHeight="false" outlineLevel="0" collapsed="false">
      <c r="A1371" s="22" t="n">
        <v>46201</v>
      </c>
      <c r="B1371" s="19" t="s">
        <v>50</v>
      </c>
      <c r="C1371" s="19" t="s">
        <v>13</v>
      </c>
      <c r="D1371" s="19" t="s">
        <v>120</v>
      </c>
      <c r="E1371" s="20" t="n">
        <v>392680</v>
      </c>
      <c r="F1371" s="20" t="n">
        <v>1510401</v>
      </c>
    </row>
    <row r="1372" customFormat="false" ht="15" hidden="false" customHeight="false" outlineLevel="0" collapsed="false">
      <c r="A1372" s="22" t="n">
        <v>46201</v>
      </c>
      <c r="B1372" s="19" t="s">
        <v>50</v>
      </c>
      <c r="C1372" s="19" t="s">
        <v>15</v>
      </c>
      <c r="D1372" s="19" t="s">
        <v>97</v>
      </c>
      <c r="E1372" s="20" t="n">
        <v>132840</v>
      </c>
      <c r="F1372" s="20" t="n">
        <v>665575</v>
      </c>
    </row>
    <row r="1373" customFormat="false" ht="15" hidden="false" customHeight="false" outlineLevel="0" collapsed="false">
      <c r="A1373" s="22" t="n">
        <v>46201</v>
      </c>
      <c r="B1373" s="19" t="s">
        <v>50</v>
      </c>
      <c r="C1373" s="19" t="s">
        <v>12</v>
      </c>
      <c r="D1373" s="19" t="s">
        <v>112</v>
      </c>
      <c r="E1373" s="20" t="n">
        <v>157984</v>
      </c>
      <c r="F1373" s="20" t="n">
        <v>1171362</v>
      </c>
    </row>
    <row r="1374" customFormat="false" ht="15" hidden="false" customHeight="false" outlineLevel="0" collapsed="false">
      <c r="A1374" s="22" t="n">
        <v>46201</v>
      </c>
      <c r="B1374" s="19" t="s">
        <v>50</v>
      </c>
      <c r="C1374" s="19" t="s">
        <v>12</v>
      </c>
      <c r="D1374" s="19" t="s">
        <v>121</v>
      </c>
      <c r="E1374" s="20" t="n">
        <v>9777</v>
      </c>
      <c r="F1374" s="20" t="n">
        <v>0</v>
      </c>
    </row>
    <row r="1375" customFormat="false" ht="15" hidden="false" customHeight="false" outlineLevel="0" collapsed="false">
      <c r="A1375" s="22" t="n">
        <v>46201</v>
      </c>
      <c r="B1375" s="19" t="s">
        <v>50</v>
      </c>
      <c r="C1375" s="19" t="s">
        <v>11</v>
      </c>
      <c r="D1375" s="19" t="s">
        <v>63</v>
      </c>
      <c r="E1375" s="20" t="n">
        <v>2388</v>
      </c>
      <c r="F1375" s="20" t="n">
        <v>0</v>
      </c>
    </row>
    <row r="1376" customFormat="false" ht="15" hidden="false" customHeight="false" outlineLevel="0" collapsed="false">
      <c r="A1376" s="22" t="n">
        <v>46201</v>
      </c>
      <c r="B1376" s="19" t="s">
        <v>50</v>
      </c>
      <c r="C1376" s="19" t="s">
        <v>11</v>
      </c>
      <c r="D1376" s="19" t="s">
        <v>98</v>
      </c>
      <c r="E1376" s="20" t="n">
        <v>4559</v>
      </c>
      <c r="F1376" s="20" t="n">
        <v>0</v>
      </c>
    </row>
    <row r="1377" customFormat="false" ht="15" hidden="false" customHeight="false" outlineLevel="0" collapsed="false">
      <c r="A1377" s="22" t="n">
        <v>46202</v>
      </c>
      <c r="B1377" s="19" t="s">
        <v>50</v>
      </c>
      <c r="C1377" s="19" t="s">
        <v>16</v>
      </c>
      <c r="D1377" s="19" t="s">
        <v>119</v>
      </c>
      <c r="E1377" s="20" t="n">
        <v>31401</v>
      </c>
      <c r="F1377" s="20" t="n">
        <v>0</v>
      </c>
    </row>
    <row r="1378" customFormat="false" ht="15" hidden="false" customHeight="false" outlineLevel="0" collapsed="false">
      <c r="A1378" s="22" t="n">
        <v>46202</v>
      </c>
      <c r="B1378" s="19" t="s">
        <v>50</v>
      </c>
      <c r="C1378" s="19" t="s">
        <v>11</v>
      </c>
      <c r="D1378" s="19" t="s">
        <v>110</v>
      </c>
      <c r="E1378" s="20" t="n">
        <v>18656</v>
      </c>
      <c r="F1378" s="20" t="n">
        <v>0</v>
      </c>
    </row>
    <row r="1379" customFormat="false" ht="15" hidden="false" customHeight="false" outlineLevel="0" collapsed="false">
      <c r="A1379" s="22" t="n">
        <v>46202</v>
      </c>
      <c r="B1379" s="19" t="s">
        <v>50</v>
      </c>
      <c r="C1379" s="19" t="s">
        <v>16</v>
      </c>
      <c r="D1379" s="19" t="s">
        <v>59</v>
      </c>
      <c r="E1379" s="20" t="n">
        <v>13421</v>
      </c>
      <c r="F1379" s="20" t="n">
        <v>0</v>
      </c>
    </row>
    <row r="1380" customFormat="false" ht="15" hidden="false" customHeight="false" outlineLevel="0" collapsed="false">
      <c r="A1380" s="22" t="n">
        <v>46202</v>
      </c>
      <c r="B1380" s="19" t="s">
        <v>50</v>
      </c>
      <c r="C1380" s="19" t="s">
        <v>12</v>
      </c>
      <c r="D1380" s="19" t="s">
        <v>58</v>
      </c>
      <c r="E1380" s="20" t="n">
        <v>55280</v>
      </c>
      <c r="F1380" s="20" t="n">
        <v>289100</v>
      </c>
    </row>
    <row r="1381" customFormat="false" ht="15" hidden="false" customHeight="false" outlineLevel="0" collapsed="false">
      <c r="A1381" s="22" t="n">
        <v>46202</v>
      </c>
      <c r="B1381" s="19" t="s">
        <v>50</v>
      </c>
      <c r="C1381" s="19" t="s">
        <v>12</v>
      </c>
      <c r="D1381" s="19" t="s">
        <v>72</v>
      </c>
      <c r="E1381" s="20" t="n">
        <v>16278</v>
      </c>
      <c r="F1381" s="20" t="n">
        <v>0</v>
      </c>
    </row>
    <row r="1382" customFormat="false" ht="15" hidden="false" customHeight="false" outlineLevel="0" collapsed="false">
      <c r="A1382" s="22" t="n">
        <v>46202</v>
      </c>
      <c r="B1382" s="19" t="s">
        <v>50</v>
      </c>
      <c r="C1382" s="19" t="s">
        <v>13</v>
      </c>
      <c r="D1382" s="19" t="s">
        <v>120</v>
      </c>
      <c r="E1382" s="20" t="n">
        <v>338022</v>
      </c>
      <c r="F1382" s="20" t="n">
        <v>1733609</v>
      </c>
    </row>
    <row r="1383" customFormat="false" ht="15" hidden="false" customHeight="false" outlineLevel="0" collapsed="false">
      <c r="A1383" s="22" t="n">
        <v>46202</v>
      </c>
      <c r="B1383" s="19" t="s">
        <v>50</v>
      </c>
      <c r="C1383" s="19" t="s">
        <v>12</v>
      </c>
      <c r="D1383" s="19" t="s">
        <v>112</v>
      </c>
      <c r="E1383" s="20" t="n">
        <v>183807</v>
      </c>
      <c r="F1383" s="20" t="n">
        <v>777520</v>
      </c>
    </row>
    <row r="1384" customFormat="false" ht="15" hidden="false" customHeight="false" outlineLevel="0" collapsed="false">
      <c r="A1384" s="22" t="n">
        <v>46202</v>
      </c>
      <c r="B1384" s="19" t="s">
        <v>50</v>
      </c>
      <c r="C1384" s="19" t="s">
        <v>12</v>
      </c>
      <c r="D1384" s="19" t="s">
        <v>118</v>
      </c>
      <c r="E1384" s="20" t="n">
        <v>215857</v>
      </c>
      <c r="F1384" s="20" t="n">
        <v>866272</v>
      </c>
    </row>
    <row r="1385" customFormat="false" ht="15" hidden="false" customHeight="false" outlineLevel="0" collapsed="false">
      <c r="A1385" s="22" t="n">
        <v>46202</v>
      </c>
      <c r="B1385" s="19" t="s">
        <v>50</v>
      </c>
      <c r="C1385" s="19" t="s">
        <v>12</v>
      </c>
      <c r="D1385" s="19" t="s">
        <v>121</v>
      </c>
      <c r="E1385" s="20" t="n">
        <v>73912</v>
      </c>
      <c r="F1385" s="20" t="n">
        <v>347900</v>
      </c>
    </row>
    <row r="1386" customFormat="false" ht="15" hidden="false" customHeight="false" outlineLevel="0" collapsed="false">
      <c r="A1386" s="22" t="n">
        <v>46202</v>
      </c>
      <c r="B1386" s="19" t="s">
        <v>50</v>
      </c>
      <c r="C1386" s="19" t="s">
        <v>15</v>
      </c>
      <c r="D1386" s="19" t="s">
        <v>97</v>
      </c>
      <c r="E1386" s="20" t="n">
        <v>64898</v>
      </c>
      <c r="F1386" s="20" t="n">
        <v>253000</v>
      </c>
    </row>
    <row r="1387" customFormat="false" ht="15" hidden="false" customHeight="false" outlineLevel="0" collapsed="false">
      <c r="A1387" s="22" t="n">
        <v>46202</v>
      </c>
      <c r="B1387" s="19" t="s">
        <v>50</v>
      </c>
      <c r="C1387" s="19" t="s">
        <v>11</v>
      </c>
      <c r="D1387" s="19" t="s">
        <v>63</v>
      </c>
      <c r="E1387" s="20" t="n">
        <v>2317</v>
      </c>
      <c r="F1387" s="20" t="n">
        <v>0</v>
      </c>
    </row>
    <row r="1388" customFormat="false" ht="15" hidden="false" customHeight="false" outlineLevel="0" collapsed="false">
      <c r="A1388" s="22" t="n">
        <v>46202</v>
      </c>
      <c r="B1388" s="19" t="s">
        <v>50</v>
      </c>
      <c r="C1388" s="19" t="s">
        <v>11</v>
      </c>
      <c r="D1388" s="19" t="s">
        <v>98</v>
      </c>
      <c r="E1388" s="20" t="n">
        <v>3652</v>
      </c>
      <c r="F1388" s="20" t="n">
        <v>0</v>
      </c>
    </row>
    <row r="1389" customFormat="false" ht="15" hidden="false" customHeight="false" outlineLevel="0" collapsed="false">
      <c r="A1389" s="22" t="n">
        <v>46203</v>
      </c>
      <c r="B1389" s="19" t="s">
        <v>50</v>
      </c>
      <c r="C1389" s="19" t="s">
        <v>11</v>
      </c>
      <c r="D1389" s="19" t="s">
        <v>110</v>
      </c>
      <c r="E1389" s="20" t="n">
        <v>38067</v>
      </c>
      <c r="F1389" s="20" t="n">
        <v>259700</v>
      </c>
    </row>
    <row r="1390" customFormat="false" ht="15" hidden="false" customHeight="false" outlineLevel="0" collapsed="false">
      <c r="A1390" s="22" t="n">
        <v>46203</v>
      </c>
      <c r="B1390" s="19" t="s">
        <v>50</v>
      </c>
      <c r="C1390" s="19" t="s">
        <v>16</v>
      </c>
      <c r="D1390" s="19" t="s">
        <v>59</v>
      </c>
      <c r="E1390" s="20" t="n">
        <v>64707</v>
      </c>
      <c r="F1390" s="20" t="n">
        <v>322794</v>
      </c>
    </row>
    <row r="1391" customFormat="false" ht="15" hidden="false" customHeight="false" outlineLevel="0" collapsed="false">
      <c r="A1391" s="22" t="n">
        <v>46203</v>
      </c>
      <c r="B1391" s="19" t="s">
        <v>50</v>
      </c>
      <c r="C1391" s="19" t="s">
        <v>16</v>
      </c>
      <c r="D1391" s="19" t="s">
        <v>119</v>
      </c>
      <c r="E1391" s="20" t="n">
        <v>36206</v>
      </c>
      <c r="F1391" s="20" t="n">
        <v>195000</v>
      </c>
    </row>
    <row r="1392" customFormat="false" ht="15" hidden="false" customHeight="false" outlineLevel="0" collapsed="false">
      <c r="A1392" s="22" t="n">
        <v>46203</v>
      </c>
      <c r="B1392" s="19" t="s">
        <v>50</v>
      </c>
      <c r="C1392" s="19" t="s">
        <v>12</v>
      </c>
      <c r="D1392" s="19" t="s">
        <v>72</v>
      </c>
      <c r="E1392" s="20" t="n">
        <v>36686</v>
      </c>
      <c r="F1392" s="20" t="n">
        <v>238492</v>
      </c>
    </row>
    <row r="1393" customFormat="false" ht="15" hidden="false" customHeight="false" outlineLevel="0" collapsed="false">
      <c r="A1393" s="22" t="n">
        <v>46203</v>
      </c>
      <c r="B1393" s="19" t="s">
        <v>50</v>
      </c>
      <c r="C1393" s="19" t="s">
        <v>12</v>
      </c>
      <c r="D1393" s="19" t="s">
        <v>58</v>
      </c>
      <c r="E1393" s="20" t="n">
        <v>6508</v>
      </c>
      <c r="F1393" s="20" t="n">
        <v>0</v>
      </c>
    </row>
    <row r="1394" customFormat="false" ht="15" hidden="false" customHeight="false" outlineLevel="0" collapsed="false">
      <c r="A1394" s="22" t="n">
        <v>46203</v>
      </c>
      <c r="B1394" s="19" t="s">
        <v>50</v>
      </c>
      <c r="C1394" s="19" t="s">
        <v>13</v>
      </c>
      <c r="D1394" s="19" t="s">
        <v>120</v>
      </c>
      <c r="E1394" s="20" t="n">
        <v>680335</v>
      </c>
      <c r="F1394" s="20" t="n">
        <v>3685646</v>
      </c>
    </row>
    <row r="1395" customFormat="false" ht="15" hidden="false" customHeight="false" outlineLevel="0" collapsed="false">
      <c r="A1395" s="22" t="n">
        <v>46203</v>
      </c>
      <c r="B1395" s="19" t="s">
        <v>50</v>
      </c>
      <c r="C1395" s="19" t="s">
        <v>12</v>
      </c>
      <c r="D1395" s="19" t="s">
        <v>112</v>
      </c>
      <c r="E1395" s="20" t="n">
        <v>50913</v>
      </c>
      <c r="F1395" s="20" t="n">
        <v>252209</v>
      </c>
    </row>
    <row r="1396" customFormat="false" ht="15" hidden="false" customHeight="false" outlineLevel="0" collapsed="false">
      <c r="A1396" s="22" t="n">
        <v>46203</v>
      </c>
      <c r="B1396" s="19" t="s">
        <v>50</v>
      </c>
      <c r="C1396" s="19" t="s">
        <v>12</v>
      </c>
      <c r="D1396" s="19" t="s">
        <v>118</v>
      </c>
      <c r="E1396" s="20" t="n">
        <v>239849</v>
      </c>
      <c r="F1396" s="20" t="n">
        <v>975788</v>
      </c>
    </row>
    <row r="1397" customFormat="false" ht="15" hidden="false" customHeight="false" outlineLevel="0" collapsed="false">
      <c r="A1397" s="22" t="n">
        <v>46203</v>
      </c>
      <c r="B1397" s="19" t="s">
        <v>50</v>
      </c>
      <c r="C1397" s="19" t="s">
        <v>11</v>
      </c>
      <c r="D1397" s="19" t="s">
        <v>98</v>
      </c>
      <c r="E1397" s="20" t="n">
        <v>88704</v>
      </c>
      <c r="F1397" s="20" t="n">
        <v>416519</v>
      </c>
    </row>
    <row r="1398" customFormat="false" ht="15" hidden="false" customHeight="false" outlineLevel="0" collapsed="false">
      <c r="A1398" s="22" t="n">
        <v>46203</v>
      </c>
      <c r="B1398" s="19" t="s">
        <v>50</v>
      </c>
      <c r="C1398" s="19" t="s">
        <v>12</v>
      </c>
      <c r="D1398" s="19" t="s">
        <v>121</v>
      </c>
      <c r="E1398" s="20" t="n">
        <v>23881</v>
      </c>
      <c r="F1398" s="20" t="n">
        <v>115000</v>
      </c>
    </row>
    <row r="1399" customFormat="false" ht="15" hidden="false" customHeight="false" outlineLevel="0" collapsed="false">
      <c r="A1399" s="22" t="n">
        <v>46203</v>
      </c>
      <c r="B1399" s="19" t="s">
        <v>50</v>
      </c>
      <c r="C1399" s="19" t="s">
        <v>11</v>
      </c>
      <c r="D1399" s="19" t="s">
        <v>63</v>
      </c>
      <c r="E1399" s="20" t="n">
        <v>2119</v>
      </c>
      <c r="F1399" s="20" t="n">
        <v>0</v>
      </c>
    </row>
    <row r="1400" customFormat="false" ht="15" hidden="false" customHeight="false" outlineLevel="0" collapsed="false">
      <c r="A1400" s="22" t="n">
        <v>46203</v>
      </c>
      <c r="B1400" s="19" t="s">
        <v>50</v>
      </c>
      <c r="C1400" s="19" t="s">
        <v>15</v>
      </c>
      <c r="D1400" s="19" t="s">
        <v>97</v>
      </c>
      <c r="E1400" s="20" t="n">
        <v>4854</v>
      </c>
      <c r="F1400" s="20" t="n">
        <v>0</v>
      </c>
    </row>
    <row r="1401" customFormat="false" ht="15" hidden="false" customHeight="false" outlineLevel="0" collapsed="false">
      <c r="A1401" s="22" t="n">
        <v>46204</v>
      </c>
      <c r="B1401" s="19" t="s">
        <v>50</v>
      </c>
      <c r="C1401" s="19" t="s">
        <v>11</v>
      </c>
      <c r="D1401" s="19" t="s">
        <v>110</v>
      </c>
      <c r="E1401" s="20" t="n">
        <v>82172</v>
      </c>
      <c r="F1401" s="20" t="n">
        <v>289100</v>
      </c>
    </row>
    <row r="1402" customFormat="false" ht="15" hidden="false" customHeight="false" outlineLevel="0" collapsed="false">
      <c r="A1402" s="22" t="n">
        <v>46204</v>
      </c>
      <c r="B1402" s="19" t="s">
        <v>50</v>
      </c>
      <c r="C1402" s="19" t="s">
        <v>16</v>
      </c>
      <c r="D1402" s="19" t="s">
        <v>59</v>
      </c>
      <c r="E1402" s="20" t="n">
        <v>14277</v>
      </c>
      <c r="F1402" s="20" t="n">
        <v>0</v>
      </c>
    </row>
    <row r="1403" customFormat="false" ht="15" hidden="false" customHeight="false" outlineLevel="0" collapsed="false">
      <c r="A1403" s="22" t="n">
        <v>46204</v>
      </c>
      <c r="B1403" s="19" t="s">
        <v>50</v>
      </c>
      <c r="C1403" s="19" t="s">
        <v>16</v>
      </c>
      <c r="D1403" s="19" t="s">
        <v>119</v>
      </c>
      <c r="E1403" s="20" t="n">
        <v>51565</v>
      </c>
      <c r="F1403" s="20" t="n">
        <v>230640</v>
      </c>
    </row>
    <row r="1404" customFormat="false" ht="15" hidden="false" customHeight="false" outlineLevel="0" collapsed="false">
      <c r="A1404" s="22" t="n">
        <v>46204</v>
      </c>
      <c r="B1404" s="19" t="s">
        <v>50</v>
      </c>
      <c r="C1404" s="19" t="s">
        <v>12</v>
      </c>
      <c r="D1404" s="19" t="s">
        <v>72</v>
      </c>
      <c r="E1404" s="20" t="n">
        <v>5295</v>
      </c>
      <c r="F1404" s="20" t="n">
        <v>0</v>
      </c>
    </row>
    <row r="1405" customFormat="false" ht="15" hidden="false" customHeight="false" outlineLevel="0" collapsed="false">
      <c r="A1405" s="22" t="n">
        <v>46204</v>
      </c>
      <c r="B1405" s="19" t="s">
        <v>50</v>
      </c>
      <c r="C1405" s="19" t="s">
        <v>12</v>
      </c>
      <c r="D1405" s="19" t="s">
        <v>58</v>
      </c>
      <c r="E1405" s="20" t="n">
        <v>5090</v>
      </c>
      <c r="F1405" s="20" t="n">
        <v>0</v>
      </c>
    </row>
    <row r="1406" customFormat="false" ht="15" hidden="false" customHeight="false" outlineLevel="0" collapsed="false">
      <c r="A1406" s="22" t="n">
        <v>46204</v>
      </c>
      <c r="B1406" s="19" t="s">
        <v>50</v>
      </c>
      <c r="C1406" s="19" t="s">
        <v>12</v>
      </c>
      <c r="D1406" s="19" t="s">
        <v>112</v>
      </c>
      <c r="E1406" s="20" t="n">
        <v>211921</v>
      </c>
      <c r="F1406" s="20" t="n">
        <v>1167320</v>
      </c>
    </row>
    <row r="1407" customFormat="false" ht="15" hidden="false" customHeight="false" outlineLevel="0" collapsed="false">
      <c r="A1407" s="22" t="n">
        <v>46204</v>
      </c>
      <c r="B1407" s="19" t="s">
        <v>50</v>
      </c>
      <c r="C1407" s="19" t="s">
        <v>12</v>
      </c>
      <c r="D1407" s="19" t="s">
        <v>118</v>
      </c>
      <c r="E1407" s="20" t="n">
        <v>196210</v>
      </c>
      <c r="F1407" s="20" t="n">
        <v>960125</v>
      </c>
    </row>
    <row r="1408" customFormat="false" ht="15" hidden="false" customHeight="false" outlineLevel="0" collapsed="false">
      <c r="A1408" s="22" t="n">
        <v>46204</v>
      </c>
      <c r="B1408" s="19" t="s">
        <v>50</v>
      </c>
      <c r="C1408" s="19" t="s">
        <v>13</v>
      </c>
      <c r="D1408" s="19" t="s">
        <v>120</v>
      </c>
      <c r="E1408" s="20" t="n">
        <v>134311</v>
      </c>
      <c r="F1408" s="20" t="n">
        <v>575548</v>
      </c>
    </row>
    <row r="1409" customFormat="false" ht="15" hidden="false" customHeight="false" outlineLevel="0" collapsed="false">
      <c r="A1409" s="22" t="n">
        <v>46204</v>
      </c>
      <c r="B1409" s="19" t="s">
        <v>50</v>
      </c>
      <c r="C1409" s="19" t="s">
        <v>12</v>
      </c>
      <c r="D1409" s="19" t="s">
        <v>121</v>
      </c>
      <c r="E1409" s="20" t="n">
        <v>6773</v>
      </c>
      <c r="F1409" s="20" t="n">
        <v>0</v>
      </c>
    </row>
    <row r="1410" customFormat="false" ht="15" hidden="false" customHeight="false" outlineLevel="0" collapsed="false">
      <c r="A1410" s="22" t="n">
        <v>46204</v>
      </c>
      <c r="B1410" s="19" t="s">
        <v>50</v>
      </c>
      <c r="C1410" s="19" t="s">
        <v>11</v>
      </c>
      <c r="D1410" s="19" t="s">
        <v>63</v>
      </c>
      <c r="E1410" s="20" t="n">
        <v>5750</v>
      </c>
      <c r="F1410" s="20" t="n">
        <v>0</v>
      </c>
    </row>
    <row r="1411" customFormat="false" ht="15" hidden="false" customHeight="false" outlineLevel="0" collapsed="false">
      <c r="A1411" s="22" t="n">
        <v>46204</v>
      </c>
      <c r="B1411" s="19" t="s">
        <v>50</v>
      </c>
      <c r="C1411" s="19" t="s">
        <v>15</v>
      </c>
      <c r="D1411" s="19" t="s">
        <v>97</v>
      </c>
      <c r="E1411" s="20" t="n">
        <v>1173</v>
      </c>
      <c r="F1411" s="20" t="n">
        <v>0</v>
      </c>
    </row>
    <row r="1412" customFormat="false" ht="15" hidden="false" customHeight="false" outlineLevel="0" collapsed="false">
      <c r="A1412" s="22" t="n">
        <v>46204</v>
      </c>
      <c r="B1412" s="19" t="s">
        <v>50</v>
      </c>
      <c r="C1412" s="19" t="s">
        <v>11</v>
      </c>
      <c r="D1412" s="19" t="s">
        <v>98</v>
      </c>
      <c r="E1412" s="20" t="n">
        <v>3675</v>
      </c>
      <c r="F1412" s="20" t="n">
        <v>0</v>
      </c>
    </row>
    <row r="1413" customFormat="false" ht="15" hidden="false" customHeight="false" outlineLevel="0" collapsed="false">
      <c r="A1413" s="22" t="n">
        <v>46205</v>
      </c>
      <c r="B1413" s="19" t="s">
        <v>50</v>
      </c>
      <c r="C1413" s="19" t="s">
        <v>16</v>
      </c>
      <c r="D1413" s="19" t="s">
        <v>119</v>
      </c>
      <c r="E1413" s="20" t="n">
        <v>65672</v>
      </c>
      <c r="F1413" s="20" t="n">
        <v>212000</v>
      </c>
    </row>
    <row r="1414" customFormat="false" ht="15" hidden="false" customHeight="false" outlineLevel="0" collapsed="false">
      <c r="A1414" s="22" t="n">
        <v>46205</v>
      </c>
      <c r="B1414" s="19" t="s">
        <v>50</v>
      </c>
      <c r="C1414" s="19" t="s">
        <v>11</v>
      </c>
      <c r="D1414" s="19" t="s">
        <v>110</v>
      </c>
      <c r="E1414" s="20" t="n">
        <v>39301</v>
      </c>
      <c r="F1414" s="20" t="n">
        <v>109000</v>
      </c>
    </row>
    <row r="1415" customFormat="false" ht="15" hidden="false" customHeight="false" outlineLevel="0" collapsed="false">
      <c r="A1415" s="22" t="n">
        <v>46205</v>
      </c>
      <c r="B1415" s="19" t="s">
        <v>50</v>
      </c>
      <c r="C1415" s="19" t="s">
        <v>16</v>
      </c>
      <c r="D1415" s="19" t="s">
        <v>59</v>
      </c>
      <c r="E1415" s="20" t="n">
        <v>9368</v>
      </c>
      <c r="F1415" s="20" t="n">
        <v>0</v>
      </c>
    </row>
    <row r="1416" customFormat="false" ht="15" hidden="false" customHeight="false" outlineLevel="0" collapsed="false">
      <c r="A1416" s="22" t="n">
        <v>46205</v>
      </c>
      <c r="B1416" s="19" t="s">
        <v>50</v>
      </c>
      <c r="C1416" s="19" t="s">
        <v>12</v>
      </c>
      <c r="D1416" s="19" t="s">
        <v>72</v>
      </c>
      <c r="E1416" s="20" t="n">
        <v>3745</v>
      </c>
      <c r="F1416" s="20" t="n">
        <v>0</v>
      </c>
    </row>
    <row r="1417" customFormat="false" ht="15" hidden="false" customHeight="false" outlineLevel="0" collapsed="false">
      <c r="A1417" s="22" t="n">
        <v>46205</v>
      </c>
      <c r="B1417" s="19" t="s">
        <v>50</v>
      </c>
      <c r="C1417" s="19" t="s">
        <v>12</v>
      </c>
      <c r="D1417" s="19" t="s">
        <v>58</v>
      </c>
      <c r="E1417" s="20" t="n">
        <v>2722</v>
      </c>
      <c r="F1417" s="20" t="n">
        <v>0</v>
      </c>
    </row>
    <row r="1418" customFormat="false" ht="15" hidden="false" customHeight="false" outlineLevel="0" collapsed="false">
      <c r="A1418" s="22" t="n">
        <v>46205</v>
      </c>
      <c r="B1418" s="19" t="s">
        <v>50</v>
      </c>
      <c r="C1418" s="19" t="s">
        <v>13</v>
      </c>
      <c r="D1418" s="19" t="s">
        <v>120</v>
      </c>
      <c r="E1418" s="20" t="n">
        <v>500000</v>
      </c>
      <c r="F1418" s="20" t="n">
        <v>2778538</v>
      </c>
    </row>
    <row r="1419" customFormat="false" ht="15" hidden="false" customHeight="false" outlineLevel="0" collapsed="false">
      <c r="A1419" s="22" t="n">
        <v>46205</v>
      </c>
      <c r="B1419" s="19" t="s">
        <v>50</v>
      </c>
      <c r="C1419" s="19" t="s">
        <v>15</v>
      </c>
      <c r="D1419" s="19" t="s">
        <v>97</v>
      </c>
      <c r="E1419" s="20" t="n">
        <v>86442</v>
      </c>
      <c r="F1419" s="20" t="n">
        <v>456586</v>
      </c>
    </row>
    <row r="1420" customFormat="false" ht="15" hidden="false" customHeight="false" outlineLevel="0" collapsed="false">
      <c r="A1420" s="22" t="n">
        <v>46205</v>
      </c>
      <c r="B1420" s="19" t="s">
        <v>50</v>
      </c>
      <c r="C1420" s="19" t="s">
        <v>12</v>
      </c>
      <c r="D1420" s="19" t="s">
        <v>118</v>
      </c>
      <c r="E1420" s="20" t="n">
        <v>131322</v>
      </c>
      <c r="F1420" s="20" t="n">
        <v>0</v>
      </c>
    </row>
    <row r="1421" customFormat="false" ht="15" hidden="false" customHeight="false" outlineLevel="0" collapsed="false">
      <c r="A1421" s="22" t="n">
        <v>46205</v>
      </c>
      <c r="B1421" s="19" t="s">
        <v>50</v>
      </c>
      <c r="C1421" s="19" t="s">
        <v>12</v>
      </c>
      <c r="D1421" s="19" t="s">
        <v>112</v>
      </c>
      <c r="E1421" s="20" t="n">
        <v>67685</v>
      </c>
      <c r="F1421" s="20" t="n">
        <v>71400</v>
      </c>
    </row>
    <row r="1422" customFormat="false" ht="15" hidden="false" customHeight="false" outlineLevel="0" collapsed="false">
      <c r="A1422" s="22" t="n">
        <v>46205</v>
      </c>
      <c r="B1422" s="19" t="s">
        <v>50</v>
      </c>
      <c r="C1422" s="19" t="s">
        <v>11</v>
      </c>
      <c r="D1422" s="19" t="s">
        <v>63</v>
      </c>
      <c r="E1422" s="20" t="n">
        <v>15254</v>
      </c>
      <c r="F1422" s="20" t="n">
        <v>78000</v>
      </c>
    </row>
    <row r="1423" customFormat="false" ht="15" hidden="false" customHeight="false" outlineLevel="0" collapsed="false">
      <c r="A1423" s="22" t="n">
        <v>46205</v>
      </c>
      <c r="B1423" s="19" t="s">
        <v>50</v>
      </c>
      <c r="C1423" s="19" t="s">
        <v>11</v>
      </c>
      <c r="D1423" s="19" t="s">
        <v>98</v>
      </c>
      <c r="E1423" s="20" t="n">
        <v>7094</v>
      </c>
      <c r="F1423" s="20" t="n">
        <v>0</v>
      </c>
    </row>
    <row r="1424" customFormat="false" ht="15" hidden="false" customHeight="false" outlineLevel="0" collapsed="false">
      <c r="A1424" s="22" t="n">
        <v>46205</v>
      </c>
      <c r="B1424" s="19" t="s">
        <v>50</v>
      </c>
      <c r="C1424" s="19" t="s">
        <v>12</v>
      </c>
      <c r="D1424" s="19" t="s">
        <v>121</v>
      </c>
      <c r="E1424" s="20" t="n">
        <v>5147</v>
      </c>
      <c r="F1424" s="20" t="n">
        <v>0</v>
      </c>
    </row>
    <row r="1425" customFormat="false" ht="15" hidden="false" customHeight="false" outlineLevel="0" collapsed="false">
      <c r="A1425" s="22" t="n">
        <v>46206</v>
      </c>
      <c r="B1425" s="19" t="s">
        <v>50</v>
      </c>
      <c r="C1425" s="19" t="s">
        <v>16</v>
      </c>
      <c r="D1425" s="19" t="s">
        <v>119</v>
      </c>
      <c r="E1425" s="20" t="n">
        <v>45847</v>
      </c>
      <c r="F1425" s="20" t="n">
        <v>252755</v>
      </c>
    </row>
    <row r="1426" customFormat="false" ht="15" hidden="false" customHeight="false" outlineLevel="0" collapsed="false">
      <c r="A1426" s="22" t="n">
        <v>46206</v>
      </c>
      <c r="B1426" s="19" t="s">
        <v>50</v>
      </c>
      <c r="C1426" s="19" t="s">
        <v>16</v>
      </c>
      <c r="D1426" s="19" t="s">
        <v>59</v>
      </c>
      <c r="E1426" s="20" t="n">
        <v>7896</v>
      </c>
      <c r="F1426" s="20" t="n">
        <v>0</v>
      </c>
    </row>
    <row r="1427" customFormat="false" ht="15" hidden="false" customHeight="false" outlineLevel="0" collapsed="false">
      <c r="A1427" s="22" t="n">
        <v>46206</v>
      </c>
      <c r="B1427" s="19" t="s">
        <v>50</v>
      </c>
      <c r="C1427" s="19" t="s">
        <v>11</v>
      </c>
      <c r="D1427" s="19" t="s">
        <v>110</v>
      </c>
      <c r="E1427" s="20" t="n">
        <v>12381</v>
      </c>
      <c r="F1427" s="20" t="n">
        <v>0</v>
      </c>
    </row>
    <row r="1428" customFormat="false" ht="15" hidden="false" customHeight="false" outlineLevel="0" collapsed="false">
      <c r="A1428" s="22" t="n">
        <v>46206</v>
      </c>
      <c r="B1428" s="19" t="s">
        <v>50</v>
      </c>
      <c r="C1428" s="19" t="s">
        <v>12</v>
      </c>
      <c r="D1428" s="19" t="s">
        <v>72</v>
      </c>
      <c r="E1428" s="20" t="n">
        <v>3650</v>
      </c>
      <c r="F1428" s="20" t="n">
        <v>0</v>
      </c>
    </row>
    <row r="1429" customFormat="false" ht="15" hidden="false" customHeight="false" outlineLevel="0" collapsed="false">
      <c r="A1429" s="22" t="n">
        <v>46206</v>
      </c>
      <c r="B1429" s="19" t="s">
        <v>50</v>
      </c>
      <c r="C1429" s="19" t="s">
        <v>12</v>
      </c>
      <c r="D1429" s="19" t="s">
        <v>58</v>
      </c>
      <c r="E1429" s="20" t="n">
        <v>898</v>
      </c>
      <c r="F1429" s="20" t="n">
        <v>0</v>
      </c>
    </row>
    <row r="1430" customFormat="false" ht="15" hidden="false" customHeight="false" outlineLevel="0" collapsed="false">
      <c r="A1430" s="22" t="n">
        <v>46206</v>
      </c>
      <c r="B1430" s="19" t="s">
        <v>50</v>
      </c>
      <c r="C1430" s="19" t="s">
        <v>13</v>
      </c>
      <c r="D1430" s="19" t="s">
        <v>120</v>
      </c>
      <c r="E1430" s="20" t="n">
        <v>421782</v>
      </c>
      <c r="F1430" s="20" t="n">
        <v>1463464</v>
      </c>
    </row>
    <row r="1431" customFormat="false" ht="15" hidden="false" customHeight="false" outlineLevel="0" collapsed="false">
      <c r="A1431" s="22" t="n">
        <v>46206</v>
      </c>
      <c r="B1431" s="19" t="s">
        <v>50</v>
      </c>
      <c r="C1431" s="19" t="s">
        <v>12</v>
      </c>
      <c r="D1431" s="19" t="s">
        <v>112</v>
      </c>
      <c r="E1431" s="20" t="n">
        <v>70883</v>
      </c>
      <c r="F1431" s="20" t="n">
        <v>359856</v>
      </c>
    </row>
    <row r="1432" customFormat="false" ht="15" hidden="false" customHeight="false" outlineLevel="0" collapsed="false">
      <c r="A1432" s="22" t="n">
        <v>46206</v>
      </c>
      <c r="B1432" s="19" t="s">
        <v>50</v>
      </c>
      <c r="C1432" s="19" t="s">
        <v>12</v>
      </c>
      <c r="D1432" s="19" t="s">
        <v>118</v>
      </c>
      <c r="E1432" s="20" t="n">
        <v>157292</v>
      </c>
      <c r="F1432" s="20" t="n">
        <v>433185</v>
      </c>
    </row>
    <row r="1433" customFormat="false" ht="15" hidden="false" customHeight="false" outlineLevel="0" collapsed="false">
      <c r="A1433" s="22" t="n">
        <v>46206</v>
      </c>
      <c r="B1433" s="19" t="s">
        <v>50</v>
      </c>
      <c r="C1433" s="19" t="s">
        <v>15</v>
      </c>
      <c r="D1433" s="19" t="s">
        <v>97</v>
      </c>
      <c r="E1433" s="20" t="n">
        <v>16006</v>
      </c>
      <c r="F1433" s="20" t="n">
        <v>0</v>
      </c>
    </row>
    <row r="1434" customFormat="false" ht="15" hidden="false" customHeight="false" outlineLevel="0" collapsed="false">
      <c r="A1434" s="22" t="n">
        <v>46206</v>
      </c>
      <c r="B1434" s="19" t="s">
        <v>50</v>
      </c>
      <c r="C1434" s="19" t="s">
        <v>11</v>
      </c>
      <c r="D1434" s="19" t="s">
        <v>98</v>
      </c>
      <c r="E1434" s="20" t="n">
        <v>27119</v>
      </c>
      <c r="F1434" s="20" t="n">
        <v>115000</v>
      </c>
    </row>
    <row r="1435" customFormat="false" ht="15" hidden="false" customHeight="false" outlineLevel="0" collapsed="false">
      <c r="A1435" s="22" t="n">
        <v>46206</v>
      </c>
      <c r="B1435" s="19" t="s">
        <v>50</v>
      </c>
      <c r="C1435" s="19" t="s">
        <v>12</v>
      </c>
      <c r="D1435" s="19" t="s">
        <v>121</v>
      </c>
      <c r="E1435" s="20" t="n">
        <v>5400</v>
      </c>
      <c r="F1435" s="20" t="n">
        <v>0</v>
      </c>
    </row>
    <row r="1436" customFormat="false" ht="15" hidden="false" customHeight="false" outlineLevel="0" collapsed="false">
      <c r="A1436" s="22" t="n">
        <v>46206</v>
      </c>
      <c r="B1436" s="19" t="s">
        <v>50</v>
      </c>
      <c r="C1436" s="19" t="s">
        <v>11</v>
      </c>
      <c r="D1436" s="19" t="s">
        <v>63</v>
      </c>
      <c r="E1436" s="20" t="n">
        <v>4091</v>
      </c>
      <c r="F1436" s="20" t="n">
        <v>0</v>
      </c>
    </row>
    <row r="1437" customFormat="false" ht="15" hidden="false" customHeight="false" outlineLevel="0" collapsed="false">
      <c r="A1437" s="22" t="n">
        <v>46207</v>
      </c>
      <c r="B1437" s="19" t="s">
        <v>50</v>
      </c>
      <c r="C1437" s="19" t="s">
        <v>16</v>
      </c>
      <c r="D1437" s="19" t="s">
        <v>119</v>
      </c>
      <c r="E1437" s="20" t="n">
        <v>269045</v>
      </c>
      <c r="F1437" s="20" t="n">
        <v>1359334</v>
      </c>
    </row>
    <row r="1438" customFormat="false" ht="15" hidden="false" customHeight="false" outlineLevel="0" collapsed="false">
      <c r="A1438" s="22" t="n">
        <v>46207</v>
      </c>
      <c r="B1438" s="19" t="s">
        <v>50</v>
      </c>
      <c r="C1438" s="19" t="s">
        <v>11</v>
      </c>
      <c r="D1438" s="19" t="s">
        <v>110</v>
      </c>
      <c r="E1438" s="20" t="n">
        <v>112586</v>
      </c>
      <c r="F1438" s="20" t="n">
        <v>548132</v>
      </c>
    </row>
    <row r="1439" customFormat="false" ht="15" hidden="false" customHeight="false" outlineLevel="0" collapsed="false">
      <c r="A1439" s="22" t="n">
        <v>46207</v>
      </c>
      <c r="B1439" s="19" t="s">
        <v>50</v>
      </c>
      <c r="C1439" s="19" t="s">
        <v>12</v>
      </c>
      <c r="D1439" s="19" t="s">
        <v>72</v>
      </c>
      <c r="E1439" s="20" t="n">
        <v>21851</v>
      </c>
      <c r="F1439" s="20" t="n">
        <v>131868</v>
      </c>
    </row>
    <row r="1440" customFormat="false" ht="15" hidden="false" customHeight="false" outlineLevel="0" collapsed="false">
      <c r="A1440" s="22" t="n">
        <v>46207</v>
      </c>
      <c r="B1440" s="19" t="s">
        <v>50</v>
      </c>
      <c r="C1440" s="19" t="s">
        <v>16</v>
      </c>
      <c r="D1440" s="19" t="s">
        <v>59</v>
      </c>
      <c r="E1440" s="20" t="n">
        <v>4796</v>
      </c>
      <c r="F1440" s="20" t="n">
        <v>0</v>
      </c>
    </row>
    <row r="1441" customFormat="false" ht="15" hidden="false" customHeight="false" outlineLevel="0" collapsed="false">
      <c r="A1441" s="22" t="n">
        <v>46207</v>
      </c>
      <c r="B1441" s="19" t="s">
        <v>50</v>
      </c>
      <c r="C1441" s="19" t="s">
        <v>12</v>
      </c>
      <c r="D1441" s="19" t="s">
        <v>58</v>
      </c>
      <c r="E1441" s="20" t="n">
        <v>344</v>
      </c>
      <c r="F1441" s="20" t="n">
        <v>0</v>
      </c>
    </row>
    <row r="1442" customFormat="false" ht="15" hidden="false" customHeight="false" outlineLevel="0" collapsed="false">
      <c r="A1442" s="22" t="n">
        <v>46207</v>
      </c>
      <c r="B1442" s="19" t="s">
        <v>50</v>
      </c>
      <c r="C1442" s="19" t="s">
        <v>13</v>
      </c>
      <c r="D1442" s="19" t="s">
        <v>120</v>
      </c>
      <c r="E1442" s="20" t="n">
        <v>588628</v>
      </c>
      <c r="F1442" s="20" t="n">
        <v>3501339</v>
      </c>
    </row>
    <row r="1443" customFormat="false" ht="15" hidden="false" customHeight="false" outlineLevel="0" collapsed="false">
      <c r="A1443" s="22" t="n">
        <v>46207</v>
      </c>
      <c r="B1443" s="19" t="s">
        <v>50</v>
      </c>
      <c r="C1443" s="19" t="s">
        <v>12</v>
      </c>
      <c r="D1443" s="19" t="s">
        <v>112</v>
      </c>
      <c r="E1443" s="20" t="n">
        <v>156567</v>
      </c>
      <c r="F1443" s="20" t="n">
        <v>726984</v>
      </c>
    </row>
    <row r="1444" customFormat="false" ht="15" hidden="false" customHeight="false" outlineLevel="0" collapsed="false">
      <c r="A1444" s="22" t="n">
        <v>46207</v>
      </c>
      <c r="B1444" s="19" t="s">
        <v>50</v>
      </c>
      <c r="C1444" s="19" t="s">
        <v>12</v>
      </c>
      <c r="D1444" s="19" t="s">
        <v>121</v>
      </c>
      <c r="E1444" s="20" t="n">
        <v>69574</v>
      </c>
      <c r="F1444" s="20" t="n">
        <v>340512</v>
      </c>
    </row>
    <row r="1445" customFormat="false" ht="15" hidden="false" customHeight="false" outlineLevel="0" collapsed="false">
      <c r="A1445" s="22" t="n">
        <v>46207</v>
      </c>
      <c r="B1445" s="19" t="s">
        <v>50</v>
      </c>
      <c r="C1445" s="19" t="s">
        <v>12</v>
      </c>
      <c r="D1445" s="19" t="s">
        <v>118</v>
      </c>
      <c r="E1445" s="20" t="n">
        <v>325768</v>
      </c>
      <c r="F1445" s="20" t="n">
        <v>1495228</v>
      </c>
    </row>
    <row r="1446" customFormat="false" ht="15" hidden="false" customHeight="false" outlineLevel="0" collapsed="false">
      <c r="A1446" s="22" t="n">
        <v>46207</v>
      </c>
      <c r="B1446" s="19" t="s">
        <v>50</v>
      </c>
      <c r="C1446" s="19" t="s">
        <v>15</v>
      </c>
      <c r="D1446" s="19" t="s">
        <v>97</v>
      </c>
      <c r="E1446" s="20" t="n">
        <v>53935</v>
      </c>
      <c r="F1446" s="20" t="n">
        <v>335800</v>
      </c>
    </row>
    <row r="1447" customFormat="false" ht="15" hidden="false" customHeight="false" outlineLevel="0" collapsed="false">
      <c r="A1447" s="22" t="n">
        <v>46207</v>
      </c>
      <c r="B1447" s="19" t="s">
        <v>50</v>
      </c>
      <c r="C1447" s="19" t="s">
        <v>11</v>
      </c>
      <c r="D1447" s="19" t="s">
        <v>98</v>
      </c>
      <c r="E1447" s="20" t="n">
        <v>89005</v>
      </c>
      <c r="F1447" s="20" t="n">
        <v>431461</v>
      </c>
    </row>
    <row r="1448" customFormat="false" ht="15" hidden="false" customHeight="false" outlineLevel="0" collapsed="false">
      <c r="A1448" s="22" t="n">
        <v>46207</v>
      </c>
      <c r="B1448" s="19" t="s">
        <v>50</v>
      </c>
      <c r="C1448" s="19" t="s">
        <v>11</v>
      </c>
      <c r="D1448" s="19" t="s">
        <v>63</v>
      </c>
      <c r="E1448" s="20" t="n">
        <v>8010</v>
      </c>
      <c r="F1448" s="20" t="n">
        <v>39000</v>
      </c>
    </row>
    <row r="1449" customFormat="false" ht="15" hidden="false" customHeight="false" outlineLevel="0" collapsed="false">
      <c r="A1449" s="22" t="n">
        <v>46208</v>
      </c>
      <c r="B1449" s="19" t="s">
        <v>50</v>
      </c>
      <c r="C1449" s="19" t="s">
        <v>16</v>
      </c>
      <c r="D1449" s="19" t="s">
        <v>119</v>
      </c>
      <c r="E1449" s="20" t="n">
        <v>300000</v>
      </c>
      <c r="F1449" s="20" t="n">
        <v>1707283</v>
      </c>
    </row>
    <row r="1450" customFormat="false" ht="15" hidden="false" customHeight="false" outlineLevel="0" collapsed="false">
      <c r="A1450" s="22" t="n">
        <v>46208</v>
      </c>
      <c r="B1450" s="19" t="s">
        <v>50</v>
      </c>
      <c r="C1450" s="19" t="s">
        <v>16</v>
      </c>
      <c r="D1450" s="19" t="s">
        <v>59</v>
      </c>
      <c r="E1450" s="20" t="n">
        <v>85553</v>
      </c>
      <c r="F1450" s="20" t="n">
        <v>387100</v>
      </c>
    </row>
    <row r="1451" customFormat="false" ht="15" hidden="false" customHeight="false" outlineLevel="0" collapsed="false">
      <c r="A1451" s="22" t="n">
        <v>46208</v>
      </c>
      <c r="B1451" s="19" t="s">
        <v>50</v>
      </c>
      <c r="C1451" s="19" t="s">
        <v>12</v>
      </c>
      <c r="D1451" s="19" t="s">
        <v>58</v>
      </c>
      <c r="E1451" s="20" t="n">
        <v>118678</v>
      </c>
      <c r="F1451" s="20" t="n">
        <v>647739</v>
      </c>
    </row>
    <row r="1452" customFormat="false" ht="15" hidden="false" customHeight="false" outlineLevel="0" collapsed="false">
      <c r="A1452" s="22" t="n">
        <v>46208</v>
      </c>
      <c r="B1452" s="19" t="s">
        <v>50</v>
      </c>
      <c r="C1452" s="19" t="s">
        <v>11</v>
      </c>
      <c r="D1452" s="19" t="s">
        <v>110</v>
      </c>
      <c r="E1452" s="20" t="n">
        <v>24379</v>
      </c>
      <c r="F1452" s="20" t="n">
        <v>115000</v>
      </c>
    </row>
    <row r="1453" customFormat="false" ht="15" hidden="false" customHeight="false" outlineLevel="0" collapsed="false">
      <c r="A1453" s="22" t="n">
        <v>46208</v>
      </c>
      <c r="B1453" s="19" t="s">
        <v>50</v>
      </c>
      <c r="C1453" s="19" t="s">
        <v>12</v>
      </c>
      <c r="D1453" s="19" t="s">
        <v>72</v>
      </c>
      <c r="E1453" s="20" t="n">
        <v>5456</v>
      </c>
      <c r="F1453" s="20" t="n">
        <v>0</v>
      </c>
    </row>
    <row r="1454" customFormat="false" ht="15" hidden="false" customHeight="false" outlineLevel="0" collapsed="false">
      <c r="A1454" s="22" t="n">
        <v>46208</v>
      </c>
      <c r="B1454" s="19" t="s">
        <v>50</v>
      </c>
      <c r="C1454" s="19" t="s">
        <v>13</v>
      </c>
      <c r="D1454" s="19" t="s">
        <v>120</v>
      </c>
      <c r="E1454" s="20" t="n">
        <v>380517</v>
      </c>
      <c r="F1454" s="20" t="n">
        <v>2048617</v>
      </c>
    </row>
    <row r="1455" customFormat="false" ht="15" hidden="false" customHeight="false" outlineLevel="0" collapsed="false">
      <c r="A1455" s="22" t="n">
        <v>46208</v>
      </c>
      <c r="B1455" s="19" t="s">
        <v>50</v>
      </c>
      <c r="C1455" s="19" t="s">
        <v>12</v>
      </c>
      <c r="D1455" s="19" t="s">
        <v>121</v>
      </c>
      <c r="E1455" s="20" t="n">
        <v>199539</v>
      </c>
      <c r="F1455" s="20" t="n">
        <v>847916</v>
      </c>
    </row>
    <row r="1456" customFormat="false" ht="15" hidden="false" customHeight="false" outlineLevel="0" collapsed="false">
      <c r="A1456" s="22" t="n">
        <v>46208</v>
      </c>
      <c r="B1456" s="19" t="s">
        <v>50</v>
      </c>
      <c r="C1456" s="19" t="s">
        <v>12</v>
      </c>
      <c r="D1456" s="19" t="s">
        <v>118</v>
      </c>
      <c r="E1456" s="20" t="n">
        <v>173286</v>
      </c>
      <c r="F1456" s="20" t="n">
        <v>880202</v>
      </c>
    </row>
    <row r="1457" customFormat="false" ht="15" hidden="false" customHeight="false" outlineLevel="0" collapsed="false">
      <c r="A1457" s="22" t="n">
        <v>46208</v>
      </c>
      <c r="B1457" s="19" t="s">
        <v>50</v>
      </c>
      <c r="C1457" s="19" t="s">
        <v>12</v>
      </c>
      <c r="D1457" s="19" t="s">
        <v>112</v>
      </c>
      <c r="E1457" s="20" t="n">
        <v>33061</v>
      </c>
      <c r="F1457" s="20" t="n">
        <v>75000</v>
      </c>
    </row>
    <row r="1458" customFormat="false" ht="15" hidden="false" customHeight="false" outlineLevel="0" collapsed="false">
      <c r="A1458" s="22" t="n">
        <v>46208</v>
      </c>
      <c r="B1458" s="19" t="s">
        <v>50</v>
      </c>
      <c r="C1458" s="19" t="s">
        <v>11</v>
      </c>
      <c r="D1458" s="19" t="s">
        <v>98</v>
      </c>
      <c r="E1458" s="20" t="n">
        <v>41608</v>
      </c>
      <c r="F1458" s="20" t="n">
        <v>115000</v>
      </c>
    </row>
    <row r="1459" customFormat="false" ht="15" hidden="false" customHeight="false" outlineLevel="0" collapsed="false">
      <c r="A1459" s="22" t="n">
        <v>46208</v>
      </c>
      <c r="B1459" s="19" t="s">
        <v>50</v>
      </c>
      <c r="C1459" s="19" t="s">
        <v>15</v>
      </c>
      <c r="D1459" s="19" t="s">
        <v>97</v>
      </c>
      <c r="E1459" s="20" t="n">
        <v>13942</v>
      </c>
      <c r="F1459" s="20" t="n">
        <v>69000</v>
      </c>
    </row>
    <row r="1460" customFormat="false" ht="15" hidden="false" customHeight="false" outlineLevel="0" collapsed="false">
      <c r="A1460" s="22" t="n">
        <v>46208</v>
      </c>
      <c r="B1460" s="19" t="s">
        <v>50</v>
      </c>
      <c r="C1460" s="19" t="s">
        <v>11</v>
      </c>
      <c r="D1460" s="19" t="s">
        <v>63</v>
      </c>
      <c r="E1460" s="20" t="n">
        <v>7183</v>
      </c>
      <c r="F1460" s="20" t="n">
        <v>78000</v>
      </c>
    </row>
    <row r="1461" customFormat="false" ht="15" hidden="false" customHeight="false" outlineLevel="0" collapsed="false">
      <c r="A1461" s="22" t="n">
        <v>46209</v>
      </c>
      <c r="B1461" s="19" t="s">
        <v>50</v>
      </c>
      <c r="C1461" s="19" t="s">
        <v>12</v>
      </c>
      <c r="D1461" s="19" t="s">
        <v>72</v>
      </c>
      <c r="E1461" s="20" t="n">
        <v>162112</v>
      </c>
      <c r="F1461" s="20" t="n">
        <v>2050819</v>
      </c>
    </row>
    <row r="1462" customFormat="false" ht="15" hidden="false" customHeight="false" outlineLevel="0" collapsed="false">
      <c r="A1462" s="22" t="n">
        <v>46209</v>
      </c>
      <c r="B1462" s="19" t="s">
        <v>50</v>
      </c>
      <c r="C1462" s="19" t="s">
        <v>16</v>
      </c>
      <c r="D1462" s="19" t="s">
        <v>119</v>
      </c>
      <c r="E1462" s="20" t="n">
        <v>38652</v>
      </c>
      <c r="F1462" s="20" t="n">
        <v>0</v>
      </c>
    </row>
    <row r="1463" customFormat="false" ht="15" hidden="false" customHeight="false" outlineLevel="0" collapsed="false">
      <c r="A1463" s="22" t="n">
        <v>46209</v>
      </c>
      <c r="B1463" s="19" t="s">
        <v>50</v>
      </c>
      <c r="C1463" s="19" t="s">
        <v>11</v>
      </c>
      <c r="D1463" s="19" t="s">
        <v>110</v>
      </c>
      <c r="E1463" s="20" t="n">
        <v>29183</v>
      </c>
      <c r="F1463" s="20" t="n">
        <v>0</v>
      </c>
    </row>
    <row r="1464" customFormat="false" ht="15" hidden="false" customHeight="false" outlineLevel="0" collapsed="false">
      <c r="A1464" s="22" t="n">
        <v>46209</v>
      </c>
      <c r="B1464" s="19" t="s">
        <v>50</v>
      </c>
      <c r="C1464" s="19" t="s">
        <v>16</v>
      </c>
      <c r="D1464" s="19" t="s">
        <v>59</v>
      </c>
      <c r="E1464" s="20" t="n">
        <v>6771</v>
      </c>
      <c r="F1464" s="20" t="n">
        <v>0</v>
      </c>
    </row>
    <row r="1465" customFormat="false" ht="15" hidden="false" customHeight="false" outlineLevel="0" collapsed="false">
      <c r="A1465" s="22" t="n">
        <v>46209</v>
      </c>
      <c r="B1465" s="19" t="s">
        <v>50</v>
      </c>
      <c r="C1465" s="19" t="s">
        <v>12</v>
      </c>
      <c r="D1465" s="19" t="s">
        <v>58</v>
      </c>
      <c r="E1465" s="20" t="n">
        <v>6319</v>
      </c>
      <c r="F1465" s="20" t="n">
        <v>0</v>
      </c>
    </row>
    <row r="1466" customFormat="false" ht="15" hidden="false" customHeight="false" outlineLevel="0" collapsed="false">
      <c r="A1466" s="22" t="n">
        <v>46209</v>
      </c>
      <c r="B1466" s="19" t="s">
        <v>50</v>
      </c>
      <c r="C1466" s="19" t="s">
        <v>13</v>
      </c>
      <c r="D1466" s="19" t="s">
        <v>120</v>
      </c>
      <c r="E1466" s="20" t="n">
        <v>341238</v>
      </c>
      <c r="F1466" s="20" t="n">
        <v>1343955</v>
      </c>
    </row>
    <row r="1467" customFormat="false" ht="15" hidden="false" customHeight="false" outlineLevel="0" collapsed="false">
      <c r="A1467" s="22" t="n">
        <v>46209</v>
      </c>
      <c r="B1467" s="19" t="s">
        <v>50</v>
      </c>
      <c r="C1467" s="19" t="s">
        <v>12</v>
      </c>
      <c r="D1467" s="19" t="s">
        <v>121</v>
      </c>
      <c r="E1467" s="20" t="n">
        <v>55849</v>
      </c>
      <c r="F1467" s="20" t="n">
        <v>215689</v>
      </c>
    </row>
    <row r="1468" customFormat="false" ht="15" hidden="false" customHeight="false" outlineLevel="0" collapsed="false">
      <c r="A1468" s="22" t="n">
        <v>46209</v>
      </c>
      <c r="B1468" s="19" t="s">
        <v>50</v>
      </c>
      <c r="C1468" s="19" t="s">
        <v>12</v>
      </c>
      <c r="D1468" s="19" t="s">
        <v>112</v>
      </c>
      <c r="E1468" s="20" t="n">
        <v>60673</v>
      </c>
      <c r="F1468" s="20" t="n">
        <v>190000</v>
      </c>
    </row>
    <row r="1469" customFormat="false" ht="15" hidden="false" customHeight="false" outlineLevel="0" collapsed="false">
      <c r="A1469" s="22" t="n">
        <v>46209</v>
      </c>
      <c r="B1469" s="19" t="s">
        <v>50</v>
      </c>
      <c r="C1469" s="19" t="s">
        <v>12</v>
      </c>
      <c r="D1469" s="19" t="s">
        <v>118</v>
      </c>
      <c r="E1469" s="20" t="n">
        <v>85701</v>
      </c>
      <c r="F1469" s="20" t="n">
        <v>236038</v>
      </c>
    </row>
    <row r="1470" customFormat="false" ht="15" hidden="false" customHeight="false" outlineLevel="0" collapsed="false">
      <c r="A1470" s="22" t="n">
        <v>46209</v>
      </c>
      <c r="B1470" s="19" t="s">
        <v>50</v>
      </c>
      <c r="C1470" s="19" t="s">
        <v>11</v>
      </c>
      <c r="D1470" s="19" t="s">
        <v>98</v>
      </c>
      <c r="E1470" s="20" t="n">
        <v>24730</v>
      </c>
      <c r="F1470" s="20" t="n">
        <v>115000</v>
      </c>
    </row>
    <row r="1471" customFormat="false" ht="15" hidden="false" customHeight="false" outlineLevel="0" collapsed="false">
      <c r="A1471" s="22" t="n">
        <v>46209</v>
      </c>
      <c r="B1471" s="19" t="s">
        <v>50</v>
      </c>
      <c r="C1471" s="19" t="s">
        <v>15</v>
      </c>
      <c r="D1471" s="19" t="s">
        <v>97</v>
      </c>
      <c r="E1471" s="20" t="n">
        <v>11269</v>
      </c>
      <c r="F1471" s="20" t="n">
        <v>0</v>
      </c>
    </row>
    <row r="1472" customFormat="false" ht="15" hidden="false" customHeight="false" outlineLevel="0" collapsed="false">
      <c r="A1472" s="22" t="n">
        <v>46210</v>
      </c>
      <c r="B1472" s="19" t="s">
        <v>50</v>
      </c>
      <c r="C1472" s="19" t="s">
        <v>16</v>
      </c>
      <c r="D1472" s="19" t="s">
        <v>119</v>
      </c>
      <c r="E1472" s="20" t="n">
        <v>287939</v>
      </c>
      <c r="F1472" s="20" t="n">
        <v>1492138</v>
      </c>
    </row>
    <row r="1473" customFormat="false" ht="15" hidden="false" customHeight="false" outlineLevel="0" collapsed="false">
      <c r="A1473" s="22" t="n">
        <v>46210</v>
      </c>
      <c r="B1473" s="19" t="s">
        <v>50</v>
      </c>
      <c r="C1473" s="19" t="s">
        <v>16</v>
      </c>
      <c r="D1473" s="19" t="s">
        <v>59</v>
      </c>
      <c r="E1473" s="20" t="n">
        <v>102822</v>
      </c>
      <c r="F1473" s="20" t="n">
        <v>299059</v>
      </c>
    </row>
    <row r="1474" customFormat="false" ht="15" hidden="false" customHeight="false" outlineLevel="0" collapsed="false">
      <c r="A1474" s="22" t="n">
        <v>46210</v>
      </c>
      <c r="B1474" s="19" t="s">
        <v>50</v>
      </c>
      <c r="C1474" s="19" t="s">
        <v>11</v>
      </c>
      <c r="D1474" s="19" t="s">
        <v>110</v>
      </c>
      <c r="E1474" s="20" t="n">
        <v>48836</v>
      </c>
      <c r="F1474" s="20" t="n">
        <v>0</v>
      </c>
    </row>
    <row r="1475" customFormat="false" ht="15" hidden="false" customHeight="false" outlineLevel="0" collapsed="false">
      <c r="A1475" s="22" t="n">
        <v>46210</v>
      </c>
      <c r="B1475" s="19" t="s">
        <v>50</v>
      </c>
      <c r="C1475" s="19" t="s">
        <v>12</v>
      </c>
      <c r="D1475" s="19" t="s">
        <v>72</v>
      </c>
      <c r="E1475" s="20" t="n">
        <v>144217</v>
      </c>
      <c r="F1475" s="20" t="n">
        <v>0</v>
      </c>
    </row>
    <row r="1476" customFormat="false" ht="15" hidden="false" customHeight="false" outlineLevel="0" collapsed="false">
      <c r="A1476" s="22" t="n">
        <v>46210</v>
      </c>
      <c r="B1476" s="19" t="s">
        <v>50</v>
      </c>
      <c r="C1476" s="19" t="s">
        <v>12</v>
      </c>
      <c r="D1476" s="19" t="s">
        <v>58</v>
      </c>
      <c r="E1476" s="20" t="n">
        <v>16897</v>
      </c>
      <c r="F1476" s="20" t="n">
        <v>0</v>
      </c>
    </row>
    <row r="1477" customFormat="false" ht="15" hidden="false" customHeight="false" outlineLevel="0" collapsed="false">
      <c r="A1477" s="22" t="n">
        <v>46210</v>
      </c>
      <c r="B1477" s="19" t="s">
        <v>50</v>
      </c>
      <c r="C1477" s="19" t="s">
        <v>13</v>
      </c>
      <c r="D1477" s="19" t="s">
        <v>120</v>
      </c>
      <c r="E1477" s="20" t="n">
        <v>1100000</v>
      </c>
      <c r="F1477" s="20" t="n">
        <v>7111253</v>
      </c>
    </row>
    <row r="1478" customFormat="false" ht="15" hidden="false" customHeight="false" outlineLevel="0" collapsed="false">
      <c r="A1478" s="22" t="n">
        <v>46210</v>
      </c>
      <c r="B1478" s="19" t="s">
        <v>50</v>
      </c>
      <c r="C1478" s="19" t="s">
        <v>12</v>
      </c>
      <c r="D1478" s="19" t="s">
        <v>118</v>
      </c>
      <c r="E1478" s="20" t="n">
        <v>549167</v>
      </c>
      <c r="F1478" s="20" t="n">
        <v>2596680</v>
      </c>
    </row>
    <row r="1479" customFormat="false" ht="15" hidden="false" customHeight="false" outlineLevel="0" collapsed="false">
      <c r="A1479" s="22" t="n">
        <v>46210</v>
      </c>
      <c r="B1479" s="19" t="s">
        <v>50</v>
      </c>
      <c r="C1479" s="19" t="s">
        <v>15</v>
      </c>
      <c r="D1479" s="19" t="s">
        <v>97</v>
      </c>
      <c r="E1479" s="20" t="n">
        <v>245279</v>
      </c>
      <c r="F1479" s="20" t="n">
        <v>1027357</v>
      </c>
    </row>
    <row r="1480" customFormat="false" ht="15" hidden="false" customHeight="false" outlineLevel="0" collapsed="false">
      <c r="A1480" s="22" t="n">
        <v>46210</v>
      </c>
      <c r="B1480" s="19" t="s">
        <v>50</v>
      </c>
      <c r="C1480" s="19" t="s">
        <v>12</v>
      </c>
      <c r="D1480" s="19" t="s">
        <v>112</v>
      </c>
      <c r="E1480" s="20" t="n">
        <v>220524</v>
      </c>
      <c r="F1480" s="20" t="n">
        <v>1130558</v>
      </c>
    </row>
    <row r="1481" customFormat="false" ht="15" hidden="false" customHeight="false" outlineLevel="0" collapsed="false">
      <c r="A1481" s="22" t="n">
        <v>46210</v>
      </c>
      <c r="B1481" s="19" t="s">
        <v>50</v>
      </c>
      <c r="C1481" s="19" t="s">
        <v>11</v>
      </c>
      <c r="D1481" s="19" t="s">
        <v>98</v>
      </c>
      <c r="E1481" s="20" t="n">
        <v>200000</v>
      </c>
      <c r="F1481" s="20" t="n">
        <v>996296</v>
      </c>
    </row>
    <row r="1482" customFormat="false" ht="15" hidden="false" customHeight="false" outlineLevel="0" collapsed="false">
      <c r="A1482" s="22" t="n">
        <v>46210</v>
      </c>
      <c r="B1482" s="19" t="s">
        <v>50</v>
      </c>
      <c r="C1482" s="19" t="s">
        <v>12</v>
      </c>
      <c r="D1482" s="19" t="s">
        <v>121</v>
      </c>
      <c r="E1482" s="20" t="n">
        <v>16568</v>
      </c>
      <c r="F1482" s="20" t="n">
        <v>0</v>
      </c>
    </row>
    <row r="1483" customFormat="false" ht="15" hidden="false" customHeight="false" outlineLevel="0" collapsed="false">
      <c r="A1483" s="22" t="n">
        <v>46113</v>
      </c>
      <c r="B1483" s="19" t="s">
        <v>51</v>
      </c>
      <c r="C1483" s="19" t="s">
        <v>12</v>
      </c>
      <c r="D1483" s="19" t="s">
        <v>122</v>
      </c>
      <c r="E1483" s="20" t="n">
        <v>46579</v>
      </c>
      <c r="F1483" s="20" t="n">
        <v>101850</v>
      </c>
    </row>
    <row r="1484" customFormat="false" ht="15" hidden="false" customHeight="false" outlineLevel="0" collapsed="false">
      <c r="A1484" s="22" t="n">
        <v>46113</v>
      </c>
      <c r="B1484" s="19" t="s">
        <v>51</v>
      </c>
      <c r="C1484" s="19" t="s">
        <v>12</v>
      </c>
      <c r="D1484" s="19" t="s">
        <v>123</v>
      </c>
      <c r="E1484" s="20" t="n">
        <v>336634</v>
      </c>
      <c r="F1484" s="20" t="n">
        <v>1573909</v>
      </c>
    </row>
    <row r="1485" customFormat="false" ht="15" hidden="false" customHeight="false" outlineLevel="0" collapsed="false">
      <c r="A1485" s="22" t="n">
        <v>46113</v>
      </c>
      <c r="B1485" s="19" t="s">
        <v>51</v>
      </c>
      <c r="C1485" s="19" t="s">
        <v>12</v>
      </c>
      <c r="D1485" s="19" t="s">
        <v>124</v>
      </c>
      <c r="E1485" s="20" t="n">
        <v>50170</v>
      </c>
      <c r="F1485" s="20" t="n">
        <v>101850</v>
      </c>
    </row>
    <row r="1486" customFormat="false" ht="15" hidden="false" customHeight="false" outlineLevel="0" collapsed="false">
      <c r="A1486" s="22" t="n">
        <v>46113</v>
      </c>
      <c r="B1486" s="19" t="s">
        <v>51</v>
      </c>
      <c r="C1486" s="19" t="s">
        <v>13</v>
      </c>
      <c r="D1486" s="19" t="s">
        <v>125</v>
      </c>
      <c r="E1486" s="20" t="n">
        <v>152474</v>
      </c>
      <c r="F1486" s="20" t="n">
        <v>688940</v>
      </c>
    </row>
    <row r="1487" customFormat="false" ht="15" hidden="false" customHeight="false" outlineLevel="0" collapsed="false">
      <c r="A1487" s="22" t="n">
        <v>46113</v>
      </c>
      <c r="B1487" s="19" t="s">
        <v>51</v>
      </c>
      <c r="C1487" s="19" t="s">
        <v>12</v>
      </c>
      <c r="D1487" s="19" t="s">
        <v>126</v>
      </c>
      <c r="E1487" s="20" t="n">
        <v>69892</v>
      </c>
      <c r="F1487" s="20" t="n">
        <v>616503</v>
      </c>
    </row>
    <row r="1488" customFormat="false" ht="15" hidden="false" customHeight="false" outlineLevel="0" collapsed="false">
      <c r="A1488" s="22" t="n">
        <v>46113</v>
      </c>
      <c r="B1488" s="19" t="s">
        <v>51</v>
      </c>
      <c r="C1488" s="19" t="s">
        <v>13</v>
      </c>
      <c r="D1488" s="19" t="s">
        <v>127</v>
      </c>
      <c r="E1488" s="20" t="n">
        <v>261644</v>
      </c>
      <c r="F1488" s="20" t="n">
        <v>1742900</v>
      </c>
    </row>
    <row r="1489" customFormat="false" ht="15" hidden="false" customHeight="false" outlineLevel="0" collapsed="false">
      <c r="A1489" s="22" t="n">
        <v>46113</v>
      </c>
      <c r="B1489" s="19" t="s">
        <v>51</v>
      </c>
      <c r="C1489" s="19" t="s">
        <v>12</v>
      </c>
      <c r="D1489" s="19" t="s">
        <v>128</v>
      </c>
      <c r="E1489" s="20" t="n">
        <v>200552</v>
      </c>
      <c r="F1489" s="20" t="n">
        <v>773810</v>
      </c>
    </row>
    <row r="1490" customFormat="false" ht="15" hidden="false" customHeight="false" outlineLevel="0" collapsed="false">
      <c r="A1490" s="22" t="n">
        <v>46113</v>
      </c>
      <c r="B1490" s="19" t="s">
        <v>51</v>
      </c>
      <c r="C1490" s="19" t="s">
        <v>12</v>
      </c>
      <c r="D1490" s="19" t="s">
        <v>129</v>
      </c>
      <c r="E1490" s="20" t="n">
        <v>53849</v>
      </c>
      <c r="F1490" s="20" t="n">
        <v>337250</v>
      </c>
    </row>
    <row r="1491" customFormat="false" ht="15" hidden="false" customHeight="false" outlineLevel="0" collapsed="false">
      <c r="A1491" s="22" t="n">
        <v>46113</v>
      </c>
      <c r="B1491" s="19" t="s">
        <v>51</v>
      </c>
      <c r="C1491" s="19" t="s">
        <v>14</v>
      </c>
      <c r="D1491" s="19" t="s">
        <v>130</v>
      </c>
      <c r="E1491" s="20" t="n">
        <v>76125</v>
      </c>
      <c r="F1491" s="20" t="n">
        <v>402300</v>
      </c>
    </row>
    <row r="1492" customFormat="false" ht="15" hidden="false" customHeight="false" outlineLevel="0" collapsed="false">
      <c r="A1492" s="22" t="n">
        <v>46113</v>
      </c>
      <c r="B1492" s="19" t="s">
        <v>51</v>
      </c>
      <c r="C1492" s="19" t="s">
        <v>12</v>
      </c>
      <c r="D1492" s="19" t="s">
        <v>131</v>
      </c>
      <c r="E1492" s="20" t="n">
        <v>67444</v>
      </c>
      <c r="F1492" s="20" t="n">
        <v>295000</v>
      </c>
    </row>
    <row r="1493" customFormat="false" ht="15" hidden="false" customHeight="false" outlineLevel="0" collapsed="false">
      <c r="A1493" s="22" t="n">
        <v>46113</v>
      </c>
      <c r="B1493" s="19" t="s">
        <v>51</v>
      </c>
      <c r="C1493" s="19" t="s">
        <v>12</v>
      </c>
      <c r="D1493" s="19" t="s">
        <v>132</v>
      </c>
      <c r="E1493" s="20" t="n">
        <v>10827</v>
      </c>
      <c r="F1493" s="20" t="n">
        <v>0</v>
      </c>
    </row>
    <row r="1494" customFormat="false" ht="15" hidden="false" customHeight="false" outlineLevel="0" collapsed="false">
      <c r="A1494" s="22" t="n">
        <v>46114</v>
      </c>
      <c r="B1494" s="19" t="s">
        <v>51</v>
      </c>
      <c r="C1494" s="19" t="s">
        <v>70</v>
      </c>
      <c r="D1494" s="19" t="s">
        <v>133</v>
      </c>
      <c r="E1494" s="20" t="n">
        <v>7614</v>
      </c>
      <c r="F1494" s="20" t="n">
        <v>86250</v>
      </c>
    </row>
    <row r="1495" customFormat="false" ht="15" hidden="false" customHeight="false" outlineLevel="0" collapsed="false">
      <c r="A1495" s="22" t="n">
        <v>46114</v>
      </c>
      <c r="B1495" s="19" t="s">
        <v>51</v>
      </c>
      <c r="C1495" s="19" t="s">
        <v>70</v>
      </c>
      <c r="D1495" s="19" t="s">
        <v>134</v>
      </c>
      <c r="E1495" s="20" t="n">
        <v>70</v>
      </c>
      <c r="F1495" s="20" t="n">
        <v>0</v>
      </c>
    </row>
    <row r="1496" customFormat="false" ht="15" hidden="false" customHeight="false" outlineLevel="0" collapsed="false">
      <c r="A1496" s="22" t="n">
        <v>46114</v>
      </c>
      <c r="B1496" s="19" t="s">
        <v>51</v>
      </c>
      <c r="C1496" s="19" t="s">
        <v>12</v>
      </c>
      <c r="D1496" s="19" t="s">
        <v>122</v>
      </c>
      <c r="E1496" s="20" t="n">
        <v>100000</v>
      </c>
      <c r="F1496" s="20" t="n">
        <v>533550</v>
      </c>
    </row>
    <row r="1497" customFormat="false" ht="15" hidden="false" customHeight="false" outlineLevel="0" collapsed="false">
      <c r="A1497" s="22" t="n">
        <v>46114</v>
      </c>
      <c r="B1497" s="19" t="s">
        <v>51</v>
      </c>
      <c r="C1497" s="19" t="s">
        <v>12</v>
      </c>
      <c r="D1497" s="19" t="s">
        <v>123</v>
      </c>
      <c r="E1497" s="20" t="n">
        <v>164486</v>
      </c>
      <c r="F1497" s="20" t="n">
        <v>626801</v>
      </c>
    </row>
    <row r="1498" customFormat="false" ht="15" hidden="false" customHeight="false" outlineLevel="0" collapsed="false">
      <c r="A1498" s="22" t="n">
        <v>46114</v>
      </c>
      <c r="B1498" s="19" t="s">
        <v>51</v>
      </c>
      <c r="C1498" s="19" t="s">
        <v>12</v>
      </c>
      <c r="D1498" s="19" t="s">
        <v>124</v>
      </c>
      <c r="E1498" s="20" t="n">
        <v>210874</v>
      </c>
      <c r="F1498" s="20" t="n">
        <v>1522550</v>
      </c>
    </row>
    <row r="1499" customFormat="false" ht="15" hidden="false" customHeight="false" outlineLevel="0" collapsed="false">
      <c r="A1499" s="22" t="n">
        <v>46114</v>
      </c>
      <c r="B1499" s="19" t="s">
        <v>51</v>
      </c>
      <c r="C1499" s="19" t="s">
        <v>12</v>
      </c>
      <c r="D1499" s="19" t="s">
        <v>126</v>
      </c>
      <c r="E1499" s="20" t="n">
        <v>135986</v>
      </c>
      <c r="F1499" s="20" t="n">
        <v>647155</v>
      </c>
    </row>
    <row r="1500" customFormat="false" ht="15" hidden="false" customHeight="false" outlineLevel="0" collapsed="false">
      <c r="A1500" s="22" t="n">
        <v>46114</v>
      </c>
      <c r="B1500" s="19" t="s">
        <v>51</v>
      </c>
      <c r="C1500" s="19" t="s">
        <v>12</v>
      </c>
      <c r="D1500" s="19" t="s">
        <v>128</v>
      </c>
      <c r="E1500" s="20" t="n">
        <v>200000</v>
      </c>
      <c r="F1500" s="20" t="n">
        <v>1351730</v>
      </c>
    </row>
    <row r="1501" customFormat="false" ht="15" hidden="false" customHeight="false" outlineLevel="0" collapsed="false">
      <c r="A1501" s="22" t="n">
        <v>46114</v>
      </c>
      <c r="B1501" s="19" t="s">
        <v>51</v>
      </c>
      <c r="C1501" s="19" t="s">
        <v>13</v>
      </c>
      <c r="D1501" s="19" t="s">
        <v>125</v>
      </c>
      <c r="E1501" s="20" t="n">
        <v>169589</v>
      </c>
      <c r="F1501" s="20" t="n">
        <v>673761</v>
      </c>
    </row>
    <row r="1502" customFormat="false" ht="15" hidden="false" customHeight="false" outlineLevel="0" collapsed="false">
      <c r="A1502" s="22" t="n">
        <v>46114</v>
      </c>
      <c r="B1502" s="19" t="s">
        <v>51</v>
      </c>
      <c r="C1502" s="19" t="s">
        <v>13</v>
      </c>
      <c r="D1502" s="19" t="s">
        <v>127</v>
      </c>
      <c r="E1502" s="20" t="n">
        <v>194137</v>
      </c>
      <c r="F1502" s="20" t="n">
        <v>1072320</v>
      </c>
    </row>
    <row r="1503" customFormat="false" ht="15" hidden="false" customHeight="false" outlineLevel="0" collapsed="false">
      <c r="A1503" s="22" t="n">
        <v>46114</v>
      </c>
      <c r="B1503" s="19" t="s">
        <v>51</v>
      </c>
      <c r="C1503" s="19" t="s">
        <v>12</v>
      </c>
      <c r="D1503" s="19" t="s">
        <v>129</v>
      </c>
      <c r="E1503" s="20" t="n">
        <v>100000</v>
      </c>
      <c r="F1503" s="20" t="n">
        <v>0</v>
      </c>
    </row>
    <row r="1504" customFormat="false" ht="15" hidden="false" customHeight="false" outlineLevel="0" collapsed="false">
      <c r="A1504" s="22" t="n">
        <v>46114</v>
      </c>
      <c r="B1504" s="19" t="s">
        <v>51</v>
      </c>
      <c r="C1504" s="19" t="s">
        <v>14</v>
      </c>
      <c r="D1504" s="19" t="s">
        <v>130</v>
      </c>
      <c r="E1504" s="20" t="n">
        <v>75895</v>
      </c>
      <c r="F1504" s="20" t="n">
        <v>405520</v>
      </c>
    </row>
    <row r="1505" customFormat="false" ht="15" hidden="false" customHeight="false" outlineLevel="0" collapsed="false">
      <c r="A1505" s="22" t="n">
        <v>46114</v>
      </c>
      <c r="B1505" s="19" t="s">
        <v>51</v>
      </c>
      <c r="C1505" s="19" t="s">
        <v>15</v>
      </c>
      <c r="D1505" s="19" t="s">
        <v>135</v>
      </c>
      <c r="E1505" s="20" t="n">
        <v>15970</v>
      </c>
      <c r="F1505" s="20" t="n">
        <v>32000</v>
      </c>
    </row>
    <row r="1506" customFormat="false" ht="15" hidden="false" customHeight="false" outlineLevel="0" collapsed="false">
      <c r="A1506" s="22" t="n">
        <v>46114</v>
      </c>
      <c r="B1506" s="19" t="s">
        <v>51</v>
      </c>
      <c r="C1506" s="19" t="s">
        <v>12</v>
      </c>
      <c r="D1506" s="19" t="s">
        <v>131</v>
      </c>
      <c r="E1506" s="20" t="n">
        <v>24291</v>
      </c>
      <c r="F1506" s="20" t="n">
        <v>0</v>
      </c>
    </row>
    <row r="1507" customFormat="false" ht="15" hidden="false" customHeight="false" outlineLevel="0" collapsed="false">
      <c r="A1507" s="22" t="n">
        <v>46114</v>
      </c>
      <c r="B1507" s="19" t="s">
        <v>51</v>
      </c>
      <c r="C1507" s="19" t="s">
        <v>12</v>
      </c>
      <c r="D1507" s="19" t="s">
        <v>132</v>
      </c>
      <c r="E1507" s="20" t="n">
        <v>5039</v>
      </c>
      <c r="F1507" s="20" t="n">
        <v>0</v>
      </c>
    </row>
    <row r="1508" customFormat="false" ht="15" hidden="false" customHeight="false" outlineLevel="0" collapsed="false">
      <c r="A1508" s="22" t="n">
        <v>46115</v>
      </c>
      <c r="B1508" s="19" t="s">
        <v>51</v>
      </c>
      <c r="C1508" s="19" t="s">
        <v>14</v>
      </c>
      <c r="D1508" s="19" t="s">
        <v>73</v>
      </c>
      <c r="E1508" s="20" t="n">
        <v>21411</v>
      </c>
      <c r="F1508" s="20" t="n">
        <v>0</v>
      </c>
    </row>
    <row r="1509" customFormat="false" ht="15" hidden="false" customHeight="false" outlineLevel="0" collapsed="false">
      <c r="A1509" s="22" t="n">
        <v>46115</v>
      </c>
      <c r="B1509" s="19" t="s">
        <v>51</v>
      </c>
      <c r="C1509" s="19" t="s">
        <v>70</v>
      </c>
      <c r="D1509" s="19" t="s">
        <v>133</v>
      </c>
      <c r="E1509" s="20" t="n">
        <v>5901</v>
      </c>
      <c r="F1509" s="20" t="n">
        <v>0</v>
      </c>
    </row>
    <row r="1510" customFormat="false" ht="15" hidden="false" customHeight="false" outlineLevel="0" collapsed="false">
      <c r="A1510" s="22" t="n">
        <v>46115</v>
      </c>
      <c r="B1510" s="19" t="s">
        <v>51</v>
      </c>
      <c r="C1510" s="19" t="s">
        <v>70</v>
      </c>
      <c r="D1510" s="19" t="s">
        <v>134</v>
      </c>
      <c r="E1510" s="20" t="n">
        <v>892</v>
      </c>
      <c r="F1510" s="20" t="n">
        <v>0</v>
      </c>
    </row>
    <row r="1511" customFormat="false" ht="15" hidden="false" customHeight="false" outlineLevel="0" collapsed="false">
      <c r="A1511" s="22" t="n">
        <v>46115</v>
      </c>
      <c r="B1511" s="19" t="s">
        <v>51</v>
      </c>
      <c r="C1511" s="19" t="s">
        <v>12</v>
      </c>
      <c r="D1511" s="19" t="s">
        <v>122</v>
      </c>
      <c r="E1511" s="20" t="n">
        <v>40689</v>
      </c>
      <c r="F1511" s="20" t="n">
        <v>0</v>
      </c>
    </row>
    <row r="1512" customFormat="false" ht="15" hidden="false" customHeight="false" outlineLevel="0" collapsed="false">
      <c r="A1512" s="22" t="n">
        <v>46115</v>
      </c>
      <c r="B1512" s="19" t="s">
        <v>51</v>
      </c>
      <c r="C1512" s="19" t="s">
        <v>12</v>
      </c>
      <c r="D1512" s="19" t="s">
        <v>123</v>
      </c>
      <c r="E1512" s="20" t="n">
        <v>141221</v>
      </c>
      <c r="F1512" s="20" t="n">
        <v>423803</v>
      </c>
    </row>
    <row r="1513" customFormat="false" ht="15" hidden="false" customHeight="false" outlineLevel="0" collapsed="false">
      <c r="A1513" s="22" t="n">
        <v>46115</v>
      </c>
      <c r="B1513" s="19" t="s">
        <v>51</v>
      </c>
      <c r="C1513" s="19" t="s">
        <v>12</v>
      </c>
      <c r="D1513" s="19" t="s">
        <v>124</v>
      </c>
      <c r="E1513" s="20" t="n">
        <v>174538</v>
      </c>
      <c r="F1513" s="20" t="n">
        <v>411000</v>
      </c>
    </row>
    <row r="1514" customFormat="false" ht="15" hidden="false" customHeight="false" outlineLevel="0" collapsed="false">
      <c r="A1514" s="22" t="n">
        <v>46115</v>
      </c>
      <c r="B1514" s="19" t="s">
        <v>51</v>
      </c>
      <c r="C1514" s="19" t="s">
        <v>13</v>
      </c>
      <c r="D1514" s="19" t="s">
        <v>127</v>
      </c>
      <c r="E1514" s="20" t="n">
        <v>290042</v>
      </c>
      <c r="F1514" s="20" t="n">
        <v>1580120</v>
      </c>
    </row>
    <row r="1515" customFormat="false" ht="15" hidden="false" customHeight="false" outlineLevel="0" collapsed="false">
      <c r="A1515" s="22" t="n">
        <v>46115</v>
      </c>
      <c r="B1515" s="19" t="s">
        <v>51</v>
      </c>
      <c r="C1515" s="19" t="s">
        <v>12</v>
      </c>
      <c r="D1515" s="19" t="s">
        <v>128</v>
      </c>
      <c r="E1515" s="20" t="n">
        <v>321222</v>
      </c>
      <c r="F1515" s="20" t="n">
        <v>1121530</v>
      </c>
    </row>
    <row r="1516" customFormat="false" ht="15" hidden="false" customHeight="false" outlineLevel="0" collapsed="false">
      <c r="A1516" s="22" t="n">
        <v>46115</v>
      </c>
      <c r="B1516" s="19" t="s">
        <v>51</v>
      </c>
      <c r="C1516" s="19" t="s">
        <v>13</v>
      </c>
      <c r="D1516" s="19" t="s">
        <v>125</v>
      </c>
      <c r="E1516" s="20" t="n">
        <v>200000</v>
      </c>
      <c r="F1516" s="20" t="n">
        <v>1555091</v>
      </c>
    </row>
    <row r="1517" customFormat="false" ht="15" hidden="false" customHeight="false" outlineLevel="0" collapsed="false">
      <c r="A1517" s="22" t="n">
        <v>46115</v>
      </c>
      <c r="B1517" s="19" t="s">
        <v>51</v>
      </c>
      <c r="C1517" s="19" t="s">
        <v>12</v>
      </c>
      <c r="D1517" s="19" t="s">
        <v>126</v>
      </c>
      <c r="E1517" s="20" t="n">
        <v>67505</v>
      </c>
      <c r="F1517" s="20" t="n">
        <v>280330</v>
      </c>
    </row>
    <row r="1518" customFormat="false" ht="15" hidden="false" customHeight="false" outlineLevel="0" collapsed="false">
      <c r="A1518" s="22" t="n">
        <v>46115</v>
      </c>
      <c r="B1518" s="19" t="s">
        <v>51</v>
      </c>
      <c r="C1518" s="19" t="s">
        <v>12</v>
      </c>
      <c r="D1518" s="19" t="s">
        <v>129</v>
      </c>
      <c r="E1518" s="20" t="n">
        <v>97386</v>
      </c>
      <c r="F1518" s="20" t="n">
        <v>159080</v>
      </c>
    </row>
    <row r="1519" customFormat="false" ht="15" hidden="false" customHeight="false" outlineLevel="0" collapsed="false">
      <c r="A1519" s="22" t="n">
        <v>46115</v>
      </c>
      <c r="B1519" s="19" t="s">
        <v>51</v>
      </c>
      <c r="C1519" s="19" t="s">
        <v>12</v>
      </c>
      <c r="D1519" s="19" t="s">
        <v>131</v>
      </c>
      <c r="E1519" s="20" t="n">
        <v>29522</v>
      </c>
      <c r="F1519" s="20" t="n">
        <v>0</v>
      </c>
    </row>
    <row r="1520" customFormat="false" ht="15" hidden="false" customHeight="false" outlineLevel="0" collapsed="false">
      <c r="A1520" s="22" t="n">
        <v>46115</v>
      </c>
      <c r="B1520" s="19" t="s">
        <v>51</v>
      </c>
      <c r="C1520" s="19" t="s">
        <v>14</v>
      </c>
      <c r="D1520" s="19" t="s">
        <v>130</v>
      </c>
      <c r="E1520" s="20" t="n">
        <v>25467</v>
      </c>
      <c r="F1520" s="20" t="n">
        <v>95040</v>
      </c>
    </row>
    <row r="1521" customFormat="false" ht="15" hidden="false" customHeight="false" outlineLevel="0" collapsed="false">
      <c r="A1521" s="22" t="n">
        <v>46115</v>
      </c>
      <c r="B1521" s="19" t="s">
        <v>51</v>
      </c>
      <c r="C1521" s="19" t="s">
        <v>15</v>
      </c>
      <c r="D1521" s="19" t="s">
        <v>135</v>
      </c>
      <c r="E1521" s="20" t="n">
        <v>2879</v>
      </c>
      <c r="F1521" s="20" t="n">
        <v>0</v>
      </c>
    </row>
    <row r="1522" customFormat="false" ht="15" hidden="false" customHeight="false" outlineLevel="0" collapsed="false">
      <c r="A1522" s="22" t="n">
        <v>46115</v>
      </c>
      <c r="B1522" s="19" t="s">
        <v>51</v>
      </c>
      <c r="C1522" s="19" t="s">
        <v>12</v>
      </c>
      <c r="D1522" s="19" t="s">
        <v>132</v>
      </c>
      <c r="E1522" s="20" t="n">
        <v>6179</v>
      </c>
      <c r="F1522" s="20" t="n">
        <v>0</v>
      </c>
    </row>
    <row r="1523" customFormat="false" ht="15" hidden="false" customHeight="false" outlineLevel="0" collapsed="false">
      <c r="A1523" s="22" t="n">
        <v>46116</v>
      </c>
      <c r="B1523" s="19" t="s">
        <v>51</v>
      </c>
      <c r="C1523" s="19" t="s">
        <v>14</v>
      </c>
      <c r="D1523" s="19" t="s">
        <v>73</v>
      </c>
      <c r="E1523" s="20" t="n">
        <v>98249</v>
      </c>
      <c r="F1523" s="20" t="n">
        <v>629640</v>
      </c>
    </row>
    <row r="1524" customFormat="false" ht="15" hidden="false" customHeight="false" outlineLevel="0" collapsed="false">
      <c r="A1524" s="22" t="n">
        <v>46116</v>
      </c>
      <c r="B1524" s="19" t="s">
        <v>51</v>
      </c>
      <c r="C1524" s="19" t="s">
        <v>70</v>
      </c>
      <c r="D1524" s="19" t="s">
        <v>133</v>
      </c>
      <c r="E1524" s="20" t="n">
        <v>4689</v>
      </c>
      <c r="F1524" s="20" t="n">
        <v>0</v>
      </c>
    </row>
    <row r="1525" customFormat="false" ht="15" hidden="false" customHeight="false" outlineLevel="0" collapsed="false">
      <c r="A1525" s="22" t="n">
        <v>46116</v>
      </c>
      <c r="B1525" s="19" t="s">
        <v>51</v>
      </c>
      <c r="C1525" s="19" t="s">
        <v>70</v>
      </c>
      <c r="D1525" s="19" t="s">
        <v>134</v>
      </c>
      <c r="E1525" s="20" t="n">
        <v>8777</v>
      </c>
      <c r="F1525" s="20" t="n">
        <v>0</v>
      </c>
    </row>
    <row r="1526" customFormat="false" ht="15" hidden="false" customHeight="false" outlineLevel="0" collapsed="false">
      <c r="A1526" s="22" t="n">
        <v>46116</v>
      </c>
      <c r="B1526" s="19" t="s">
        <v>51</v>
      </c>
      <c r="C1526" s="19" t="s">
        <v>12</v>
      </c>
      <c r="D1526" s="19" t="s">
        <v>122</v>
      </c>
      <c r="E1526" s="20" t="n">
        <v>100000</v>
      </c>
      <c r="F1526" s="20" t="n">
        <v>585060</v>
      </c>
    </row>
    <row r="1527" customFormat="false" ht="15" hidden="false" customHeight="false" outlineLevel="0" collapsed="false">
      <c r="A1527" s="22" t="n">
        <v>46116</v>
      </c>
      <c r="B1527" s="19" t="s">
        <v>51</v>
      </c>
      <c r="C1527" s="19" t="s">
        <v>12</v>
      </c>
      <c r="D1527" s="19" t="s">
        <v>123</v>
      </c>
      <c r="E1527" s="20" t="n">
        <v>400000</v>
      </c>
      <c r="F1527" s="20" t="n">
        <v>2100712</v>
      </c>
    </row>
    <row r="1528" customFormat="false" ht="15" hidden="false" customHeight="false" outlineLevel="0" collapsed="false">
      <c r="A1528" s="22" t="n">
        <v>46116</v>
      </c>
      <c r="B1528" s="19" t="s">
        <v>51</v>
      </c>
      <c r="C1528" s="19" t="s">
        <v>12</v>
      </c>
      <c r="D1528" s="19" t="s">
        <v>126</v>
      </c>
      <c r="E1528" s="20" t="n">
        <v>300000</v>
      </c>
      <c r="F1528" s="20" t="n">
        <v>1457003</v>
      </c>
    </row>
    <row r="1529" customFormat="false" ht="15" hidden="false" customHeight="false" outlineLevel="0" collapsed="false">
      <c r="A1529" s="22" t="n">
        <v>46116</v>
      </c>
      <c r="B1529" s="19" t="s">
        <v>51</v>
      </c>
      <c r="C1529" s="19" t="s">
        <v>12</v>
      </c>
      <c r="D1529" s="19" t="s">
        <v>124</v>
      </c>
      <c r="E1529" s="20" t="n">
        <v>160821</v>
      </c>
      <c r="F1529" s="20" t="n">
        <v>814710</v>
      </c>
    </row>
    <row r="1530" customFormat="false" ht="15" hidden="false" customHeight="false" outlineLevel="0" collapsed="false">
      <c r="A1530" s="22" t="n">
        <v>46116</v>
      </c>
      <c r="B1530" s="19" t="s">
        <v>51</v>
      </c>
      <c r="C1530" s="19" t="s">
        <v>12</v>
      </c>
      <c r="D1530" s="19" t="s">
        <v>128</v>
      </c>
      <c r="E1530" s="20" t="n">
        <v>448469</v>
      </c>
      <c r="F1530" s="20" t="n">
        <v>1970625</v>
      </c>
    </row>
    <row r="1531" customFormat="false" ht="15" hidden="false" customHeight="false" outlineLevel="0" collapsed="false">
      <c r="A1531" s="22" t="n">
        <v>46116</v>
      </c>
      <c r="B1531" s="19" t="s">
        <v>51</v>
      </c>
      <c r="C1531" s="19" t="s">
        <v>13</v>
      </c>
      <c r="D1531" s="19" t="s">
        <v>127</v>
      </c>
      <c r="E1531" s="20" t="n">
        <v>250000</v>
      </c>
      <c r="F1531" s="20" t="n">
        <v>1082810</v>
      </c>
    </row>
    <row r="1532" customFormat="false" ht="15" hidden="false" customHeight="false" outlineLevel="0" collapsed="false">
      <c r="A1532" s="22" t="n">
        <v>46116</v>
      </c>
      <c r="B1532" s="19" t="s">
        <v>51</v>
      </c>
      <c r="C1532" s="19" t="s">
        <v>15</v>
      </c>
      <c r="D1532" s="19" t="s">
        <v>135</v>
      </c>
      <c r="E1532" s="20" t="n">
        <v>19451</v>
      </c>
      <c r="F1532" s="20" t="n">
        <v>111550</v>
      </c>
    </row>
    <row r="1533" customFormat="false" ht="15" hidden="false" customHeight="false" outlineLevel="0" collapsed="false">
      <c r="A1533" s="22" t="n">
        <v>46116</v>
      </c>
      <c r="B1533" s="19" t="s">
        <v>51</v>
      </c>
      <c r="C1533" s="19" t="s">
        <v>13</v>
      </c>
      <c r="D1533" s="19" t="s">
        <v>125</v>
      </c>
      <c r="E1533" s="20" t="n">
        <v>400000</v>
      </c>
      <c r="F1533" s="20" t="n">
        <v>1247781</v>
      </c>
    </row>
    <row r="1534" customFormat="false" ht="15" hidden="false" customHeight="false" outlineLevel="0" collapsed="false">
      <c r="A1534" s="22" t="n">
        <v>46116</v>
      </c>
      <c r="B1534" s="19" t="s">
        <v>51</v>
      </c>
      <c r="C1534" s="19" t="s">
        <v>14</v>
      </c>
      <c r="D1534" s="19" t="s">
        <v>130</v>
      </c>
      <c r="E1534" s="20" t="n">
        <v>25300</v>
      </c>
      <c r="F1534" s="20" t="n">
        <v>0</v>
      </c>
    </row>
    <row r="1535" customFormat="false" ht="15" hidden="false" customHeight="false" outlineLevel="0" collapsed="false">
      <c r="A1535" s="22" t="n">
        <v>46116</v>
      </c>
      <c r="B1535" s="19" t="s">
        <v>51</v>
      </c>
      <c r="C1535" s="19" t="s">
        <v>12</v>
      </c>
      <c r="D1535" s="19" t="s">
        <v>129</v>
      </c>
      <c r="E1535" s="20" t="n">
        <v>6605</v>
      </c>
      <c r="F1535" s="20" t="n">
        <v>0</v>
      </c>
    </row>
    <row r="1536" customFormat="false" ht="15" hidden="false" customHeight="false" outlineLevel="0" collapsed="false">
      <c r="A1536" s="22" t="n">
        <v>46116</v>
      </c>
      <c r="B1536" s="19" t="s">
        <v>51</v>
      </c>
      <c r="C1536" s="19" t="s">
        <v>12</v>
      </c>
      <c r="D1536" s="19" t="s">
        <v>132</v>
      </c>
      <c r="E1536" s="20" t="n">
        <v>7750</v>
      </c>
      <c r="F1536" s="20" t="n">
        <v>0</v>
      </c>
    </row>
    <row r="1537" customFormat="false" ht="15" hidden="false" customHeight="false" outlineLevel="0" collapsed="false">
      <c r="A1537" s="22" t="n">
        <v>46116</v>
      </c>
      <c r="B1537" s="19" t="s">
        <v>51</v>
      </c>
      <c r="C1537" s="19" t="s">
        <v>12</v>
      </c>
      <c r="D1537" s="19" t="s">
        <v>131</v>
      </c>
      <c r="E1537" s="20" t="n">
        <v>64842</v>
      </c>
      <c r="F1537" s="20" t="n">
        <v>283200</v>
      </c>
    </row>
    <row r="1538" customFormat="false" ht="15" hidden="false" customHeight="false" outlineLevel="0" collapsed="false">
      <c r="A1538" s="22" t="n">
        <v>46117</v>
      </c>
      <c r="B1538" s="19" t="s">
        <v>51</v>
      </c>
      <c r="C1538" s="19" t="s">
        <v>14</v>
      </c>
      <c r="D1538" s="19" t="s">
        <v>73</v>
      </c>
      <c r="E1538" s="20" t="n">
        <v>7796</v>
      </c>
      <c r="F1538" s="20" t="n">
        <v>0</v>
      </c>
    </row>
    <row r="1539" customFormat="false" ht="15" hidden="false" customHeight="false" outlineLevel="0" collapsed="false">
      <c r="A1539" s="22" t="n">
        <v>46117</v>
      </c>
      <c r="B1539" s="19" t="s">
        <v>51</v>
      </c>
      <c r="C1539" s="19" t="s">
        <v>70</v>
      </c>
      <c r="D1539" s="19" t="s">
        <v>133</v>
      </c>
      <c r="E1539" s="20" t="n">
        <v>7384</v>
      </c>
      <c r="F1539" s="20" t="n">
        <v>0</v>
      </c>
    </row>
    <row r="1540" customFormat="false" ht="15" hidden="false" customHeight="false" outlineLevel="0" collapsed="false">
      <c r="A1540" s="22" t="n">
        <v>46117</v>
      </c>
      <c r="B1540" s="19" t="s">
        <v>51</v>
      </c>
      <c r="C1540" s="19" t="s">
        <v>12</v>
      </c>
      <c r="D1540" s="19" t="s">
        <v>122</v>
      </c>
      <c r="E1540" s="20" t="n">
        <v>60101</v>
      </c>
      <c r="F1540" s="20" t="n">
        <v>193030</v>
      </c>
    </row>
    <row r="1541" customFormat="false" ht="15" hidden="false" customHeight="false" outlineLevel="0" collapsed="false">
      <c r="A1541" s="22" t="n">
        <v>46117</v>
      </c>
      <c r="B1541" s="19" t="s">
        <v>51</v>
      </c>
      <c r="C1541" s="19" t="s">
        <v>12</v>
      </c>
      <c r="D1541" s="19" t="s">
        <v>123</v>
      </c>
      <c r="E1541" s="20" t="n">
        <v>200000</v>
      </c>
      <c r="F1541" s="20" t="n">
        <v>1013119</v>
      </c>
    </row>
    <row r="1542" customFormat="false" ht="15" hidden="false" customHeight="false" outlineLevel="0" collapsed="false">
      <c r="A1542" s="22" t="n">
        <v>46117</v>
      </c>
      <c r="B1542" s="19" t="s">
        <v>51</v>
      </c>
      <c r="C1542" s="19" t="s">
        <v>12</v>
      </c>
      <c r="D1542" s="19" t="s">
        <v>126</v>
      </c>
      <c r="E1542" s="20" t="n">
        <v>104957</v>
      </c>
      <c r="F1542" s="20" t="n">
        <v>314250</v>
      </c>
    </row>
    <row r="1543" customFormat="false" ht="15" hidden="false" customHeight="false" outlineLevel="0" collapsed="false">
      <c r="A1543" s="22" t="n">
        <v>46117</v>
      </c>
      <c r="B1543" s="19" t="s">
        <v>51</v>
      </c>
      <c r="C1543" s="19" t="s">
        <v>12</v>
      </c>
      <c r="D1543" s="19" t="s">
        <v>124</v>
      </c>
      <c r="E1543" s="20" t="n">
        <v>53363</v>
      </c>
      <c r="F1543" s="20" t="n">
        <v>101850</v>
      </c>
    </row>
    <row r="1544" customFormat="false" ht="15" hidden="false" customHeight="false" outlineLevel="0" collapsed="false">
      <c r="A1544" s="22" t="n">
        <v>46117</v>
      </c>
      <c r="B1544" s="19" t="s">
        <v>51</v>
      </c>
      <c r="C1544" s="19" t="s">
        <v>13</v>
      </c>
      <c r="D1544" s="19" t="s">
        <v>127</v>
      </c>
      <c r="E1544" s="20" t="n">
        <v>250000</v>
      </c>
      <c r="F1544" s="20" t="n">
        <v>1714195</v>
      </c>
    </row>
    <row r="1545" customFormat="false" ht="15" hidden="false" customHeight="false" outlineLevel="0" collapsed="false">
      <c r="A1545" s="22" t="n">
        <v>46117</v>
      </c>
      <c r="B1545" s="19" t="s">
        <v>51</v>
      </c>
      <c r="C1545" s="19" t="s">
        <v>12</v>
      </c>
      <c r="D1545" s="19" t="s">
        <v>128</v>
      </c>
      <c r="E1545" s="20" t="n">
        <v>220665</v>
      </c>
      <c r="F1545" s="20" t="n">
        <v>934750</v>
      </c>
    </row>
    <row r="1546" customFormat="false" ht="15" hidden="false" customHeight="false" outlineLevel="0" collapsed="false">
      <c r="A1546" s="22" t="n">
        <v>46117</v>
      </c>
      <c r="B1546" s="19" t="s">
        <v>51</v>
      </c>
      <c r="C1546" s="19" t="s">
        <v>15</v>
      </c>
      <c r="D1546" s="19" t="s">
        <v>135</v>
      </c>
      <c r="E1546" s="20" t="n">
        <v>14601</v>
      </c>
      <c r="F1546" s="20" t="n">
        <v>0</v>
      </c>
    </row>
    <row r="1547" customFormat="false" ht="15" hidden="false" customHeight="false" outlineLevel="0" collapsed="false">
      <c r="A1547" s="22" t="n">
        <v>46117</v>
      </c>
      <c r="B1547" s="19" t="s">
        <v>51</v>
      </c>
      <c r="C1547" s="19" t="s">
        <v>12</v>
      </c>
      <c r="D1547" s="19" t="s">
        <v>131</v>
      </c>
      <c r="E1547" s="20" t="n">
        <v>16394</v>
      </c>
      <c r="F1547" s="20" t="n">
        <v>0</v>
      </c>
    </row>
    <row r="1548" customFormat="false" ht="15" hidden="false" customHeight="false" outlineLevel="0" collapsed="false">
      <c r="A1548" s="22" t="n">
        <v>46117</v>
      </c>
      <c r="B1548" s="19" t="s">
        <v>51</v>
      </c>
      <c r="C1548" s="19" t="s">
        <v>14</v>
      </c>
      <c r="D1548" s="19" t="s">
        <v>130</v>
      </c>
      <c r="E1548" s="20" t="n">
        <v>25012</v>
      </c>
      <c r="F1548" s="20" t="n">
        <v>99000</v>
      </c>
    </row>
    <row r="1549" customFormat="false" ht="15" hidden="false" customHeight="false" outlineLevel="0" collapsed="false">
      <c r="A1549" s="22" t="n">
        <v>46117</v>
      </c>
      <c r="B1549" s="19" t="s">
        <v>51</v>
      </c>
      <c r="C1549" s="19" t="s">
        <v>12</v>
      </c>
      <c r="D1549" s="19" t="s">
        <v>129</v>
      </c>
      <c r="E1549" s="20" t="n">
        <v>4784</v>
      </c>
      <c r="F1549" s="20" t="n">
        <v>0</v>
      </c>
    </row>
    <row r="1550" customFormat="false" ht="15" hidden="false" customHeight="false" outlineLevel="0" collapsed="false">
      <c r="A1550" s="22" t="n">
        <v>46117</v>
      </c>
      <c r="B1550" s="19" t="s">
        <v>51</v>
      </c>
      <c r="C1550" s="19" t="s">
        <v>12</v>
      </c>
      <c r="D1550" s="19" t="s">
        <v>132</v>
      </c>
      <c r="E1550" s="20" t="n">
        <v>2571</v>
      </c>
      <c r="F1550" s="20" t="n">
        <v>0</v>
      </c>
    </row>
    <row r="1551" customFormat="false" ht="15" hidden="false" customHeight="false" outlineLevel="0" collapsed="false">
      <c r="A1551" s="22" t="n">
        <v>46117</v>
      </c>
      <c r="B1551" s="19" t="s">
        <v>51</v>
      </c>
      <c r="C1551" s="19" t="s">
        <v>13</v>
      </c>
      <c r="D1551" s="19" t="s">
        <v>136</v>
      </c>
      <c r="E1551" s="20" t="n">
        <v>300000</v>
      </c>
      <c r="F1551" s="20" t="n">
        <v>355311</v>
      </c>
    </row>
    <row r="1552" customFormat="false" ht="15" hidden="false" customHeight="false" outlineLevel="0" collapsed="false">
      <c r="A1552" s="22" t="n">
        <v>46118</v>
      </c>
      <c r="B1552" s="19" t="s">
        <v>51</v>
      </c>
      <c r="C1552" s="19" t="s">
        <v>70</v>
      </c>
      <c r="D1552" s="19" t="s">
        <v>133</v>
      </c>
      <c r="E1552" s="20" t="n">
        <v>7613</v>
      </c>
      <c r="F1552" s="20" t="n">
        <v>0</v>
      </c>
    </row>
    <row r="1553" customFormat="false" ht="15" hidden="false" customHeight="false" outlineLevel="0" collapsed="false">
      <c r="A1553" s="22" t="n">
        <v>46118</v>
      </c>
      <c r="B1553" s="19" t="s">
        <v>51</v>
      </c>
      <c r="C1553" s="19" t="s">
        <v>70</v>
      </c>
      <c r="D1553" s="19" t="s">
        <v>134</v>
      </c>
      <c r="E1553" s="20" t="n">
        <v>222</v>
      </c>
      <c r="F1553" s="20" t="n">
        <v>0</v>
      </c>
    </row>
    <row r="1554" customFormat="false" ht="15" hidden="false" customHeight="false" outlineLevel="0" collapsed="false">
      <c r="A1554" s="22" t="n">
        <v>46118</v>
      </c>
      <c r="B1554" s="19" t="s">
        <v>51</v>
      </c>
      <c r="C1554" s="19" t="s">
        <v>12</v>
      </c>
      <c r="D1554" s="19" t="s">
        <v>122</v>
      </c>
      <c r="E1554" s="20" t="n">
        <v>13677</v>
      </c>
      <c r="F1554" s="20" t="n">
        <v>0</v>
      </c>
    </row>
    <row r="1555" customFormat="false" ht="15" hidden="false" customHeight="false" outlineLevel="0" collapsed="false">
      <c r="A1555" s="22" t="n">
        <v>46118</v>
      </c>
      <c r="B1555" s="19" t="s">
        <v>51</v>
      </c>
      <c r="C1555" s="19" t="s">
        <v>12</v>
      </c>
      <c r="D1555" s="19" t="s">
        <v>123</v>
      </c>
      <c r="E1555" s="20" t="n">
        <v>320263</v>
      </c>
      <c r="F1555" s="20" t="n">
        <v>1630400</v>
      </c>
    </row>
    <row r="1556" customFormat="false" ht="15" hidden="false" customHeight="false" outlineLevel="0" collapsed="false">
      <c r="A1556" s="22" t="n">
        <v>46118</v>
      </c>
      <c r="B1556" s="19" t="s">
        <v>51</v>
      </c>
      <c r="C1556" s="19" t="s">
        <v>12</v>
      </c>
      <c r="D1556" s="19" t="s">
        <v>124</v>
      </c>
      <c r="E1556" s="20" t="n">
        <v>68154</v>
      </c>
      <c r="F1556" s="20" t="n">
        <v>301150</v>
      </c>
    </row>
    <row r="1557" customFormat="false" ht="15" hidden="false" customHeight="false" outlineLevel="0" collapsed="false">
      <c r="A1557" s="22" t="n">
        <v>46118</v>
      </c>
      <c r="B1557" s="19" t="s">
        <v>51</v>
      </c>
      <c r="C1557" s="19" t="s">
        <v>12</v>
      </c>
      <c r="D1557" s="19" t="s">
        <v>128</v>
      </c>
      <c r="E1557" s="20" t="n">
        <v>173312</v>
      </c>
      <c r="F1557" s="20" t="n">
        <v>629821</v>
      </c>
    </row>
    <row r="1558" customFormat="false" ht="15" hidden="false" customHeight="false" outlineLevel="0" collapsed="false">
      <c r="A1558" s="22" t="n">
        <v>46118</v>
      </c>
      <c r="B1558" s="19" t="s">
        <v>51</v>
      </c>
      <c r="C1558" s="19" t="s">
        <v>13</v>
      </c>
      <c r="D1558" s="19" t="s">
        <v>127</v>
      </c>
      <c r="E1558" s="20" t="n">
        <v>194855</v>
      </c>
      <c r="F1558" s="20" t="n">
        <v>960950</v>
      </c>
    </row>
    <row r="1559" customFormat="false" ht="15" hidden="false" customHeight="false" outlineLevel="0" collapsed="false">
      <c r="A1559" s="22" t="n">
        <v>46118</v>
      </c>
      <c r="B1559" s="19" t="s">
        <v>51</v>
      </c>
      <c r="C1559" s="19" t="s">
        <v>12</v>
      </c>
      <c r="D1559" s="19" t="s">
        <v>126</v>
      </c>
      <c r="E1559" s="20" t="n">
        <v>40645</v>
      </c>
      <c r="F1559" s="20" t="n">
        <v>0</v>
      </c>
    </row>
    <row r="1560" customFormat="false" ht="15" hidden="false" customHeight="false" outlineLevel="0" collapsed="false">
      <c r="A1560" s="22" t="n">
        <v>46118</v>
      </c>
      <c r="B1560" s="19" t="s">
        <v>51</v>
      </c>
      <c r="C1560" s="19" t="s">
        <v>14</v>
      </c>
      <c r="D1560" s="19" t="s">
        <v>130</v>
      </c>
      <c r="E1560" s="20" t="n">
        <v>76305</v>
      </c>
      <c r="F1560" s="20" t="n">
        <v>668200</v>
      </c>
    </row>
    <row r="1561" customFormat="false" ht="15" hidden="false" customHeight="false" outlineLevel="0" collapsed="false">
      <c r="A1561" s="22" t="n">
        <v>46118</v>
      </c>
      <c r="B1561" s="19" t="s">
        <v>51</v>
      </c>
      <c r="C1561" s="19" t="s">
        <v>12</v>
      </c>
      <c r="D1561" s="19" t="s">
        <v>131</v>
      </c>
      <c r="E1561" s="20" t="n">
        <v>134225</v>
      </c>
      <c r="F1561" s="20" t="n">
        <v>692250</v>
      </c>
    </row>
    <row r="1562" customFormat="false" ht="15" hidden="false" customHeight="false" outlineLevel="0" collapsed="false">
      <c r="A1562" s="22" t="n">
        <v>46118</v>
      </c>
      <c r="B1562" s="19" t="s">
        <v>51</v>
      </c>
      <c r="C1562" s="19" t="s">
        <v>12</v>
      </c>
      <c r="D1562" s="19" t="s">
        <v>129</v>
      </c>
      <c r="E1562" s="20" t="n">
        <v>4435</v>
      </c>
      <c r="F1562" s="20" t="n">
        <v>0</v>
      </c>
    </row>
    <row r="1563" customFormat="false" ht="15" hidden="false" customHeight="false" outlineLevel="0" collapsed="false">
      <c r="A1563" s="22" t="n">
        <v>46118</v>
      </c>
      <c r="B1563" s="19" t="s">
        <v>51</v>
      </c>
      <c r="C1563" s="19" t="s">
        <v>15</v>
      </c>
      <c r="D1563" s="19" t="s">
        <v>135</v>
      </c>
      <c r="E1563" s="20" t="n">
        <v>4535</v>
      </c>
      <c r="F1563" s="20" t="n">
        <v>0</v>
      </c>
    </row>
    <row r="1564" customFormat="false" ht="15" hidden="false" customHeight="false" outlineLevel="0" collapsed="false">
      <c r="A1564" s="22" t="n">
        <v>46118</v>
      </c>
      <c r="B1564" s="19" t="s">
        <v>51</v>
      </c>
      <c r="C1564" s="19" t="s">
        <v>12</v>
      </c>
      <c r="D1564" s="19" t="s">
        <v>132</v>
      </c>
      <c r="E1564" s="20" t="n">
        <v>2875</v>
      </c>
      <c r="F1564" s="20" t="n">
        <v>0</v>
      </c>
    </row>
    <row r="1565" customFormat="false" ht="15" hidden="false" customHeight="false" outlineLevel="0" collapsed="false">
      <c r="A1565" s="22" t="n">
        <v>46118</v>
      </c>
      <c r="B1565" s="19" t="s">
        <v>51</v>
      </c>
      <c r="C1565" s="19" t="s">
        <v>13</v>
      </c>
      <c r="D1565" s="19" t="s">
        <v>136</v>
      </c>
      <c r="E1565" s="20" t="n">
        <v>128958</v>
      </c>
      <c r="F1565" s="20" t="n">
        <v>606200</v>
      </c>
    </row>
    <row r="1566" customFormat="false" ht="15" hidden="false" customHeight="false" outlineLevel="0" collapsed="false">
      <c r="A1566" s="22" t="n">
        <v>46119</v>
      </c>
      <c r="B1566" s="19" t="s">
        <v>51</v>
      </c>
      <c r="C1566" s="19" t="s">
        <v>14</v>
      </c>
      <c r="D1566" s="19" t="s">
        <v>73</v>
      </c>
      <c r="E1566" s="20" t="n">
        <v>10738</v>
      </c>
      <c r="F1566" s="20" t="n">
        <v>153260</v>
      </c>
    </row>
    <row r="1567" customFormat="false" ht="15" hidden="false" customHeight="false" outlineLevel="0" collapsed="false">
      <c r="A1567" s="22" t="n">
        <v>46119</v>
      </c>
      <c r="B1567" s="19" t="s">
        <v>51</v>
      </c>
      <c r="C1567" s="19" t="s">
        <v>70</v>
      </c>
      <c r="D1567" s="19" t="s">
        <v>133</v>
      </c>
      <c r="E1567" s="20" t="n">
        <v>2052</v>
      </c>
      <c r="F1567" s="20" t="n">
        <v>0</v>
      </c>
    </row>
    <row r="1568" customFormat="false" ht="15" hidden="false" customHeight="false" outlineLevel="0" collapsed="false">
      <c r="A1568" s="22" t="n">
        <v>46119</v>
      </c>
      <c r="B1568" s="19" t="s">
        <v>51</v>
      </c>
      <c r="C1568" s="19" t="s">
        <v>70</v>
      </c>
      <c r="D1568" s="19" t="s">
        <v>134</v>
      </c>
      <c r="E1568" s="20" t="n">
        <v>8451</v>
      </c>
      <c r="F1568" s="20" t="n">
        <v>308750</v>
      </c>
    </row>
    <row r="1569" customFormat="false" ht="15" hidden="false" customHeight="false" outlineLevel="0" collapsed="false">
      <c r="A1569" s="22" t="n">
        <v>46119</v>
      </c>
      <c r="B1569" s="19" t="s">
        <v>51</v>
      </c>
      <c r="C1569" s="19" t="s">
        <v>12</v>
      </c>
      <c r="D1569" s="19" t="s">
        <v>122</v>
      </c>
      <c r="E1569" s="20" t="n">
        <v>14842</v>
      </c>
      <c r="F1569" s="20" t="n">
        <v>0</v>
      </c>
    </row>
    <row r="1570" customFormat="false" ht="15" hidden="false" customHeight="false" outlineLevel="0" collapsed="false">
      <c r="A1570" s="22" t="n">
        <v>46119</v>
      </c>
      <c r="B1570" s="19" t="s">
        <v>51</v>
      </c>
      <c r="C1570" s="19" t="s">
        <v>12</v>
      </c>
      <c r="D1570" s="19" t="s">
        <v>123</v>
      </c>
      <c r="E1570" s="20" t="n">
        <v>300000</v>
      </c>
      <c r="F1570" s="20" t="n">
        <v>1959841</v>
      </c>
    </row>
    <row r="1571" customFormat="false" ht="15" hidden="false" customHeight="false" outlineLevel="0" collapsed="false">
      <c r="A1571" s="22" t="n">
        <v>46119</v>
      </c>
      <c r="B1571" s="19" t="s">
        <v>51</v>
      </c>
      <c r="C1571" s="19" t="s">
        <v>12</v>
      </c>
      <c r="D1571" s="19" t="s">
        <v>124</v>
      </c>
      <c r="E1571" s="20" t="n">
        <v>168526</v>
      </c>
      <c r="F1571" s="20" t="n">
        <v>1082150</v>
      </c>
    </row>
    <row r="1572" customFormat="false" ht="15" hidden="false" customHeight="false" outlineLevel="0" collapsed="false">
      <c r="A1572" s="22" t="n">
        <v>46119</v>
      </c>
      <c r="B1572" s="19" t="s">
        <v>51</v>
      </c>
      <c r="C1572" s="19" t="s">
        <v>12</v>
      </c>
      <c r="D1572" s="19" t="s">
        <v>128</v>
      </c>
      <c r="E1572" s="20" t="n">
        <v>163301</v>
      </c>
      <c r="F1572" s="20" t="n">
        <v>1007150</v>
      </c>
    </row>
    <row r="1573" customFormat="false" ht="15" hidden="false" customHeight="false" outlineLevel="0" collapsed="false">
      <c r="A1573" s="22" t="n">
        <v>46119</v>
      </c>
      <c r="B1573" s="19" t="s">
        <v>51</v>
      </c>
      <c r="C1573" s="19" t="s">
        <v>13</v>
      </c>
      <c r="D1573" s="19" t="s">
        <v>127</v>
      </c>
      <c r="E1573" s="20" t="n">
        <v>64276</v>
      </c>
      <c r="F1573" s="20" t="n">
        <v>179450</v>
      </c>
    </row>
    <row r="1574" customFormat="false" ht="15" hidden="false" customHeight="false" outlineLevel="0" collapsed="false">
      <c r="A1574" s="22" t="n">
        <v>46119</v>
      </c>
      <c r="B1574" s="19" t="s">
        <v>51</v>
      </c>
      <c r="C1574" s="19" t="s">
        <v>12</v>
      </c>
      <c r="D1574" s="19" t="s">
        <v>126</v>
      </c>
      <c r="E1574" s="20" t="n">
        <v>65761</v>
      </c>
      <c r="F1574" s="20" t="n">
        <v>271600</v>
      </c>
    </row>
    <row r="1575" customFormat="false" ht="15" hidden="false" customHeight="false" outlineLevel="0" collapsed="false">
      <c r="A1575" s="22" t="n">
        <v>46119</v>
      </c>
      <c r="B1575" s="19" t="s">
        <v>51</v>
      </c>
      <c r="C1575" s="19" t="s">
        <v>12</v>
      </c>
      <c r="D1575" s="19" t="s">
        <v>131</v>
      </c>
      <c r="E1575" s="20" t="n">
        <v>205394</v>
      </c>
      <c r="F1575" s="20" t="n">
        <v>1110750</v>
      </c>
    </row>
    <row r="1576" customFormat="false" ht="15" hidden="false" customHeight="false" outlineLevel="0" collapsed="false">
      <c r="A1576" s="22" t="n">
        <v>46119</v>
      </c>
      <c r="B1576" s="19" t="s">
        <v>51</v>
      </c>
      <c r="C1576" s="19" t="s">
        <v>14</v>
      </c>
      <c r="D1576" s="19" t="s">
        <v>130</v>
      </c>
      <c r="E1576" s="20" t="n">
        <v>69946</v>
      </c>
      <c r="F1576" s="20" t="n">
        <v>241660</v>
      </c>
    </row>
    <row r="1577" customFormat="false" ht="15" hidden="false" customHeight="false" outlineLevel="0" collapsed="false">
      <c r="A1577" s="22" t="n">
        <v>46119</v>
      </c>
      <c r="B1577" s="19" t="s">
        <v>51</v>
      </c>
      <c r="C1577" s="19" t="s">
        <v>12</v>
      </c>
      <c r="D1577" s="19" t="s">
        <v>132</v>
      </c>
      <c r="E1577" s="20" t="n">
        <v>40348</v>
      </c>
      <c r="F1577" s="20" t="n">
        <v>230000</v>
      </c>
    </row>
    <row r="1578" customFormat="false" ht="15" hidden="false" customHeight="false" outlineLevel="0" collapsed="false">
      <c r="A1578" s="22" t="n">
        <v>46119</v>
      </c>
      <c r="B1578" s="19" t="s">
        <v>51</v>
      </c>
      <c r="C1578" s="19" t="s">
        <v>15</v>
      </c>
      <c r="D1578" s="19" t="s">
        <v>135</v>
      </c>
      <c r="E1578" s="20" t="n">
        <v>6717</v>
      </c>
      <c r="F1578" s="20" t="n">
        <v>0</v>
      </c>
    </row>
    <row r="1579" customFormat="false" ht="15" hidden="false" customHeight="false" outlineLevel="0" collapsed="false">
      <c r="A1579" s="22" t="n">
        <v>46119</v>
      </c>
      <c r="B1579" s="19" t="s">
        <v>51</v>
      </c>
      <c r="C1579" s="19" t="s">
        <v>12</v>
      </c>
      <c r="D1579" s="19" t="s">
        <v>129</v>
      </c>
      <c r="E1579" s="20" t="n">
        <v>21731</v>
      </c>
      <c r="F1579" s="20" t="n">
        <v>0</v>
      </c>
    </row>
    <row r="1580" customFormat="false" ht="15" hidden="false" customHeight="false" outlineLevel="0" collapsed="false">
      <c r="A1580" s="22" t="n">
        <v>46119</v>
      </c>
      <c r="B1580" s="19" t="s">
        <v>51</v>
      </c>
      <c r="C1580" s="19" t="s">
        <v>13</v>
      </c>
      <c r="D1580" s="19" t="s">
        <v>136</v>
      </c>
      <c r="E1580" s="20" t="n">
        <v>126823</v>
      </c>
      <c r="F1580" s="20" t="n">
        <v>653220</v>
      </c>
    </row>
    <row r="1581" customFormat="false" ht="15" hidden="false" customHeight="false" outlineLevel="0" collapsed="false">
      <c r="A1581" s="22" t="n">
        <v>46120</v>
      </c>
      <c r="B1581" s="19" t="s">
        <v>51</v>
      </c>
      <c r="C1581" s="19" t="s">
        <v>14</v>
      </c>
      <c r="D1581" s="19" t="s">
        <v>73</v>
      </c>
      <c r="E1581" s="20" t="n">
        <v>15437</v>
      </c>
      <c r="F1581" s="20" t="n">
        <v>69000</v>
      </c>
    </row>
    <row r="1582" customFormat="false" ht="15" hidden="false" customHeight="false" outlineLevel="0" collapsed="false">
      <c r="A1582" s="22" t="n">
        <v>46120</v>
      </c>
      <c r="B1582" s="19" t="s">
        <v>51</v>
      </c>
      <c r="C1582" s="19" t="s">
        <v>12</v>
      </c>
      <c r="D1582" s="19" t="s">
        <v>122</v>
      </c>
      <c r="E1582" s="20" t="n">
        <v>43514</v>
      </c>
      <c r="F1582" s="20" t="n">
        <v>760030</v>
      </c>
    </row>
    <row r="1583" customFormat="false" ht="15" hidden="false" customHeight="false" outlineLevel="0" collapsed="false">
      <c r="A1583" s="22" t="n">
        <v>46120</v>
      </c>
      <c r="B1583" s="19" t="s">
        <v>51</v>
      </c>
      <c r="C1583" s="19" t="s">
        <v>12</v>
      </c>
      <c r="D1583" s="19" t="s">
        <v>123</v>
      </c>
      <c r="E1583" s="20" t="n">
        <v>160269</v>
      </c>
      <c r="F1583" s="20" t="n">
        <v>254931</v>
      </c>
    </row>
    <row r="1584" customFormat="false" ht="15" hidden="false" customHeight="false" outlineLevel="0" collapsed="false">
      <c r="A1584" s="22" t="n">
        <v>46120</v>
      </c>
      <c r="B1584" s="19" t="s">
        <v>51</v>
      </c>
      <c r="C1584" s="19" t="s">
        <v>12</v>
      </c>
      <c r="D1584" s="19" t="s">
        <v>128</v>
      </c>
      <c r="E1584" s="20" t="n">
        <v>294939</v>
      </c>
      <c r="F1584" s="20" t="n">
        <v>1549844</v>
      </c>
    </row>
    <row r="1585" customFormat="false" ht="15" hidden="false" customHeight="false" outlineLevel="0" collapsed="false">
      <c r="A1585" s="22" t="n">
        <v>46120</v>
      </c>
      <c r="B1585" s="19" t="s">
        <v>51</v>
      </c>
      <c r="C1585" s="19" t="s">
        <v>12</v>
      </c>
      <c r="D1585" s="19" t="s">
        <v>131</v>
      </c>
      <c r="E1585" s="20" t="n">
        <v>239620</v>
      </c>
      <c r="F1585" s="20" t="n">
        <v>947291</v>
      </c>
    </row>
    <row r="1586" customFormat="false" ht="15" hidden="false" customHeight="false" outlineLevel="0" collapsed="false">
      <c r="A1586" s="22" t="n">
        <v>46120</v>
      </c>
      <c r="B1586" s="19" t="s">
        <v>51</v>
      </c>
      <c r="C1586" s="19" t="s">
        <v>12</v>
      </c>
      <c r="D1586" s="19" t="s">
        <v>126</v>
      </c>
      <c r="E1586" s="20" t="n">
        <v>166419</v>
      </c>
      <c r="F1586" s="20" t="n">
        <v>785487</v>
      </c>
    </row>
    <row r="1587" customFormat="false" ht="15" hidden="false" customHeight="false" outlineLevel="0" collapsed="false">
      <c r="A1587" s="22" t="n">
        <v>46120</v>
      </c>
      <c r="B1587" s="19" t="s">
        <v>51</v>
      </c>
      <c r="C1587" s="19" t="s">
        <v>12</v>
      </c>
      <c r="D1587" s="19" t="s">
        <v>132</v>
      </c>
      <c r="E1587" s="20" t="n">
        <v>143397</v>
      </c>
      <c r="F1587" s="20" t="n">
        <v>698940</v>
      </c>
    </row>
    <row r="1588" customFormat="false" ht="15" hidden="false" customHeight="false" outlineLevel="0" collapsed="false">
      <c r="A1588" s="22" t="n">
        <v>46120</v>
      </c>
      <c r="B1588" s="19" t="s">
        <v>51</v>
      </c>
      <c r="C1588" s="19" t="s">
        <v>14</v>
      </c>
      <c r="D1588" s="19" t="s">
        <v>130</v>
      </c>
      <c r="E1588" s="20" t="n">
        <v>100000</v>
      </c>
      <c r="F1588" s="20" t="n">
        <v>941530</v>
      </c>
    </row>
    <row r="1589" customFormat="false" ht="15" hidden="false" customHeight="false" outlineLevel="0" collapsed="false">
      <c r="A1589" s="22" t="n">
        <v>46120</v>
      </c>
      <c r="B1589" s="19" t="s">
        <v>51</v>
      </c>
      <c r="C1589" s="19" t="s">
        <v>13</v>
      </c>
      <c r="D1589" s="19" t="s">
        <v>127</v>
      </c>
      <c r="E1589" s="20" t="n">
        <v>130083</v>
      </c>
      <c r="F1589" s="20" t="n">
        <v>609450</v>
      </c>
    </row>
    <row r="1590" customFormat="false" ht="15" hidden="false" customHeight="false" outlineLevel="0" collapsed="false">
      <c r="A1590" s="22" t="n">
        <v>46120</v>
      </c>
      <c r="B1590" s="19" t="s">
        <v>51</v>
      </c>
      <c r="C1590" s="19" t="s">
        <v>12</v>
      </c>
      <c r="D1590" s="19" t="s">
        <v>124</v>
      </c>
      <c r="E1590" s="20" t="n">
        <v>49341</v>
      </c>
      <c r="F1590" s="20" t="n">
        <v>49500</v>
      </c>
    </row>
    <row r="1591" customFormat="false" ht="15" hidden="false" customHeight="false" outlineLevel="0" collapsed="false">
      <c r="A1591" s="22" t="n">
        <v>46120</v>
      </c>
      <c r="B1591" s="19" t="s">
        <v>51</v>
      </c>
      <c r="C1591" s="19" t="s">
        <v>15</v>
      </c>
      <c r="D1591" s="19" t="s">
        <v>135</v>
      </c>
      <c r="E1591" s="20" t="n">
        <v>53556</v>
      </c>
      <c r="F1591" s="20" t="n">
        <v>225660</v>
      </c>
    </row>
    <row r="1592" customFormat="false" ht="15" hidden="false" customHeight="false" outlineLevel="0" collapsed="false">
      <c r="A1592" s="22" t="n">
        <v>46120</v>
      </c>
      <c r="B1592" s="19" t="s">
        <v>51</v>
      </c>
      <c r="C1592" s="19" t="s">
        <v>12</v>
      </c>
      <c r="D1592" s="19" t="s">
        <v>129</v>
      </c>
      <c r="E1592" s="20" t="n">
        <v>55822</v>
      </c>
      <c r="F1592" s="20" t="n">
        <v>0</v>
      </c>
    </row>
    <row r="1593" customFormat="false" ht="15" hidden="false" customHeight="false" outlineLevel="0" collapsed="false">
      <c r="A1593" s="22" t="n">
        <v>46120</v>
      </c>
      <c r="B1593" s="19" t="s">
        <v>51</v>
      </c>
      <c r="C1593" s="19" t="s">
        <v>13</v>
      </c>
      <c r="D1593" s="19" t="s">
        <v>136</v>
      </c>
      <c r="E1593" s="20" t="n">
        <v>100000</v>
      </c>
      <c r="F1593" s="20" t="n">
        <v>520421</v>
      </c>
    </row>
    <row r="1594" customFormat="false" ht="15" hidden="false" customHeight="false" outlineLevel="0" collapsed="false">
      <c r="A1594" s="22" t="n">
        <v>46121</v>
      </c>
      <c r="B1594" s="19" t="s">
        <v>51</v>
      </c>
      <c r="C1594" s="19" t="s">
        <v>14</v>
      </c>
      <c r="D1594" s="19" t="s">
        <v>73</v>
      </c>
      <c r="E1594" s="20" t="n">
        <v>1847</v>
      </c>
      <c r="F1594" s="20" t="n">
        <v>0</v>
      </c>
    </row>
    <row r="1595" customFormat="false" ht="15" hidden="false" customHeight="false" outlineLevel="0" collapsed="false">
      <c r="A1595" s="22" t="n">
        <v>46121</v>
      </c>
      <c r="B1595" s="19" t="s">
        <v>51</v>
      </c>
      <c r="C1595" s="19" t="s">
        <v>12</v>
      </c>
      <c r="D1595" s="19" t="s">
        <v>122</v>
      </c>
      <c r="E1595" s="20" t="n">
        <v>67786</v>
      </c>
      <c r="F1595" s="20" t="n">
        <v>0</v>
      </c>
    </row>
    <row r="1596" customFormat="false" ht="15" hidden="false" customHeight="false" outlineLevel="0" collapsed="false">
      <c r="A1596" s="22" t="n">
        <v>46121</v>
      </c>
      <c r="B1596" s="19" t="s">
        <v>51</v>
      </c>
      <c r="C1596" s="19" t="s">
        <v>12</v>
      </c>
      <c r="D1596" s="19" t="s">
        <v>123</v>
      </c>
      <c r="E1596" s="20" t="n">
        <v>200000</v>
      </c>
      <c r="F1596" s="20" t="n">
        <v>862627</v>
      </c>
    </row>
    <row r="1597" customFormat="false" ht="15" hidden="false" customHeight="false" outlineLevel="0" collapsed="false">
      <c r="A1597" s="22" t="n">
        <v>46121</v>
      </c>
      <c r="B1597" s="19" t="s">
        <v>51</v>
      </c>
      <c r="C1597" s="19" t="s">
        <v>12</v>
      </c>
      <c r="D1597" s="19" t="s">
        <v>128</v>
      </c>
      <c r="E1597" s="20" t="n">
        <v>600000</v>
      </c>
      <c r="F1597" s="20" t="n">
        <v>3799750</v>
      </c>
    </row>
    <row r="1598" customFormat="false" ht="15" hidden="false" customHeight="false" outlineLevel="0" collapsed="false">
      <c r="A1598" s="22" t="n">
        <v>46121</v>
      </c>
      <c r="B1598" s="19" t="s">
        <v>51</v>
      </c>
      <c r="C1598" s="19" t="s">
        <v>12</v>
      </c>
      <c r="D1598" s="19" t="s">
        <v>131</v>
      </c>
      <c r="E1598" s="20" t="n">
        <v>350140</v>
      </c>
      <c r="F1598" s="20" t="n">
        <v>2108750</v>
      </c>
    </row>
    <row r="1599" customFormat="false" ht="15" hidden="false" customHeight="false" outlineLevel="0" collapsed="false">
      <c r="A1599" s="22" t="n">
        <v>46121</v>
      </c>
      <c r="B1599" s="19" t="s">
        <v>51</v>
      </c>
      <c r="C1599" s="19" t="s">
        <v>13</v>
      </c>
      <c r="D1599" s="19" t="s">
        <v>127</v>
      </c>
      <c r="E1599" s="20" t="n">
        <v>320429</v>
      </c>
      <c r="F1599" s="20" t="n">
        <v>1431200</v>
      </c>
    </row>
    <row r="1600" customFormat="false" ht="15" hidden="false" customHeight="false" outlineLevel="0" collapsed="false">
      <c r="A1600" s="22" t="n">
        <v>46121</v>
      </c>
      <c r="B1600" s="19" t="s">
        <v>51</v>
      </c>
      <c r="C1600" s="19" t="s">
        <v>12</v>
      </c>
      <c r="D1600" s="19" t="s">
        <v>126</v>
      </c>
      <c r="E1600" s="20" t="n">
        <v>68283</v>
      </c>
      <c r="F1600" s="20" t="n">
        <v>259742</v>
      </c>
    </row>
    <row r="1601" customFormat="false" ht="15" hidden="false" customHeight="false" outlineLevel="0" collapsed="false">
      <c r="A1601" s="22" t="n">
        <v>46121</v>
      </c>
      <c r="B1601" s="19" t="s">
        <v>51</v>
      </c>
      <c r="C1601" s="19" t="s">
        <v>12</v>
      </c>
      <c r="D1601" s="19" t="s">
        <v>137</v>
      </c>
      <c r="E1601" s="20" t="n">
        <v>100000</v>
      </c>
      <c r="F1601" s="20" t="n">
        <v>308750</v>
      </c>
    </row>
    <row r="1602" customFormat="false" ht="15" hidden="false" customHeight="false" outlineLevel="0" collapsed="false">
      <c r="A1602" s="22" t="n">
        <v>46121</v>
      </c>
      <c r="B1602" s="19" t="s">
        <v>51</v>
      </c>
      <c r="C1602" s="19" t="s">
        <v>14</v>
      </c>
      <c r="D1602" s="19" t="s">
        <v>130</v>
      </c>
      <c r="E1602" s="20" t="n">
        <v>100000</v>
      </c>
      <c r="F1602" s="20" t="n">
        <v>131100</v>
      </c>
    </row>
    <row r="1603" customFormat="false" ht="15" hidden="false" customHeight="false" outlineLevel="0" collapsed="false">
      <c r="A1603" s="22" t="n">
        <v>46121</v>
      </c>
      <c r="B1603" s="19" t="s">
        <v>51</v>
      </c>
      <c r="C1603" s="19" t="s">
        <v>15</v>
      </c>
      <c r="D1603" s="19" t="s">
        <v>135</v>
      </c>
      <c r="E1603" s="20" t="n">
        <v>32044</v>
      </c>
      <c r="F1603" s="20" t="n">
        <v>111550</v>
      </c>
    </row>
    <row r="1604" customFormat="false" ht="15" hidden="false" customHeight="false" outlineLevel="0" collapsed="false">
      <c r="A1604" s="22" t="n">
        <v>46121</v>
      </c>
      <c r="B1604" s="19" t="s">
        <v>51</v>
      </c>
      <c r="C1604" s="19" t="s">
        <v>12</v>
      </c>
      <c r="D1604" s="19" t="s">
        <v>132</v>
      </c>
      <c r="E1604" s="20" t="n">
        <v>66523</v>
      </c>
      <c r="F1604" s="20" t="n">
        <v>488640</v>
      </c>
    </row>
    <row r="1605" customFormat="false" ht="15" hidden="false" customHeight="false" outlineLevel="0" collapsed="false">
      <c r="A1605" s="22" t="n">
        <v>46121</v>
      </c>
      <c r="B1605" s="19" t="s">
        <v>51</v>
      </c>
      <c r="C1605" s="19" t="s">
        <v>13</v>
      </c>
      <c r="D1605" s="19" t="s">
        <v>136</v>
      </c>
      <c r="E1605" s="20" t="n">
        <v>263460</v>
      </c>
      <c r="F1605" s="20" t="n">
        <v>1376730</v>
      </c>
    </row>
    <row r="1606" customFormat="false" ht="15" hidden="false" customHeight="false" outlineLevel="0" collapsed="false">
      <c r="A1606" s="22" t="n">
        <v>46122</v>
      </c>
      <c r="B1606" s="19" t="s">
        <v>51</v>
      </c>
      <c r="C1606" s="19" t="s">
        <v>14</v>
      </c>
      <c r="D1606" s="19" t="s">
        <v>73</v>
      </c>
      <c r="E1606" s="20" t="n">
        <v>11112</v>
      </c>
      <c r="F1606" s="20" t="n">
        <v>99000</v>
      </c>
    </row>
    <row r="1607" customFormat="false" ht="15" hidden="false" customHeight="false" outlineLevel="0" collapsed="false">
      <c r="A1607" s="22" t="n">
        <v>46122</v>
      </c>
      <c r="B1607" s="19" t="s">
        <v>51</v>
      </c>
      <c r="C1607" s="19" t="s">
        <v>12</v>
      </c>
      <c r="D1607" s="19" t="s">
        <v>122</v>
      </c>
      <c r="E1607" s="20" t="n">
        <v>100000</v>
      </c>
      <c r="F1607" s="20" t="n">
        <v>959030</v>
      </c>
    </row>
    <row r="1608" customFormat="false" ht="15" hidden="false" customHeight="false" outlineLevel="0" collapsed="false">
      <c r="A1608" s="22" t="n">
        <v>46122</v>
      </c>
      <c r="B1608" s="19" t="s">
        <v>51</v>
      </c>
      <c r="C1608" s="19" t="s">
        <v>12</v>
      </c>
      <c r="D1608" s="19" t="s">
        <v>123</v>
      </c>
      <c r="E1608" s="20" t="n">
        <v>129943</v>
      </c>
      <c r="F1608" s="20" t="n">
        <v>246001</v>
      </c>
    </row>
    <row r="1609" customFormat="false" ht="15" hidden="false" customHeight="false" outlineLevel="0" collapsed="false">
      <c r="A1609" s="22" t="n">
        <v>46122</v>
      </c>
      <c r="B1609" s="19" t="s">
        <v>51</v>
      </c>
      <c r="C1609" s="19" t="s">
        <v>12</v>
      </c>
      <c r="D1609" s="19" t="s">
        <v>126</v>
      </c>
      <c r="E1609" s="20" t="n">
        <v>168464</v>
      </c>
      <c r="F1609" s="20" t="n">
        <v>729295</v>
      </c>
    </row>
    <row r="1610" customFormat="false" ht="15" hidden="false" customHeight="false" outlineLevel="0" collapsed="false">
      <c r="A1610" s="22" t="n">
        <v>46122</v>
      </c>
      <c r="B1610" s="19" t="s">
        <v>51</v>
      </c>
      <c r="C1610" s="19" t="s">
        <v>12</v>
      </c>
      <c r="D1610" s="19" t="s">
        <v>137</v>
      </c>
      <c r="E1610" s="20" t="n">
        <v>99581</v>
      </c>
      <c r="F1610" s="20" t="n">
        <v>0</v>
      </c>
    </row>
    <row r="1611" customFormat="false" ht="15" hidden="false" customHeight="false" outlineLevel="0" collapsed="false">
      <c r="A1611" s="22" t="n">
        <v>46122</v>
      </c>
      <c r="B1611" s="19" t="s">
        <v>51</v>
      </c>
      <c r="C1611" s="19" t="s">
        <v>12</v>
      </c>
      <c r="D1611" s="19" t="s">
        <v>131</v>
      </c>
      <c r="E1611" s="20" t="n">
        <v>98721</v>
      </c>
      <c r="F1611" s="20" t="n">
        <v>0</v>
      </c>
    </row>
    <row r="1612" customFormat="false" ht="15" hidden="false" customHeight="false" outlineLevel="0" collapsed="false">
      <c r="A1612" s="22" t="n">
        <v>46122</v>
      </c>
      <c r="B1612" s="19" t="s">
        <v>51</v>
      </c>
      <c r="C1612" s="19" t="s">
        <v>15</v>
      </c>
      <c r="D1612" s="19" t="s">
        <v>135</v>
      </c>
      <c r="E1612" s="20" t="n">
        <v>27647</v>
      </c>
      <c r="F1612" s="20" t="n">
        <v>111550</v>
      </c>
    </row>
    <row r="1613" customFormat="false" ht="15" hidden="false" customHeight="false" outlineLevel="0" collapsed="false">
      <c r="A1613" s="22" t="n">
        <v>46122</v>
      </c>
      <c r="B1613" s="19" t="s">
        <v>51</v>
      </c>
      <c r="C1613" s="19" t="s">
        <v>14</v>
      </c>
      <c r="D1613" s="19" t="s">
        <v>130</v>
      </c>
      <c r="E1613" s="20" t="n">
        <v>100000</v>
      </c>
      <c r="F1613" s="20" t="n">
        <v>969342</v>
      </c>
    </row>
    <row r="1614" customFormat="false" ht="15" hidden="false" customHeight="false" outlineLevel="0" collapsed="false">
      <c r="A1614" s="22" t="n">
        <v>46122</v>
      </c>
      <c r="B1614" s="19" t="s">
        <v>51</v>
      </c>
      <c r="C1614" s="19" t="s">
        <v>13</v>
      </c>
      <c r="D1614" s="19" t="s">
        <v>127</v>
      </c>
      <c r="E1614" s="20" t="n">
        <v>105458</v>
      </c>
      <c r="F1614" s="20" t="n">
        <v>179450</v>
      </c>
    </row>
    <row r="1615" customFormat="false" ht="15" hidden="false" customHeight="false" outlineLevel="0" collapsed="false">
      <c r="A1615" s="22" t="n">
        <v>46122</v>
      </c>
      <c r="B1615" s="19" t="s">
        <v>51</v>
      </c>
      <c r="C1615" s="19" t="s">
        <v>12</v>
      </c>
      <c r="D1615" s="19" t="s">
        <v>132</v>
      </c>
      <c r="E1615" s="20" t="n">
        <v>9767</v>
      </c>
      <c r="F1615" s="20" t="n">
        <v>0</v>
      </c>
    </row>
    <row r="1616" customFormat="false" ht="15" hidden="false" customHeight="false" outlineLevel="0" collapsed="false">
      <c r="A1616" s="22" t="n">
        <v>46122</v>
      </c>
      <c r="B1616" s="19" t="s">
        <v>51</v>
      </c>
      <c r="C1616" s="19" t="s">
        <v>13</v>
      </c>
      <c r="D1616" s="19" t="s">
        <v>136</v>
      </c>
      <c r="E1616" s="20" t="n">
        <v>800000</v>
      </c>
      <c r="F1616" s="20" t="n">
        <v>4664899</v>
      </c>
    </row>
    <row r="1617" customFormat="false" ht="15" hidden="false" customHeight="false" outlineLevel="0" collapsed="false">
      <c r="A1617" s="22" t="n">
        <v>46123</v>
      </c>
      <c r="B1617" s="19" t="s">
        <v>51</v>
      </c>
      <c r="C1617" s="19" t="s">
        <v>14</v>
      </c>
      <c r="D1617" s="19" t="s">
        <v>73</v>
      </c>
      <c r="E1617" s="20" t="n">
        <v>50243</v>
      </c>
      <c r="F1617" s="20" t="n">
        <v>286080</v>
      </c>
    </row>
    <row r="1618" customFormat="false" ht="15" hidden="false" customHeight="false" outlineLevel="0" collapsed="false">
      <c r="A1618" s="22" t="n">
        <v>46123</v>
      </c>
      <c r="B1618" s="19" t="s">
        <v>51</v>
      </c>
      <c r="C1618" s="19" t="s">
        <v>12</v>
      </c>
      <c r="D1618" s="19" t="s">
        <v>122</v>
      </c>
      <c r="E1618" s="20" t="n">
        <v>14854</v>
      </c>
      <c r="F1618" s="20" t="n">
        <v>0</v>
      </c>
    </row>
    <row r="1619" customFormat="false" ht="15" hidden="false" customHeight="false" outlineLevel="0" collapsed="false">
      <c r="A1619" s="22" t="n">
        <v>46123</v>
      </c>
      <c r="B1619" s="19" t="s">
        <v>51</v>
      </c>
      <c r="C1619" s="19" t="s">
        <v>12</v>
      </c>
      <c r="D1619" s="19" t="s">
        <v>123</v>
      </c>
      <c r="E1619" s="20" t="n">
        <v>54993</v>
      </c>
      <c r="F1619" s="20" t="n">
        <v>200421</v>
      </c>
    </row>
    <row r="1620" customFormat="false" ht="15" hidden="false" customHeight="false" outlineLevel="0" collapsed="false">
      <c r="A1620" s="22" t="n">
        <v>46123</v>
      </c>
      <c r="B1620" s="19" t="s">
        <v>51</v>
      </c>
      <c r="C1620" s="19" t="s">
        <v>12</v>
      </c>
      <c r="D1620" s="19" t="s">
        <v>132</v>
      </c>
      <c r="E1620" s="20" t="n">
        <v>48270</v>
      </c>
      <c r="F1620" s="20" t="n">
        <v>0</v>
      </c>
    </row>
    <row r="1621" customFormat="false" ht="15" hidden="false" customHeight="false" outlineLevel="0" collapsed="false">
      <c r="A1621" s="22" t="n">
        <v>46123</v>
      </c>
      <c r="B1621" s="19" t="s">
        <v>51</v>
      </c>
      <c r="C1621" s="19" t="s">
        <v>12</v>
      </c>
      <c r="D1621" s="19" t="s">
        <v>126</v>
      </c>
      <c r="E1621" s="20" t="n">
        <v>27539</v>
      </c>
      <c r="F1621" s="20" t="n">
        <v>124000</v>
      </c>
    </row>
    <row r="1622" customFormat="false" ht="15" hidden="false" customHeight="false" outlineLevel="0" collapsed="false">
      <c r="A1622" s="22" t="n">
        <v>46123</v>
      </c>
      <c r="B1622" s="19" t="s">
        <v>51</v>
      </c>
      <c r="C1622" s="19" t="s">
        <v>12</v>
      </c>
      <c r="D1622" s="19" t="s">
        <v>137</v>
      </c>
      <c r="E1622" s="20" t="n">
        <v>100000</v>
      </c>
      <c r="F1622" s="20" t="n">
        <v>105730</v>
      </c>
    </row>
    <row r="1623" customFormat="false" ht="15" hidden="false" customHeight="false" outlineLevel="0" collapsed="false">
      <c r="A1623" s="22" t="n">
        <v>46123</v>
      </c>
      <c r="B1623" s="19" t="s">
        <v>51</v>
      </c>
      <c r="C1623" s="19" t="s">
        <v>13</v>
      </c>
      <c r="D1623" s="19" t="s">
        <v>127</v>
      </c>
      <c r="E1623" s="20" t="n">
        <v>62149</v>
      </c>
      <c r="F1623" s="20" t="n">
        <v>0</v>
      </c>
    </row>
    <row r="1624" customFormat="false" ht="15" hidden="false" customHeight="false" outlineLevel="0" collapsed="false">
      <c r="A1624" s="22" t="n">
        <v>46123</v>
      </c>
      <c r="B1624" s="19" t="s">
        <v>51</v>
      </c>
      <c r="C1624" s="19" t="s">
        <v>14</v>
      </c>
      <c r="D1624" s="19" t="s">
        <v>130</v>
      </c>
      <c r="E1624" s="20" t="n">
        <v>35261</v>
      </c>
      <c r="F1624" s="20" t="n">
        <v>0</v>
      </c>
    </row>
    <row r="1625" customFormat="false" ht="15" hidden="false" customHeight="false" outlineLevel="0" collapsed="false">
      <c r="A1625" s="22" t="n">
        <v>46123</v>
      </c>
      <c r="B1625" s="19" t="s">
        <v>51</v>
      </c>
      <c r="C1625" s="19" t="s">
        <v>12</v>
      </c>
      <c r="D1625" s="19" t="s">
        <v>131</v>
      </c>
      <c r="E1625" s="20" t="n">
        <v>7985</v>
      </c>
      <c r="F1625" s="20" t="n">
        <v>0</v>
      </c>
    </row>
    <row r="1626" customFormat="false" ht="15" hidden="false" customHeight="false" outlineLevel="0" collapsed="false">
      <c r="A1626" s="22" t="n">
        <v>46123</v>
      </c>
      <c r="B1626" s="19" t="s">
        <v>51</v>
      </c>
      <c r="C1626" s="19" t="s">
        <v>15</v>
      </c>
      <c r="D1626" s="19" t="s">
        <v>135</v>
      </c>
      <c r="E1626" s="20" t="n">
        <v>4225</v>
      </c>
      <c r="F1626" s="20" t="n">
        <v>0</v>
      </c>
    </row>
    <row r="1627" customFormat="false" ht="15" hidden="false" customHeight="false" outlineLevel="0" collapsed="false">
      <c r="A1627" s="22" t="n">
        <v>46123</v>
      </c>
      <c r="B1627" s="19" t="s">
        <v>51</v>
      </c>
      <c r="C1627" s="19" t="s">
        <v>13</v>
      </c>
      <c r="D1627" s="19" t="s">
        <v>136</v>
      </c>
      <c r="E1627" s="20" t="n">
        <v>143699</v>
      </c>
      <c r="F1627" s="20" t="n">
        <v>308750</v>
      </c>
    </row>
    <row r="1628" customFormat="false" ht="15" hidden="false" customHeight="false" outlineLevel="0" collapsed="false">
      <c r="A1628" s="22" t="n">
        <v>46124</v>
      </c>
      <c r="B1628" s="19" t="s">
        <v>51</v>
      </c>
      <c r="C1628" s="19" t="s">
        <v>14</v>
      </c>
      <c r="D1628" s="19" t="s">
        <v>73</v>
      </c>
      <c r="E1628" s="20" t="n">
        <v>15184</v>
      </c>
      <c r="F1628" s="20" t="n">
        <v>0</v>
      </c>
    </row>
    <row r="1629" customFormat="false" ht="15" hidden="false" customHeight="false" outlineLevel="0" collapsed="false">
      <c r="A1629" s="22" t="n">
        <v>46124</v>
      </c>
      <c r="B1629" s="19" t="s">
        <v>51</v>
      </c>
      <c r="C1629" s="19" t="s">
        <v>12</v>
      </c>
      <c r="D1629" s="19" t="s">
        <v>122</v>
      </c>
      <c r="E1629" s="20" t="n">
        <v>14503</v>
      </c>
      <c r="F1629" s="20" t="n">
        <v>0</v>
      </c>
    </row>
    <row r="1630" customFormat="false" ht="15" hidden="false" customHeight="false" outlineLevel="0" collapsed="false">
      <c r="A1630" s="22" t="n">
        <v>46124</v>
      </c>
      <c r="B1630" s="19" t="s">
        <v>51</v>
      </c>
      <c r="C1630" s="19" t="s">
        <v>12</v>
      </c>
      <c r="D1630" s="19" t="s">
        <v>123</v>
      </c>
      <c r="E1630" s="20" t="n">
        <v>59895</v>
      </c>
      <c r="F1630" s="20" t="n">
        <v>200421</v>
      </c>
    </row>
    <row r="1631" customFormat="false" ht="15" hidden="false" customHeight="false" outlineLevel="0" collapsed="false">
      <c r="A1631" s="22" t="n">
        <v>46124</v>
      </c>
      <c r="B1631" s="19" t="s">
        <v>51</v>
      </c>
      <c r="C1631" s="19" t="s">
        <v>12</v>
      </c>
      <c r="D1631" s="19" t="s">
        <v>137</v>
      </c>
      <c r="E1631" s="20" t="n">
        <v>96018</v>
      </c>
      <c r="F1631" s="20" t="n">
        <v>0</v>
      </c>
    </row>
    <row r="1632" customFormat="false" ht="15" hidden="false" customHeight="false" outlineLevel="0" collapsed="false">
      <c r="A1632" s="22" t="n">
        <v>46124</v>
      </c>
      <c r="B1632" s="19" t="s">
        <v>51</v>
      </c>
      <c r="C1632" s="19" t="s">
        <v>14</v>
      </c>
      <c r="D1632" s="19" t="s">
        <v>130</v>
      </c>
      <c r="E1632" s="20" t="n">
        <v>140509</v>
      </c>
      <c r="F1632" s="20" t="n">
        <v>776310</v>
      </c>
    </row>
    <row r="1633" customFormat="false" ht="15" hidden="false" customHeight="false" outlineLevel="0" collapsed="false">
      <c r="A1633" s="22" t="n">
        <v>46124</v>
      </c>
      <c r="B1633" s="19" t="s">
        <v>51</v>
      </c>
      <c r="C1633" s="19" t="s">
        <v>13</v>
      </c>
      <c r="D1633" s="19" t="s">
        <v>127</v>
      </c>
      <c r="E1633" s="20" t="n">
        <v>131339</v>
      </c>
      <c r="F1633" s="20" t="n">
        <v>0</v>
      </c>
    </row>
    <row r="1634" customFormat="false" ht="15" hidden="false" customHeight="false" outlineLevel="0" collapsed="false">
      <c r="A1634" s="22" t="n">
        <v>46124</v>
      </c>
      <c r="B1634" s="19" t="s">
        <v>51</v>
      </c>
      <c r="C1634" s="19" t="s">
        <v>12</v>
      </c>
      <c r="D1634" s="19" t="s">
        <v>126</v>
      </c>
      <c r="E1634" s="20" t="n">
        <v>32249</v>
      </c>
      <c r="F1634" s="20" t="n">
        <v>124000</v>
      </c>
    </row>
    <row r="1635" customFormat="false" ht="15" hidden="false" customHeight="false" outlineLevel="0" collapsed="false">
      <c r="A1635" s="22" t="n">
        <v>46124</v>
      </c>
      <c r="B1635" s="19" t="s">
        <v>51</v>
      </c>
      <c r="C1635" s="19" t="s">
        <v>12</v>
      </c>
      <c r="D1635" s="19" t="s">
        <v>132</v>
      </c>
      <c r="E1635" s="20" t="n">
        <v>58338</v>
      </c>
      <c r="F1635" s="20" t="n">
        <v>287040</v>
      </c>
    </row>
    <row r="1636" customFormat="false" ht="15" hidden="false" customHeight="false" outlineLevel="0" collapsed="false">
      <c r="A1636" s="22" t="n">
        <v>46124</v>
      </c>
      <c r="B1636" s="19" t="s">
        <v>51</v>
      </c>
      <c r="C1636" s="19" t="s">
        <v>12</v>
      </c>
      <c r="D1636" s="19" t="s">
        <v>131</v>
      </c>
      <c r="E1636" s="20" t="n">
        <v>63977</v>
      </c>
      <c r="F1636" s="20" t="n">
        <v>283200</v>
      </c>
    </row>
    <row r="1637" customFormat="false" ht="15" hidden="false" customHeight="false" outlineLevel="0" collapsed="false">
      <c r="A1637" s="22" t="n">
        <v>46124</v>
      </c>
      <c r="B1637" s="19" t="s">
        <v>51</v>
      </c>
      <c r="C1637" s="19" t="s">
        <v>15</v>
      </c>
      <c r="D1637" s="19" t="s">
        <v>135</v>
      </c>
      <c r="E1637" s="20" t="n">
        <v>5414</v>
      </c>
      <c r="F1637" s="20" t="n">
        <v>0</v>
      </c>
    </row>
    <row r="1638" customFormat="false" ht="15" hidden="false" customHeight="false" outlineLevel="0" collapsed="false">
      <c r="A1638" s="22" t="n">
        <v>46124</v>
      </c>
      <c r="B1638" s="19" t="s">
        <v>51</v>
      </c>
      <c r="C1638" s="19" t="s">
        <v>13</v>
      </c>
      <c r="D1638" s="19" t="s">
        <v>136</v>
      </c>
      <c r="E1638" s="20" t="n">
        <v>200000</v>
      </c>
      <c r="F1638" s="20" t="n">
        <v>819022</v>
      </c>
    </row>
    <row r="1639" customFormat="false" ht="15" hidden="false" customHeight="false" outlineLevel="0" collapsed="false">
      <c r="A1639" s="22" t="n">
        <v>46125</v>
      </c>
      <c r="B1639" s="19" t="s">
        <v>51</v>
      </c>
      <c r="C1639" s="19" t="s">
        <v>14</v>
      </c>
      <c r="D1639" s="19" t="s">
        <v>73</v>
      </c>
      <c r="E1639" s="20" t="n">
        <v>37712</v>
      </c>
      <c r="F1639" s="20" t="n">
        <v>337900</v>
      </c>
    </row>
    <row r="1640" customFormat="false" ht="15" hidden="false" customHeight="false" outlineLevel="0" collapsed="false">
      <c r="A1640" s="22" t="n">
        <v>46125</v>
      </c>
      <c r="B1640" s="19" t="s">
        <v>51</v>
      </c>
      <c r="C1640" s="19" t="s">
        <v>12</v>
      </c>
      <c r="D1640" s="19" t="s">
        <v>122</v>
      </c>
      <c r="E1640" s="20" t="n">
        <v>16938</v>
      </c>
      <c r="F1640" s="20" t="n">
        <v>0</v>
      </c>
    </row>
    <row r="1641" customFormat="false" ht="15" hidden="false" customHeight="false" outlineLevel="0" collapsed="false">
      <c r="A1641" s="22" t="n">
        <v>46125</v>
      </c>
      <c r="B1641" s="19" t="s">
        <v>51</v>
      </c>
      <c r="C1641" s="19" t="s">
        <v>12</v>
      </c>
      <c r="D1641" s="19" t="s">
        <v>123</v>
      </c>
      <c r="E1641" s="20" t="n">
        <v>75048</v>
      </c>
      <c r="F1641" s="20" t="n">
        <v>97000</v>
      </c>
    </row>
    <row r="1642" customFormat="false" ht="15" hidden="false" customHeight="false" outlineLevel="0" collapsed="false">
      <c r="A1642" s="22" t="n">
        <v>46125</v>
      </c>
      <c r="B1642" s="19" t="s">
        <v>51</v>
      </c>
      <c r="C1642" s="19" t="s">
        <v>12</v>
      </c>
      <c r="D1642" s="19" t="s">
        <v>137</v>
      </c>
      <c r="E1642" s="20" t="n">
        <v>276734</v>
      </c>
      <c r="F1642" s="20" t="n">
        <v>1168650</v>
      </c>
    </row>
    <row r="1643" customFormat="false" ht="15" hidden="false" customHeight="false" outlineLevel="0" collapsed="false">
      <c r="A1643" s="22" t="n">
        <v>46125</v>
      </c>
      <c r="B1643" s="19" t="s">
        <v>51</v>
      </c>
      <c r="C1643" s="19" t="s">
        <v>14</v>
      </c>
      <c r="D1643" s="19" t="s">
        <v>130</v>
      </c>
      <c r="E1643" s="20" t="n">
        <v>150000</v>
      </c>
      <c r="F1643" s="20" t="n">
        <v>798940</v>
      </c>
    </row>
    <row r="1644" customFormat="false" ht="15" hidden="false" customHeight="false" outlineLevel="0" collapsed="false">
      <c r="A1644" s="22" t="n">
        <v>46125</v>
      </c>
      <c r="B1644" s="19" t="s">
        <v>51</v>
      </c>
      <c r="C1644" s="19" t="s">
        <v>12</v>
      </c>
      <c r="D1644" s="19" t="s">
        <v>126</v>
      </c>
      <c r="E1644" s="20" t="n">
        <v>76504</v>
      </c>
      <c r="F1644" s="20" t="n">
        <v>234750</v>
      </c>
    </row>
    <row r="1645" customFormat="false" ht="15" hidden="false" customHeight="false" outlineLevel="0" collapsed="false">
      <c r="A1645" s="22" t="n">
        <v>46125</v>
      </c>
      <c r="B1645" s="19" t="s">
        <v>51</v>
      </c>
      <c r="C1645" s="19" t="s">
        <v>13</v>
      </c>
      <c r="D1645" s="19" t="s">
        <v>127</v>
      </c>
      <c r="E1645" s="20" t="n">
        <v>75571</v>
      </c>
      <c r="F1645" s="20" t="n">
        <v>378030</v>
      </c>
    </row>
    <row r="1646" customFormat="false" ht="15" hidden="false" customHeight="false" outlineLevel="0" collapsed="false">
      <c r="A1646" s="22" t="n">
        <v>46125</v>
      </c>
      <c r="B1646" s="19" t="s">
        <v>51</v>
      </c>
      <c r="C1646" s="19" t="s">
        <v>15</v>
      </c>
      <c r="D1646" s="19" t="s">
        <v>135</v>
      </c>
      <c r="E1646" s="20" t="n">
        <v>31218</v>
      </c>
      <c r="F1646" s="20" t="n">
        <v>111550</v>
      </c>
    </row>
    <row r="1647" customFormat="false" ht="15" hidden="false" customHeight="false" outlineLevel="0" collapsed="false">
      <c r="A1647" s="22" t="n">
        <v>46125</v>
      </c>
      <c r="B1647" s="19" t="s">
        <v>51</v>
      </c>
      <c r="C1647" s="19" t="s">
        <v>12</v>
      </c>
      <c r="D1647" s="19" t="s">
        <v>132</v>
      </c>
      <c r="E1647" s="20" t="n">
        <v>52982</v>
      </c>
      <c r="F1647" s="20" t="n">
        <v>220800</v>
      </c>
    </row>
    <row r="1648" customFormat="false" ht="15" hidden="false" customHeight="false" outlineLevel="0" collapsed="false">
      <c r="A1648" s="22" t="n">
        <v>46125</v>
      </c>
      <c r="B1648" s="19" t="s">
        <v>51</v>
      </c>
      <c r="C1648" s="19" t="s">
        <v>12</v>
      </c>
      <c r="D1648" s="19" t="s">
        <v>131</v>
      </c>
      <c r="E1648" s="20" t="n">
        <v>12835</v>
      </c>
      <c r="F1648" s="20" t="n">
        <v>0</v>
      </c>
    </row>
    <row r="1649" customFormat="false" ht="15" hidden="false" customHeight="false" outlineLevel="0" collapsed="false">
      <c r="A1649" s="22" t="n">
        <v>46125</v>
      </c>
      <c r="B1649" s="19" t="s">
        <v>51</v>
      </c>
      <c r="C1649" s="19" t="s">
        <v>13</v>
      </c>
      <c r="D1649" s="19" t="s">
        <v>136</v>
      </c>
      <c r="E1649" s="20" t="n">
        <v>117380</v>
      </c>
      <c r="F1649" s="20" t="n">
        <v>351722</v>
      </c>
    </row>
    <row r="1650" customFormat="false" ht="15" hidden="false" customHeight="false" outlineLevel="0" collapsed="false">
      <c r="A1650" s="22" t="n">
        <v>46126</v>
      </c>
      <c r="B1650" s="19" t="s">
        <v>51</v>
      </c>
      <c r="C1650" s="19" t="s">
        <v>14</v>
      </c>
      <c r="D1650" s="19" t="s">
        <v>73</v>
      </c>
      <c r="E1650" s="20" t="n">
        <v>18533</v>
      </c>
      <c r="F1650" s="20" t="n">
        <v>99000</v>
      </c>
    </row>
    <row r="1651" customFormat="false" ht="15" hidden="false" customHeight="false" outlineLevel="0" collapsed="false">
      <c r="A1651" s="22" t="n">
        <v>46126</v>
      </c>
      <c r="B1651" s="19" t="s">
        <v>51</v>
      </c>
      <c r="C1651" s="19" t="s">
        <v>70</v>
      </c>
      <c r="D1651" s="19" t="s">
        <v>133</v>
      </c>
      <c r="E1651" s="20" t="n">
        <v>1913</v>
      </c>
      <c r="F1651" s="20" t="n">
        <v>0</v>
      </c>
    </row>
    <row r="1652" customFormat="false" ht="15" hidden="false" customHeight="false" outlineLevel="0" collapsed="false">
      <c r="A1652" s="22" t="n">
        <v>46126</v>
      </c>
      <c r="B1652" s="19" t="s">
        <v>51</v>
      </c>
      <c r="C1652" s="19" t="s">
        <v>70</v>
      </c>
      <c r="D1652" s="19" t="s">
        <v>134</v>
      </c>
      <c r="E1652" s="20" t="n">
        <v>3939</v>
      </c>
      <c r="F1652" s="20" t="n">
        <v>0</v>
      </c>
    </row>
    <row r="1653" customFormat="false" ht="15" hidden="false" customHeight="false" outlineLevel="0" collapsed="false">
      <c r="A1653" s="22" t="n">
        <v>46126</v>
      </c>
      <c r="B1653" s="19" t="s">
        <v>51</v>
      </c>
      <c r="C1653" s="19" t="s">
        <v>12</v>
      </c>
      <c r="D1653" s="19" t="s">
        <v>122</v>
      </c>
      <c r="E1653" s="20" t="n">
        <v>43705</v>
      </c>
      <c r="F1653" s="20" t="n">
        <v>204480</v>
      </c>
    </row>
    <row r="1654" customFormat="false" ht="15" hidden="false" customHeight="false" outlineLevel="0" collapsed="false">
      <c r="A1654" s="22" t="n">
        <v>46126</v>
      </c>
      <c r="B1654" s="19" t="s">
        <v>51</v>
      </c>
      <c r="C1654" s="19" t="s">
        <v>12</v>
      </c>
      <c r="D1654" s="19" t="s">
        <v>123</v>
      </c>
      <c r="E1654" s="20" t="n">
        <v>400000</v>
      </c>
      <c r="F1654" s="20" t="n">
        <v>2475167</v>
      </c>
    </row>
    <row r="1655" customFormat="false" ht="15" hidden="false" customHeight="false" outlineLevel="0" collapsed="false">
      <c r="A1655" s="22" t="n">
        <v>46126</v>
      </c>
      <c r="B1655" s="19" t="s">
        <v>51</v>
      </c>
      <c r="C1655" s="19" t="s">
        <v>14</v>
      </c>
      <c r="D1655" s="19" t="s">
        <v>130</v>
      </c>
      <c r="E1655" s="20" t="n">
        <v>250000</v>
      </c>
      <c r="F1655" s="20" t="n">
        <v>1143180</v>
      </c>
    </row>
    <row r="1656" customFormat="false" ht="15" hidden="false" customHeight="false" outlineLevel="0" collapsed="false">
      <c r="A1656" s="22" t="n">
        <v>46126</v>
      </c>
      <c r="B1656" s="19" t="s">
        <v>51</v>
      </c>
      <c r="C1656" s="19" t="s">
        <v>12</v>
      </c>
      <c r="D1656" s="19" t="s">
        <v>131</v>
      </c>
      <c r="E1656" s="20" t="n">
        <v>259192</v>
      </c>
      <c r="F1656" s="20" t="n">
        <v>1433200</v>
      </c>
    </row>
    <row r="1657" customFormat="false" ht="15" hidden="false" customHeight="false" outlineLevel="0" collapsed="false">
      <c r="A1657" s="22" t="n">
        <v>46126</v>
      </c>
      <c r="B1657" s="19" t="s">
        <v>51</v>
      </c>
      <c r="C1657" s="19" t="s">
        <v>13</v>
      </c>
      <c r="D1657" s="19" t="s">
        <v>127</v>
      </c>
      <c r="E1657" s="20" t="n">
        <v>200000</v>
      </c>
      <c r="F1657" s="20" t="n">
        <v>1483060</v>
      </c>
    </row>
    <row r="1658" customFormat="false" ht="15" hidden="false" customHeight="false" outlineLevel="0" collapsed="false">
      <c r="A1658" s="22" t="n">
        <v>46126</v>
      </c>
      <c r="B1658" s="19" t="s">
        <v>51</v>
      </c>
      <c r="C1658" s="19" t="s">
        <v>12</v>
      </c>
      <c r="D1658" s="19" t="s">
        <v>137</v>
      </c>
      <c r="E1658" s="20" t="n">
        <v>105039</v>
      </c>
      <c r="F1658" s="20" t="n">
        <v>169750</v>
      </c>
    </row>
    <row r="1659" customFormat="false" ht="15" hidden="false" customHeight="false" outlineLevel="0" collapsed="false">
      <c r="A1659" s="22" t="n">
        <v>46126</v>
      </c>
      <c r="B1659" s="19" t="s">
        <v>51</v>
      </c>
      <c r="C1659" s="19" t="s">
        <v>12</v>
      </c>
      <c r="D1659" s="19" t="s">
        <v>126</v>
      </c>
      <c r="E1659" s="20" t="n">
        <v>34347</v>
      </c>
      <c r="F1659" s="20" t="n">
        <v>186250</v>
      </c>
    </row>
    <row r="1660" customFormat="false" ht="15" hidden="false" customHeight="false" outlineLevel="0" collapsed="false">
      <c r="A1660" s="22" t="n">
        <v>46126</v>
      </c>
      <c r="B1660" s="19" t="s">
        <v>51</v>
      </c>
      <c r="C1660" s="19" t="s">
        <v>15</v>
      </c>
      <c r="D1660" s="19" t="s">
        <v>135</v>
      </c>
      <c r="E1660" s="20" t="n">
        <v>14106</v>
      </c>
      <c r="F1660" s="20" t="n">
        <v>0</v>
      </c>
    </row>
    <row r="1661" customFormat="false" ht="15" hidden="false" customHeight="false" outlineLevel="0" collapsed="false">
      <c r="A1661" s="22" t="n">
        <v>46126</v>
      </c>
      <c r="B1661" s="19" t="s">
        <v>51</v>
      </c>
      <c r="C1661" s="19" t="s">
        <v>12</v>
      </c>
      <c r="D1661" s="19" t="s">
        <v>132</v>
      </c>
      <c r="E1661" s="20" t="n">
        <v>6899</v>
      </c>
      <c r="F1661" s="20" t="n">
        <v>0</v>
      </c>
    </row>
    <row r="1662" customFormat="false" ht="15" hidden="false" customHeight="false" outlineLevel="0" collapsed="false">
      <c r="A1662" s="22" t="n">
        <v>46126</v>
      </c>
      <c r="B1662" s="19" t="s">
        <v>51</v>
      </c>
      <c r="C1662" s="19" t="s">
        <v>13</v>
      </c>
      <c r="D1662" s="19" t="s">
        <v>136</v>
      </c>
      <c r="E1662" s="20" t="n">
        <v>38649</v>
      </c>
      <c r="F1662" s="20" t="n">
        <v>175861</v>
      </c>
    </row>
    <row r="1663" customFormat="false" ht="15" hidden="false" customHeight="false" outlineLevel="0" collapsed="false">
      <c r="A1663" s="22" t="n">
        <v>46127</v>
      </c>
      <c r="B1663" s="19" t="s">
        <v>51</v>
      </c>
      <c r="C1663" s="19" t="s">
        <v>14</v>
      </c>
      <c r="D1663" s="19" t="s">
        <v>73</v>
      </c>
      <c r="E1663" s="20" t="n">
        <v>7842</v>
      </c>
      <c r="F1663" s="20" t="n">
        <v>0</v>
      </c>
    </row>
    <row r="1664" customFormat="false" ht="15" hidden="false" customHeight="false" outlineLevel="0" collapsed="false">
      <c r="A1664" s="22" t="n">
        <v>46127</v>
      </c>
      <c r="B1664" s="19" t="s">
        <v>51</v>
      </c>
      <c r="C1664" s="19" t="s">
        <v>70</v>
      </c>
      <c r="D1664" s="19" t="s">
        <v>133</v>
      </c>
      <c r="E1664" s="20" t="n">
        <v>30281</v>
      </c>
      <c r="F1664" s="20" t="n">
        <v>0</v>
      </c>
    </row>
    <row r="1665" customFormat="false" ht="15" hidden="false" customHeight="false" outlineLevel="0" collapsed="false">
      <c r="A1665" s="22" t="n">
        <v>46127</v>
      </c>
      <c r="B1665" s="19" t="s">
        <v>51</v>
      </c>
      <c r="C1665" s="19" t="s">
        <v>70</v>
      </c>
      <c r="D1665" s="19" t="s">
        <v>134</v>
      </c>
      <c r="E1665" s="20" t="n">
        <v>8711</v>
      </c>
      <c r="F1665" s="20" t="n">
        <v>0</v>
      </c>
    </row>
    <row r="1666" customFormat="false" ht="15" hidden="false" customHeight="false" outlineLevel="0" collapsed="false">
      <c r="A1666" s="22" t="n">
        <v>46127</v>
      </c>
      <c r="B1666" s="19" t="s">
        <v>51</v>
      </c>
      <c r="C1666" s="19" t="s">
        <v>12</v>
      </c>
      <c r="D1666" s="19" t="s">
        <v>122</v>
      </c>
      <c r="E1666" s="20" t="n">
        <v>105756</v>
      </c>
      <c r="F1666" s="20" t="n">
        <v>392030</v>
      </c>
    </row>
    <row r="1667" customFormat="false" ht="15" hidden="false" customHeight="false" outlineLevel="0" collapsed="false">
      <c r="A1667" s="22" t="n">
        <v>46127</v>
      </c>
      <c r="B1667" s="19" t="s">
        <v>51</v>
      </c>
      <c r="C1667" s="19" t="s">
        <v>12</v>
      </c>
      <c r="D1667" s="19" t="s">
        <v>123</v>
      </c>
      <c r="E1667" s="20" t="n">
        <v>400000</v>
      </c>
      <c r="F1667" s="20" t="n">
        <v>956917</v>
      </c>
    </row>
    <row r="1668" customFormat="false" ht="15" hidden="false" customHeight="false" outlineLevel="0" collapsed="false">
      <c r="A1668" s="22" t="n">
        <v>46127</v>
      </c>
      <c r="B1668" s="19" t="s">
        <v>51</v>
      </c>
      <c r="C1668" s="19" t="s">
        <v>12</v>
      </c>
      <c r="D1668" s="19" t="s">
        <v>137</v>
      </c>
      <c r="E1668" s="20" t="n">
        <v>513502</v>
      </c>
      <c r="F1668" s="20" t="n">
        <v>3106360</v>
      </c>
    </row>
    <row r="1669" customFormat="false" ht="15" hidden="false" customHeight="false" outlineLevel="0" collapsed="false">
      <c r="A1669" s="22" t="n">
        <v>46127</v>
      </c>
      <c r="B1669" s="19" t="s">
        <v>51</v>
      </c>
      <c r="C1669" s="19" t="s">
        <v>12</v>
      </c>
      <c r="D1669" s="19" t="s">
        <v>126</v>
      </c>
      <c r="E1669" s="20" t="n">
        <v>76406</v>
      </c>
      <c r="F1669" s="20" t="n">
        <v>426905</v>
      </c>
    </row>
    <row r="1670" customFormat="false" ht="15" hidden="false" customHeight="false" outlineLevel="0" collapsed="false">
      <c r="A1670" s="22" t="n">
        <v>46127</v>
      </c>
      <c r="B1670" s="19" t="s">
        <v>51</v>
      </c>
      <c r="C1670" s="19" t="s">
        <v>14</v>
      </c>
      <c r="D1670" s="19" t="s">
        <v>130</v>
      </c>
      <c r="E1670" s="20" t="n">
        <v>228618</v>
      </c>
      <c r="F1670" s="20" t="n">
        <v>860840</v>
      </c>
    </row>
    <row r="1671" customFormat="false" ht="15" hidden="false" customHeight="false" outlineLevel="0" collapsed="false">
      <c r="A1671" s="22" t="n">
        <v>46127</v>
      </c>
      <c r="B1671" s="19" t="s">
        <v>51</v>
      </c>
      <c r="C1671" s="19" t="s">
        <v>13</v>
      </c>
      <c r="D1671" s="19" t="s">
        <v>127</v>
      </c>
      <c r="E1671" s="20" t="n">
        <v>201969</v>
      </c>
      <c r="F1671" s="20" t="n">
        <v>920750</v>
      </c>
    </row>
    <row r="1672" customFormat="false" ht="15" hidden="false" customHeight="false" outlineLevel="0" collapsed="false">
      <c r="A1672" s="22" t="n">
        <v>46127</v>
      </c>
      <c r="B1672" s="19" t="s">
        <v>51</v>
      </c>
      <c r="C1672" s="19" t="s">
        <v>12</v>
      </c>
      <c r="D1672" s="19" t="s">
        <v>132</v>
      </c>
      <c r="E1672" s="20" t="n">
        <v>127682</v>
      </c>
      <c r="F1672" s="20" t="n">
        <v>619150</v>
      </c>
    </row>
    <row r="1673" customFormat="false" ht="15" hidden="false" customHeight="false" outlineLevel="0" collapsed="false">
      <c r="A1673" s="22" t="n">
        <v>46127</v>
      </c>
      <c r="B1673" s="19" t="s">
        <v>51</v>
      </c>
      <c r="C1673" s="19" t="s">
        <v>15</v>
      </c>
      <c r="D1673" s="19" t="s">
        <v>135</v>
      </c>
      <c r="E1673" s="20" t="n">
        <v>20057</v>
      </c>
      <c r="F1673" s="20" t="n">
        <v>0</v>
      </c>
    </row>
    <row r="1674" customFormat="false" ht="15" hidden="false" customHeight="false" outlineLevel="0" collapsed="false">
      <c r="A1674" s="22" t="n">
        <v>46127</v>
      </c>
      <c r="B1674" s="19" t="s">
        <v>51</v>
      </c>
      <c r="C1674" s="19" t="s">
        <v>12</v>
      </c>
      <c r="D1674" s="19" t="s">
        <v>131</v>
      </c>
      <c r="E1674" s="20" t="n">
        <v>59522</v>
      </c>
      <c r="F1674" s="20" t="n">
        <v>0</v>
      </c>
    </row>
    <row r="1675" customFormat="false" ht="15" hidden="false" customHeight="false" outlineLevel="0" collapsed="false">
      <c r="A1675" s="22" t="n">
        <v>46127</v>
      </c>
      <c r="B1675" s="19" t="s">
        <v>51</v>
      </c>
      <c r="C1675" s="19" t="s">
        <v>13</v>
      </c>
      <c r="D1675" s="19" t="s">
        <v>136</v>
      </c>
      <c r="E1675" s="20" t="n">
        <v>400000</v>
      </c>
      <c r="F1675" s="20" t="n">
        <v>2915380</v>
      </c>
    </row>
    <row r="1676" customFormat="false" ht="15" hidden="false" customHeight="false" outlineLevel="0" collapsed="false">
      <c r="A1676" s="22" t="n">
        <v>46128</v>
      </c>
      <c r="B1676" s="19" t="s">
        <v>51</v>
      </c>
      <c r="C1676" s="19" t="s">
        <v>14</v>
      </c>
      <c r="D1676" s="19" t="s">
        <v>73</v>
      </c>
      <c r="E1676" s="20" t="n">
        <v>1622</v>
      </c>
      <c r="F1676" s="20" t="n">
        <v>99000</v>
      </c>
    </row>
    <row r="1677" customFormat="false" ht="15" hidden="false" customHeight="false" outlineLevel="0" collapsed="false">
      <c r="A1677" s="22" t="n">
        <v>46128</v>
      </c>
      <c r="B1677" s="19" t="s">
        <v>51</v>
      </c>
      <c r="C1677" s="19" t="s">
        <v>70</v>
      </c>
      <c r="D1677" s="19" t="s">
        <v>133</v>
      </c>
      <c r="E1677" s="20" t="n">
        <v>3390</v>
      </c>
      <c r="F1677" s="20" t="n">
        <v>0</v>
      </c>
    </row>
    <row r="1678" customFormat="false" ht="15" hidden="false" customHeight="false" outlineLevel="0" collapsed="false">
      <c r="A1678" s="22" t="n">
        <v>46128</v>
      </c>
      <c r="B1678" s="19" t="s">
        <v>51</v>
      </c>
      <c r="C1678" s="19" t="s">
        <v>70</v>
      </c>
      <c r="D1678" s="19" t="s">
        <v>134</v>
      </c>
      <c r="E1678" s="20" t="n">
        <v>449</v>
      </c>
      <c r="F1678" s="20" t="n">
        <v>0</v>
      </c>
    </row>
    <row r="1679" customFormat="false" ht="15" hidden="false" customHeight="false" outlineLevel="0" collapsed="false">
      <c r="A1679" s="22" t="n">
        <v>46128</v>
      </c>
      <c r="B1679" s="19" t="s">
        <v>51</v>
      </c>
      <c r="C1679" s="19" t="s">
        <v>12</v>
      </c>
      <c r="D1679" s="19" t="s">
        <v>122</v>
      </c>
      <c r="E1679" s="20" t="n">
        <v>100958</v>
      </c>
      <c r="F1679" s="20" t="n">
        <v>476230</v>
      </c>
    </row>
    <row r="1680" customFormat="false" ht="15" hidden="false" customHeight="false" outlineLevel="0" collapsed="false">
      <c r="A1680" s="22" t="n">
        <v>46128</v>
      </c>
      <c r="B1680" s="19" t="s">
        <v>51</v>
      </c>
      <c r="C1680" s="19" t="s">
        <v>12</v>
      </c>
      <c r="D1680" s="19" t="s">
        <v>123</v>
      </c>
      <c r="E1680" s="20" t="n">
        <v>226626</v>
      </c>
      <c r="F1680" s="20" t="n">
        <v>954230</v>
      </c>
    </row>
    <row r="1681" customFormat="false" ht="15" hidden="false" customHeight="false" outlineLevel="0" collapsed="false">
      <c r="A1681" s="22" t="n">
        <v>46128</v>
      </c>
      <c r="B1681" s="19" t="s">
        <v>51</v>
      </c>
      <c r="C1681" s="19" t="s">
        <v>12</v>
      </c>
      <c r="D1681" s="19" t="s">
        <v>137</v>
      </c>
      <c r="E1681" s="20" t="n">
        <v>550000</v>
      </c>
      <c r="F1681" s="20" t="n">
        <v>3419950</v>
      </c>
    </row>
    <row r="1682" customFormat="false" ht="15" hidden="false" customHeight="false" outlineLevel="0" collapsed="false">
      <c r="A1682" s="22" t="n">
        <v>46128</v>
      </c>
      <c r="B1682" s="19" t="s">
        <v>51</v>
      </c>
      <c r="C1682" s="19" t="s">
        <v>12</v>
      </c>
      <c r="D1682" s="19" t="s">
        <v>126</v>
      </c>
      <c r="E1682" s="20" t="n">
        <v>160928</v>
      </c>
      <c r="F1682" s="20" t="n">
        <v>717700</v>
      </c>
    </row>
    <row r="1683" customFormat="false" ht="15" hidden="false" customHeight="false" outlineLevel="0" collapsed="false">
      <c r="A1683" s="22" t="n">
        <v>46128</v>
      </c>
      <c r="B1683" s="19" t="s">
        <v>51</v>
      </c>
      <c r="C1683" s="19" t="s">
        <v>15</v>
      </c>
      <c r="D1683" s="19" t="s">
        <v>135</v>
      </c>
      <c r="E1683" s="20" t="n">
        <v>35138</v>
      </c>
      <c r="F1683" s="20" t="n">
        <v>111550</v>
      </c>
    </row>
    <row r="1684" customFormat="false" ht="15" hidden="false" customHeight="false" outlineLevel="0" collapsed="false">
      <c r="A1684" s="22" t="n">
        <v>46128</v>
      </c>
      <c r="B1684" s="19" t="s">
        <v>51</v>
      </c>
      <c r="C1684" s="19" t="s">
        <v>13</v>
      </c>
      <c r="D1684" s="19" t="s">
        <v>127</v>
      </c>
      <c r="E1684" s="20" t="n">
        <v>80798</v>
      </c>
      <c r="F1684" s="20" t="n">
        <v>358900</v>
      </c>
    </row>
    <row r="1685" customFormat="false" ht="15" hidden="false" customHeight="false" outlineLevel="0" collapsed="false">
      <c r="A1685" s="22" t="n">
        <v>46128</v>
      </c>
      <c r="B1685" s="19" t="s">
        <v>51</v>
      </c>
      <c r="C1685" s="19" t="s">
        <v>12</v>
      </c>
      <c r="D1685" s="19" t="s">
        <v>131</v>
      </c>
      <c r="E1685" s="20" t="n">
        <v>137378</v>
      </c>
      <c r="F1685" s="20" t="n">
        <v>591950</v>
      </c>
    </row>
    <row r="1686" customFormat="false" ht="15" hidden="false" customHeight="false" outlineLevel="0" collapsed="false">
      <c r="A1686" s="22" t="n">
        <v>46128</v>
      </c>
      <c r="B1686" s="19" t="s">
        <v>51</v>
      </c>
      <c r="C1686" s="19" t="s">
        <v>14</v>
      </c>
      <c r="D1686" s="19" t="s">
        <v>130</v>
      </c>
      <c r="E1686" s="20" t="n">
        <v>19806</v>
      </c>
      <c r="F1686" s="20" t="n">
        <v>0</v>
      </c>
    </row>
    <row r="1687" customFormat="false" ht="15" hidden="false" customHeight="false" outlineLevel="0" collapsed="false">
      <c r="A1687" s="22" t="n">
        <v>46128</v>
      </c>
      <c r="B1687" s="19" t="s">
        <v>51</v>
      </c>
      <c r="C1687" s="19" t="s">
        <v>12</v>
      </c>
      <c r="D1687" s="19" t="s">
        <v>132</v>
      </c>
      <c r="E1687" s="20" t="n">
        <v>19405</v>
      </c>
      <c r="F1687" s="20" t="n">
        <v>0</v>
      </c>
    </row>
    <row r="1688" customFormat="false" ht="15" hidden="false" customHeight="false" outlineLevel="0" collapsed="false">
      <c r="A1688" s="22" t="n">
        <v>46128</v>
      </c>
      <c r="B1688" s="19" t="s">
        <v>51</v>
      </c>
      <c r="C1688" s="19" t="s">
        <v>13</v>
      </c>
      <c r="D1688" s="19" t="s">
        <v>136</v>
      </c>
      <c r="E1688" s="20" t="n">
        <v>400000</v>
      </c>
      <c r="F1688" s="20" t="n">
        <v>2062170</v>
      </c>
    </row>
    <row r="1689" customFormat="false" ht="15" hidden="false" customHeight="false" outlineLevel="0" collapsed="false">
      <c r="A1689" s="22" t="n">
        <v>46129</v>
      </c>
      <c r="B1689" s="19" t="s">
        <v>51</v>
      </c>
      <c r="C1689" s="19" t="s">
        <v>14</v>
      </c>
      <c r="D1689" s="19" t="s">
        <v>73</v>
      </c>
      <c r="E1689" s="20" t="n">
        <v>2071</v>
      </c>
      <c r="F1689" s="20" t="n">
        <v>0</v>
      </c>
    </row>
    <row r="1690" customFormat="false" ht="15" hidden="false" customHeight="false" outlineLevel="0" collapsed="false">
      <c r="A1690" s="22" t="n">
        <v>46129</v>
      </c>
      <c r="B1690" s="19" t="s">
        <v>51</v>
      </c>
      <c r="C1690" s="19" t="s">
        <v>70</v>
      </c>
      <c r="D1690" s="19" t="s">
        <v>133</v>
      </c>
      <c r="E1690" s="20" t="n">
        <v>1124</v>
      </c>
      <c r="F1690" s="20" t="n">
        <v>0</v>
      </c>
    </row>
    <row r="1691" customFormat="false" ht="15" hidden="false" customHeight="false" outlineLevel="0" collapsed="false">
      <c r="A1691" s="22" t="n">
        <v>46129</v>
      </c>
      <c r="B1691" s="19" t="s">
        <v>51</v>
      </c>
      <c r="C1691" s="19" t="s">
        <v>12</v>
      </c>
      <c r="D1691" s="19" t="s">
        <v>122</v>
      </c>
      <c r="E1691" s="20" t="n">
        <v>110000</v>
      </c>
      <c r="F1691" s="20" t="n">
        <v>623600</v>
      </c>
    </row>
    <row r="1692" customFormat="false" ht="15" hidden="false" customHeight="false" outlineLevel="0" collapsed="false">
      <c r="A1692" s="22" t="n">
        <v>46129</v>
      </c>
      <c r="B1692" s="19" t="s">
        <v>51</v>
      </c>
      <c r="C1692" s="19" t="s">
        <v>12</v>
      </c>
      <c r="D1692" s="19" t="s">
        <v>123</v>
      </c>
      <c r="E1692" s="20" t="n">
        <v>153567</v>
      </c>
      <c r="F1692" s="20" t="n">
        <v>639520</v>
      </c>
    </row>
    <row r="1693" customFormat="false" ht="15" hidden="false" customHeight="false" outlineLevel="0" collapsed="false">
      <c r="A1693" s="22" t="n">
        <v>46129</v>
      </c>
      <c r="B1693" s="19" t="s">
        <v>51</v>
      </c>
      <c r="C1693" s="19" t="s">
        <v>12</v>
      </c>
      <c r="D1693" s="19" t="s">
        <v>137</v>
      </c>
      <c r="E1693" s="20" t="n">
        <v>427717</v>
      </c>
      <c r="F1693" s="20" t="n">
        <v>2275970</v>
      </c>
    </row>
    <row r="1694" customFormat="false" ht="15" hidden="false" customHeight="false" outlineLevel="0" collapsed="false">
      <c r="A1694" s="22" t="n">
        <v>46129</v>
      </c>
      <c r="B1694" s="19" t="s">
        <v>51</v>
      </c>
      <c r="C1694" s="19" t="s">
        <v>12</v>
      </c>
      <c r="D1694" s="19" t="s">
        <v>126</v>
      </c>
      <c r="E1694" s="20" t="n">
        <v>89728</v>
      </c>
      <c r="F1694" s="20" t="n">
        <v>393300</v>
      </c>
    </row>
    <row r="1695" customFormat="false" ht="15" hidden="false" customHeight="false" outlineLevel="0" collapsed="false">
      <c r="A1695" s="22" t="n">
        <v>46129</v>
      </c>
      <c r="B1695" s="19" t="s">
        <v>51</v>
      </c>
      <c r="C1695" s="19" t="s">
        <v>13</v>
      </c>
      <c r="D1695" s="19" t="s">
        <v>127</v>
      </c>
      <c r="E1695" s="20" t="n">
        <v>61105</v>
      </c>
      <c r="F1695" s="20" t="n">
        <v>179450</v>
      </c>
    </row>
    <row r="1696" customFormat="false" ht="15" hidden="false" customHeight="false" outlineLevel="0" collapsed="false">
      <c r="A1696" s="22" t="n">
        <v>46129</v>
      </c>
      <c r="B1696" s="19" t="s">
        <v>51</v>
      </c>
      <c r="C1696" s="19" t="s">
        <v>12</v>
      </c>
      <c r="D1696" s="19" t="s">
        <v>132</v>
      </c>
      <c r="E1696" s="20" t="n">
        <v>39460</v>
      </c>
      <c r="F1696" s="20" t="n">
        <v>189150</v>
      </c>
    </row>
    <row r="1697" customFormat="false" ht="15" hidden="false" customHeight="false" outlineLevel="0" collapsed="false">
      <c r="A1697" s="22" t="n">
        <v>46129</v>
      </c>
      <c r="B1697" s="19" t="s">
        <v>51</v>
      </c>
      <c r="C1697" s="19" t="s">
        <v>14</v>
      </c>
      <c r="D1697" s="19" t="s">
        <v>130</v>
      </c>
      <c r="E1697" s="20" t="n">
        <v>28961</v>
      </c>
      <c r="F1697" s="20" t="n">
        <v>0</v>
      </c>
    </row>
    <row r="1698" customFormat="false" ht="15" hidden="false" customHeight="false" outlineLevel="0" collapsed="false">
      <c r="A1698" s="22" t="n">
        <v>46129</v>
      </c>
      <c r="B1698" s="19" t="s">
        <v>51</v>
      </c>
      <c r="C1698" s="19" t="s">
        <v>15</v>
      </c>
      <c r="D1698" s="19" t="s">
        <v>135</v>
      </c>
      <c r="E1698" s="20" t="n">
        <v>6225</v>
      </c>
      <c r="F1698" s="20" t="n">
        <v>0</v>
      </c>
    </row>
    <row r="1699" customFormat="false" ht="15" hidden="false" customHeight="false" outlineLevel="0" collapsed="false">
      <c r="A1699" s="22" t="n">
        <v>46129</v>
      </c>
      <c r="B1699" s="19" t="s">
        <v>51</v>
      </c>
      <c r="C1699" s="19" t="s">
        <v>12</v>
      </c>
      <c r="D1699" s="19" t="s">
        <v>131</v>
      </c>
      <c r="E1699" s="20" t="n">
        <v>27905</v>
      </c>
      <c r="F1699" s="20" t="n">
        <v>0</v>
      </c>
    </row>
    <row r="1700" customFormat="false" ht="15" hidden="false" customHeight="false" outlineLevel="0" collapsed="false">
      <c r="A1700" s="22" t="n">
        <v>46129</v>
      </c>
      <c r="B1700" s="19" t="s">
        <v>51</v>
      </c>
      <c r="C1700" s="19" t="s">
        <v>13</v>
      </c>
      <c r="D1700" s="19" t="s">
        <v>136</v>
      </c>
      <c r="E1700" s="20" t="n">
        <v>138573</v>
      </c>
      <c r="F1700" s="20" t="n">
        <v>364450</v>
      </c>
    </row>
    <row r="1701" customFormat="false" ht="15" hidden="false" customHeight="false" outlineLevel="0" collapsed="false">
      <c r="A1701" s="22" t="n">
        <v>46130</v>
      </c>
      <c r="B1701" s="19" t="s">
        <v>51</v>
      </c>
      <c r="C1701" s="19" t="s">
        <v>14</v>
      </c>
      <c r="D1701" s="19" t="s">
        <v>73</v>
      </c>
      <c r="E1701" s="20" t="n">
        <v>6541</v>
      </c>
      <c r="F1701" s="20" t="n">
        <v>0</v>
      </c>
    </row>
    <row r="1702" customFormat="false" ht="15" hidden="false" customHeight="false" outlineLevel="0" collapsed="false">
      <c r="A1702" s="22" t="n">
        <v>46130</v>
      </c>
      <c r="B1702" s="19" t="s">
        <v>51</v>
      </c>
      <c r="C1702" s="19" t="s">
        <v>70</v>
      </c>
      <c r="D1702" s="19" t="s">
        <v>133</v>
      </c>
      <c r="E1702" s="20" t="n">
        <v>7935</v>
      </c>
      <c r="F1702" s="20" t="n">
        <v>226550</v>
      </c>
    </row>
    <row r="1703" customFormat="false" ht="15" hidden="false" customHeight="false" outlineLevel="0" collapsed="false">
      <c r="A1703" s="22" t="n">
        <v>46130</v>
      </c>
      <c r="B1703" s="19" t="s">
        <v>51</v>
      </c>
      <c r="C1703" s="19" t="s">
        <v>70</v>
      </c>
      <c r="D1703" s="19" t="s">
        <v>134</v>
      </c>
      <c r="E1703" s="20" t="n">
        <v>2820</v>
      </c>
      <c r="F1703" s="20" t="n">
        <v>0</v>
      </c>
    </row>
    <row r="1704" customFormat="false" ht="15" hidden="false" customHeight="false" outlineLevel="0" collapsed="false">
      <c r="A1704" s="22" t="n">
        <v>46130</v>
      </c>
      <c r="B1704" s="19" t="s">
        <v>51</v>
      </c>
      <c r="C1704" s="19" t="s">
        <v>12</v>
      </c>
      <c r="D1704" s="19" t="s">
        <v>122</v>
      </c>
      <c r="E1704" s="20" t="n">
        <v>87990</v>
      </c>
      <c r="F1704" s="20" t="n">
        <v>353400</v>
      </c>
    </row>
    <row r="1705" customFormat="false" ht="15" hidden="false" customHeight="false" outlineLevel="0" collapsed="false">
      <c r="A1705" s="22" t="n">
        <v>46130</v>
      </c>
      <c r="B1705" s="19" t="s">
        <v>51</v>
      </c>
      <c r="C1705" s="19" t="s">
        <v>12</v>
      </c>
      <c r="D1705" s="19" t="s">
        <v>137</v>
      </c>
      <c r="E1705" s="20" t="n">
        <v>550000</v>
      </c>
      <c r="F1705" s="20" t="n">
        <v>3157030</v>
      </c>
    </row>
    <row r="1706" customFormat="false" ht="15" hidden="false" customHeight="false" outlineLevel="0" collapsed="false">
      <c r="A1706" s="22" t="n">
        <v>46130</v>
      </c>
      <c r="B1706" s="19" t="s">
        <v>51</v>
      </c>
      <c r="C1706" s="19" t="s">
        <v>12</v>
      </c>
      <c r="D1706" s="19" t="s">
        <v>123</v>
      </c>
      <c r="E1706" s="20" t="n">
        <v>66055</v>
      </c>
      <c r="F1706" s="20" t="n">
        <v>237650</v>
      </c>
    </row>
    <row r="1707" customFormat="false" ht="15" hidden="false" customHeight="false" outlineLevel="0" collapsed="false">
      <c r="A1707" s="22" t="n">
        <v>46130</v>
      </c>
      <c r="B1707" s="19" t="s">
        <v>51</v>
      </c>
      <c r="C1707" s="19" t="s">
        <v>14</v>
      </c>
      <c r="D1707" s="19" t="s">
        <v>130</v>
      </c>
      <c r="E1707" s="20" t="n">
        <v>110010</v>
      </c>
      <c r="F1707" s="20" t="n">
        <v>534720</v>
      </c>
    </row>
    <row r="1708" customFormat="false" ht="15" hidden="false" customHeight="false" outlineLevel="0" collapsed="false">
      <c r="A1708" s="22" t="n">
        <v>46130</v>
      </c>
      <c r="B1708" s="19" t="s">
        <v>51</v>
      </c>
      <c r="C1708" s="19" t="s">
        <v>12</v>
      </c>
      <c r="D1708" s="19" t="s">
        <v>126</v>
      </c>
      <c r="E1708" s="20" t="n">
        <v>58245</v>
      </c>
      <c r="F1708" s="20" t="n">
        <v>275000</v>
      </c>
    </row>
    <row r="1709" customFormat="false" ht="15" hidden="false" customHeight="false" outlineLevel="0" collapsed="false">
      <c r="A1709" s="22" t="n">
        <v>46130</v>
      </c>
      <c r="B1709" s="19" t="s">
        <v>51</v>
      </c>
      <c r="C1709" s="19" t="s">
        <v>13</v>
      </c>
      <c r="D1709" s="19" t="s">
        <v>127</v>
      </c>
      <c r="E1709" s="20" t="n">
        <v>151077</v>
      </c>
      <c r="F1709" s="20" t="n">
        <v>358900</v>
      </c>
    </row>
    <row r="1710" customFormat="false" ht="15" hidden="false" customHeight="false" outlineLevel="0" collapsed="false">
      <c r="A1710" s="22" t="n">
        <v>46130</v>
      </c>
      <c r="B1710" s="19" t="s">
        <v>51</v>
      </c>
      <c r="C1710" s="19" t="s">
        <v>15</v>
      </c>
      <c r="D1710" s="19" t="s">
        <v>135</v>
      </c>
      <c r="E1710" s="20" t="n">
        <v>2872</v>
      </c>
      <c r="F1710" s="20" t="n">
        <v>0</v>
      </c>
    </row>
    <row r="1711" customFormat="false" ht="15" hidden="false" customHeight="false" outlineLevel="0" collapsed="false">
      <c r="A1711" s="22" t="n">
        <v>46130</v>
      </c>
      <c r="B1711" s="19" t="s">
        <v>51</v>
      </c>
      <c r="C1711" s="19" t="s">
        <v>12</v>
      </c>
      <c r="D1711" s="19" t="s">
        <v>131</v>
      </c>
      <c r="E1711" s="20" t="n">
        <v>10704</v>
      </c>
      <c r="F1711" s="20" t="n">
        <v>0</v>
      </c>
    </row>
    <row r="1712" customFormat="false" ht="15" hidden="false" customHeight="false" outlineLevel="0" collapsed="false">
      <c r="A1712" s="22" t="n">
        <v>46130</v>
      </c>
      <c r="B1712" s="19" t="s">
        <v>51</v>
      </c>
      <c r="C1712" s="19" t="s">
        <v>12</v>
      </c>
      <c r="D1712" s="19" t="s">
        <v>132</v>
      </c>
      <c r="E1712" s="20" t="n">
        <v>3977</v>
      </c>
      <c r="F1712" s="20" t="n">
        <v>0</v>
      </c>
    </row>
    <row r="1713" customFormat="false" ht="15" hidden="false" customHeight="false" outlineLevel="0" collapsed="false">
      <c r="A1713" s="22" t="n">
        <v>46130</v>
      </c>
      <c r="B1713" s="19" t="s">
        <v>51</v>
      </c>
      <c r="C1713" s="19" t="s">
        <v>13</v>
      </c>
      <c r="D1713" s="19" t="s">
        <v>136</v>
      </c>
      <c r="E1713" s="20" t="n">
        <v>26461</v>
      </c>
      <c r="F1713" s="20" t="n">
        <v>179450</v>
      </c>
    </row>
    <row r="1714" customFormat="false" ht="15" hidden="false" customHeight="false" outlineLevel="0" collapsed="false">
      <c r="A1714" s="22" t="n">
        <v>46131</v>
      </c>
      <c r="B1714" s="19" t="s">
        <v>51</v>
      </c>
      <c r="C1714" s="19" t="s">
        <v>14</v>
      </c>
      <c r="D1714" s="19" t="s">
        <v>73</v>
      </c>
      <c r="E1714" s="20" t="n">
        <v>1706</v>
      </c>
      <c r="F1714" s="20" t="n">
        <v>69000</v>
      </c>
    </row>
    <row r="1715" customFormat="false" ht="15" hidden="false" customHeight="false" outlineLevel="0" collapsed="false">
      <c r="A1715" s="22" t="n">
        <v>46131</v>
      </c>
      <c r="B1715" s="19" t="s">
        <v>51</v>
      </c>
      <c r="C1715" s="19" t="s">
        <v>70</v>
      </c>
      <c r="D1715" s="19" t="s">
        <v>133</v>
      </c>
      <c r="E1715" s="20" t="n">
        <v>6625</v>
      </c>
      <c r="F1715" s="20" t="n">
        <v>0</v>
      </c>
    </row>
    <row r="1716" customFormat="false" ht="15" hidden="false" customHeight="false" outlineLevel="0" collapsed="false">
      <c r="A1716" s="22" t="n">
        <v>46131</v>
      </c>
      <c r="B1716" s="19" t="s">
        <v>51</v>
      </c>
      <c r="C1716" s="19" t="s">
        <v>70</v>
      </c>
      <c r="D1716" s="19" t="s">
        <v>134</v>
      </c>
      <c r="E1716" s="20" t="n">
        <v>1939</v>
      </c>
      <c r="F1716" s="20" t="n">
        <v>0</v>
      </c>
    </row>
    <row r="1717" customFormat="false" ht="15" hidden="false" customHeight="false" outlineLevel="0" collapsed="false">
      <c r="A1717" s="22" t="n">
        <v>46131</v>
      </c>
      <c r="B1717" s="19" t="s">
        <v>51</v>
      </c>
      <c r="C1717" s="19" t="s">
        <v>12</v>
      </c>
      <c r="D1717" s="19" t="s">
        <v>122</v>
      </c>
      <c r="E1717" s="20" t="n">
        <v>110000</v>
      </c>
      <c r="F1717" s="20" t="n">
        <v>1057170</v>
      </c>
    </row>
    <row r="1718" customFormat="false" ht="15" hidden="false" customHeight="false" outlineLevel="0" collapsed="false">
      <c r="A1718" s="22" t="n">
        <v>46131</v>
      </c>
      <c r="B1718" s="19" t="s">
        <v>51</v>
      </c>
      <c r="C1718" s="19" t="s">
        <v>12</v>
      </c>
      <c r="D1718" s="19" t="s">
        <v>123</v>
      </c>
      <c r="E1718" s="20" t="n">
        <v>158588</v>
      </c>
      <c r="F1718" s="20" t="n">
        <v>778050</v>
      </c>
    </row>
    <row r="1719" customFormat="false" ht="15" hidden="false" customHeight="false" outlineLevel="0" collapsed="false">
      <c r="A1719" s="22" t="n">
        <v>46131</v>
      </c>
      <c r="B1719" s="19" t="s">
        <v>51</v>
      </c>
      <c r="C1719" s="19" t="s">
        <v>12</v>
      </c>
      <c r="D1719" s="19" t="s">
        <v>137</v>
      </c>
      <c r="E1719" s="20" t="n">
        <v>199369</v>
      </c>
      <c r="F1719" s="20" t="n">
        <v>344750</v>
      </c>
    </row>
    <row r="1720" customFormat="false" ht="15" hidden="false" customHeight="false" outlineLevel="0" collapsed="false">
      <c r="A1720" s="22" t="n">
        <v>46131</v>
      </c>
      <c r="B1720" s="19" t="s">
        <v>51</v>
      </c>
      <c r="C1720" s="19" t="s">
        <v>12</v>
      </c>
      <c r="D1720" s="19" t="s">
        <v>126</v>
      </c>
      <c r="E1720" s="20" t="n">
        <v>63929</v>
      </c>
      <c r="F1720" s="20" t="n">
        <v>275000</v>
      </c>
    </row>
    <row r="1721" customFormat="false" ht="15" hidden="false" customHeight="false" outlineLevel="0" collapsed="false">
      <c r="A1721" s="22" t="n">
        <v>46131</v>
      </c>
      <c r="B1721" s="19" t="s">
        <v>51</v>
      </c>
      <c r="C1721" s="19" t="s">
        <v>14</v>
      </c>
      <c r="D1721" s="19" t="s">
        <v>130</v>
      </c>
      <c r="E1721" s="20" t="n">
        <v>51536</v>
      </c>
      <c r="F1721" s="20" t="n">
        <v>211960</v>
      </c>
    </row>
    <row r="1722" customFormat="false" ht="15" hidden="false" customHeight="false" outlineLevel="0" collapsed="false">
      <c r="A1722" s="22" t="n">
        <v>46131</v>
      </c>
      <c r="B1722" s="19" t="s">
        <v>51</v>
      </c>
      <c r="C1722" s="19" t="s">
        <v>13</v>
      </c>
      <c r="D1722" s="19" t="s">
        <v>127</v>
      </c>
      <c r="E1722" s="20" t="n">
        <v>79406</v>
      </c>
      <c r="F1722" s="20" t="n">
        <v>351500</v>
      </c>
    </row>
    <row r="1723" customFormat="false" ht="15" hidden="false" customHeight="false" outlineLevel="0" collapsed="false">
      <c r="A1723" s="22" t="n">
        <v>46131</v>
      </c>
      <c r="B1723" s="19" t="s">
        <v>51</v>
      </c>
      <c r="C1723" s="19" t="s">
        <v>12</v>
      </c>
      <c r="D1723" s="19" t="s">
        <v>132</v>
      </c>
      <c r="E1723" s="20" t="n">
        <v>4757</v>
      </c>
      <c r="F1723" s="20" t="n">
        <v>0</v>
      </c>
    </row>
    <row r="1724" customFormat="false" ht="15" hidden="false" customHeight="false" outlineLevel="0" collapsed="false">
      <c r="A1724" s="22" t="n">
        <v>46131</v>
      </c>
      <c r="B1724" s="19" t="s">
        <v>51</v>
      </c>
      <c r="C1724" s="19" t="s">
        <v>15</v>
      </c>
      <c r="D1724" s="19" t="s">
        <v>135</v>
      </c>
      <c r="E1724" s="20" t="n">
        <v>9025</v>
      </c>
      <c r="F1724" s="20" t="n">
        <v>0</v>
      </c>
    </row>
    <row r="1725" customFormat="false" ht="15" hidden="false" customHeight="false" outlineLevel="0" collapsed="false">
      <c r="A1725" s="22" t="n">
        <v>46131</v>
      </c>
      <c r="B1725" s="19" t="s">
        <v>51</v>
      </c>
      <c r="C1725" s="19" t="s">
        <v>12</v>
      </c>
      <c r="D1725" s="19" t="s">
        <v>131</v>
      </c>
      <c r="E1725" s="20" t="n">
        <v>19000</v>
      </c>
      <c r="F1725" s="20" t="n">
        <v>0</v>
      </c>
    </row>
    <row r="1726" customFormat="false" ht="15" hidden="false" customHeight="false" outlineLevel="0" collapsed="false">
      <c r="A1726" s="22" t="n">
        <v>46131</v>
      </c>
      <c r="B1726" s="19" t="s">
        <v>51</v>
      </c>
      <c r="C1726" s="19" t="s">
        <v>13</v>
      </c>
      <c r="D1726" s="19" t="s">
        <v>136</v>
      </c>
      <c r="E1726" s="20" t="n">
        <v>152559</v>
      </c>
      <c r="F1726" s="20" t="n">
        <v>2067300</v>
      </c>
    </row>
    <row r="1727" customFormat="false" ht="15" hidden="false" customHeight="false" outlineLevel="0" collapsed="false">
      <c r="A1727" s="22" t="n">
        <v>46132</v>
      </c>
      <c r="B1727" s="19" t="s">
        <v>51</v>
      </c>
      <c r="C1727" s="19" t="s">
        <v>14</v>
      </c>
      <c r="D1727" s="19" t="s">
        <v>73</v>
      </c>
      <c r="E1727" s="20" t="n">
        <v>19670</v>
      </c>
      <c r="F1727" s="20" t="n">
        <v>229890</v>
      </c>
    </row>
    <row r="1728" customFormat="false" ht="15" hidden="false" customHeight="false" outlineLevel="0" collapsed="false">
      <c r="A1728" s="22" t="n">
        <v>46132</v>
      </c>
      <c r="B1728" s="19" t="s">
        <v>51</v>
      </c>
      <c r="C1728" s="19" t="s">
        <v>70</v>
      </c>
      <c r="D1728" s="19" t="s">
        <v>133</v>
      </c>
      <c r="E1728" s="20" t="n">
        <v>24708</v>
      </c>
      <c r="F1728" s="20" t="n">
        <v>111550</v>
      </c>
    </row>
    <row r="1729" customFormat="false" ht="15" hidden="false" customHeight="false" outlineLevel="0" collapsed="false">
      <c r="A1729" s="22" t="n">
        <v>46132</v>
      </c>
      <c r="B1729" s="19" t="s">
        <v>51</v>
      </c>
      <c r="C1729" s="19" t="s">
        <v>70</v>
      </c>
      <c r="D1729" s="19" t="s">
        <v>134</v>
      </c>
      <c r="E1729" s="20" t="n">
        <v>3984</v>
      </c>
      <c r="F1729" s="20" t="n">
        <v>0</v>
      </c>
    </row>
    <row r="1730" customFormat="false" ht="15" hidden="false" customHeight="false" outlineLevel="0" collapsed="false">
      <c r="A1730" s="22" t="n">
        <v>46132</v>
      </c>
      <c r="B1730" s="19" t="s">
        <v>51</v>
      </c>
      <c r="C1730" s="19" t="s">
        <v>12</v>
      </c>
      <c r="D1730" s="19" t="s">
        <v>122</v>
      </c>
      <c r="E1730" s="20" t="n">
        <v>150000</v>
      </c>
      <c r="F1730" s="20" t="n">
        <v>1351060</v>
      </c>
    </row>
    <row r="1731" customFormat="false" ht="15" hidden="false" customHeight="false" outlineLevel="0" collapsed="false">
      <c r="A1731" s="22" t="n">
        <v>46132</v>
      </c>
      <c r="B1731" s="19" t="s">
        <v>51</v>
      </c>
      <c r="C1731" s="19" t="s">
        <v>12</v>
      </c>
      <c r="D1731" s="19" t="s">
        <v>137</v>
      </c>
      <c r="E1731" s="20" t="n">
        <v>223949</v>
      </c>
      <c r="F1731" s="20" t="n">
        <v>1094200</v>
      </c>
    </row>
    <row r="1732" customFormat="false" ht="15" hidden="false" customHeight="false" outlineLevel="0" collapsed="false">
      <c r="A1732" s="22" t="n">
        <v>46132</v>
      </c>
      <c r="B1732" s="19" t="s">
        <v>51</v>
      </c>
      <c r="C1732" s="19" t="s">
        <v>12</v>
      </c>
      <c r="D1732" s="19" t="s">
        <v>123</v>
      </c>
      <c r="E1732" s="20" t="n">
        <v>53505</v>
      </c>
      <c r="F1732" s="20" t="n">
        <v>0</v>
      </c>
    </row>
    <row r="1733" customFormat="false" ht="15" hidden="false" customHeight="false" outlineLevel="0" collapsed="false">
      <c r="A1733" s="22" t="n">
        <v>46132</v>
      </c>
      <c r="B1733" s="19" t="s">
        <v>51</v>
      </c>
      <c r="C1733" s="19" t="s">
        <v>12</v>
      </c>
      <c r="D1733" s="19" t="s">
        <v>131</v>
      </c>
      <c r="E1733" s="20" t="n">
        <v>348353</v>
      </c>
      <c r="F1733" s="20" t="n">
        <v>1806200</v>
      </c>
    </row>
    <row r="1734" customFormat="false" ht="15" hidden="false" customHeight="false" outlineLevel="0" collapsed="false">
      <c r="A1734" s="22" t="n">
        <v>46132</v>
      </c>
      <c r="B1734" s="19" t="s">
        <v>51</v>
      </c>
      <c r="C1734" s="19" t="s">
        <v>13</v>
      </c>
      <c r="D1734" s="19" t="s">
        <v>127</v>
      </c>
      <c r="E1734" s="20" t="n">
        <v>111212</v>
      </c>
      <c r="F1734" s="20" t="n">
        <v>308750</v>
      </c>
    </row>
    <row r="1735" customFormat="false" ht="15" hidden="false" customHeight="false" outlineLevel="0" collapsed="false">
      <c r="A1735" s="22" t="n">
        <v>46132</v>
      </c>
      <c r="B1735" s="19" t="s">
        <v>51</v>
      </c>
      <c r="C1735" s="19" t="s">
        <v>14</v>
      </c>
      <c r="D1735" s="19" t="s">
        <v>130</v>
      </c>
      <c r="E1735" s="20" t="n">
        <v>24795</v>
      </c>
      <c r="F1735" s="20" t="n">
        <v>47530</v>
      </c>
    </row>
    <row r="1736" customFormat="false" ht="15" hidden="false" customHeight="false" outlineLevel="0" collapsed="false">
      <c r="A1736" s="22" t="n">
        <v>46132</v>
      </c>
      <c r="B1736" s="19" t="s">
        <v>51</v>
      </c>
      <c r="C1736" s="19" t="s">
        <v>15</v>
      </c>
      <c r="D1736" s="19" t="s">
        <v>135</v>
      </c>
      <c r="E1736" s="20" t="n">
        <v>5988</v>
      </c>
      <c r="F1736" s="20" t="n">
        <v>0</v>
      </c>
    </row>
    <row r="1737" customFormat="false" ht="15" hidden="false" customHeight="false" outlineLevel="0" collapsed="false">
      <c r="A1737" s="22" t="n">
        <v>46132</v>
      </c>
      <c r="B1737" s="19" t="s">
        <v>51</v>
      </c>
      <c r="C1737" s="19" t="s">
        <v>12</v>
      </c>
      <c r="D1737" s="19" t="s">
        <v>126</v>
      </c>
      <c r="E1737" s="20" t="n">
        <v>41829</v>
      </c>
      <c r="F1737" s="20" t="n">
        <v>0</v>
      </c>
    </row>
    <row r="1738" customFormat="false" ht="15" hidden="false" customHeight="false" outlineLevel="0" collapsed="false">
      <c r="A1738" s="22" t="n">
        <v>46132</v>
      </c>
      <c r="B1738" s="19" t="s">
        <v>51</v>
      </c>
      <c r="C1738" s="19" t="s">
        <v>12</v>
      </c>
      <c r="D1738" s="19" t="s">
        <v>132</v>
      </c>
      <c r="E1738" s="20" t="n">
        <v>14711</v>
      </c>
      <c r="F1738" s="20" t="n">
        <v>0</v>
      </c>
    </row>
    <row r="1739" customFormat="false" ht="15" hidden="false" customHeight="false" outlineLevel="0" collapsed="false">
      <c r="A1739" s="22" t="n">
        <v>46132</v>
      </c>
      <c r="B1739" s="19" t="s">
        <v>51</v>
      </c>
      <c r="C1739" s="19" t="s">
        <v>13</v>
      </c>
      <c r="D1739" s="19" t="s">
        <v>136</v>
      </c>
      <c r="E1739" s="20" t="n">
        <v>200079</v>
      </c>
      <c r="F1739" s="20" t="n">
        <v>950000</v>
      </c>
    </row>
    <row r="1740" customFormat="false" ht="15" hidden="false" customHeight="false" outlineLevel="0" collapsed="false">
      <c r="A1740" s="22" t="n">
        <v>46133</v>
      </c>
      <c r="B1740" s="19" t="s">
        <v>51</v>
      </c>
      <c r="C1740" s="19" t="s">
        <v>14</v>
      </c>
      <c r="D1740" s="19" t="s">
        <v>73</v>
      </c>
      <c r="E1740" s="20" t="n">
        <v>48364</v>
      </c>
      <c r="F1740" s="20" t="n">
        <v>495240</v>
      </c>
    </row>
    <row r="1741" customFormat="false" ht="15" hidden="false" customHeight="false" outlineLevel="0" collapsed="false">
      <c r="A1741" s="22" t="n">
        <v>46133</v>
      </c>
      <c r="B1741" s="19" t="s">
        <v>51</v>
      </c>
      <c r="C1741" s="19" t="s">
        <v>70</v>
      </c>
      <c r="D1741" s="19" t="s">
        <v>133</v>
      </c>
      <c r="E1741" s="20" t="n">
        <v>9734</v>
      </c>
      <c r="F1741" s="20" t="n">
        <v>0</v>
      </c>
    </row>
    <row r="1742" customFormat="false" ht="15" hidden="false" customHeight="false" outlineLevel="0" collapsed="false">
      <c r="A1742" s="22" t="n">
        <v>46133</v>
      </c>
      <c r="B1742" s="19" t="s">
        <v>51</v>
      </c>
      <c r="C1742" s="19" t="s">
        <v>70</v>
      </c>
      <c r="D1742" s="19" t="s">
        <v>134</v>
      </c>
      <c r="E1742" s="20" t="n">
        <v>2533</v>
      </c>
      <c r="F1742" s="20" t="n">
        <v>0</v>
      </c>
    </row>
    <row r="1743" customFormat="false" ht="15" hidden="false" customHeight="false" outlineLevel="0" collapsed="false">
      <c r="A1743" s="22" t="n">
        <v>46133</v>
      </c>
      <c r="B1743" s="19" t="s">
        <v>51</v>
      </c>
      <c r="C1743" s="19" t="s">
        <v>12</v>
      </c>
      <c r="D1743" s="19" t="s">
        <v>122</v>
      </c>
      <c r="E1743" s="20" t="n">
        <v>128206</v>
      </c>
      <c r="F1743" s="20" t="n">
        <v>503730</v>
      </c>
    </row>
    <row r="1744" customFormat="false" ht="15" hidden="false" customHeight="false" outlineLevel="0" collapsed="false">
      <c r="A1744" s="22" t="n">
        <v>46133</v>
      </c>
      <c r="B1744" s="19" t="s">
        <v>51</v>
      </c>
      <c r="C1744" s="19" t="s">
        <v>12</v>
      </c>
      <c r="D1744" s="19" t="s">
        <v>137</v>
      </c>
      <c r="E1744" s="20" t="n">
        <v>355417</v>
      </c>
      <c r="F1744" s="20" t="n">
        <v>1789370</v>
      </c>
    </row>
    <row r="1745" customFormat="false" ht="15" hidden="false" customHeight="false" outlineLevel="0" collapsed="false">
      <c r="A1745" s="22" t="n">
        <v>46133</v>
      </c>
      <c r="B1745" s="19" t="s">
        <v>51</v>
      </c>
      <c r="C1745" s="19" t="s">
        <v>12</v>
      </c>
      <c r="D1745" s="19" t="s">
        <v>123</v>
      </c>
      <c r="E1745" s="20" t="n">
        <v>93708</v>
      </c>
      <c r="F1745" s="20" t="n">
        <v>413830</v>
      </c>
    </row>
    <row r="1746" customFormat="false" ht="15" hidden="false" customHeight="false" outlineLevel="0" collapsed="false">
      <c r="A1746" s="22" t="n">
        <v>46133</v>
      </c>
      <c r="B1746" s="19" t="s">
        <v>51</v>
      </c>
      <c r="C1746" s="19" t="s">
        <v>12</v>
      </c>
      <c r="D1746" s="19" t="s">
        <v>126</v>
      </c>
      <c r="E1746" s="20" t="n">
        <v>107874</v>
      </c>
      <c r="F1746" s="20" t="n">
        <v>415000</v>
      </c>
    </row>
    <row r="1747" customFormat="false" ht="15" hidden="false" customHeight="false" outlineLevel="0" collapsed="false">
      <c r="A1747" s="22" t="n">
        <v>46133</v>
      </c>
      <c r="B1747" s="19" t="s">
        <v>51</v>
      </c>
      <c r="C1747" s="19" t="s">
        <v>13</v>
      </c>
      <c r="D1747" s="19" t="s">
        <v>127</v>
      </c>
      <c r="E1747" s="20" t="n">
        <v>110966</v>
      </c>
      <c r="F1747" s="20" t="n">
        <v>179450</v>
      </c>
    </row>
    <row r="1748" customFormat="false" ht="15" hidden="false" customHeight="false" outlineLevel="0" collapsed="false">
      <c r="A1748" s="22" t="n">
        <v>46133</v>
      </c>
      <c r="B1748" s="19" t="s">
        <v>51</v>
      </c>
      <c r="C1748" s="19" t="s">
        <v>14</v>
      </c>
      <c r="D1748" s="19" t="s">
        <v>130</v>
      </c>
      <c r="E1748" s="20" t="n">
        <v>45449</v>
      </c>
      <c r="F1748" s="20" t="n">
        <v>99000</v>
      </c>
    </row>
    <row r="1749" customFormat="false" ht="15" hidden="false" customHeight="false" outlineLevel="0" collapsed="false">
      <c r="A1749" s="22" t="n">
        <v>46133</v>
      </c>
      <c r="B1749" s="19" t="s">
        <v>51</v>
      </c>
      <c r="C1749" s="19" t="s">
        <v>12</v>
      </c>
      <c r="D1749" s="19" t="s">
        <v>131</v>
      </c>
      <c r="E1749" s="20" t="n">
        <v>73385</v>
      </c>
      <c r="F1749" s="20" t="n">
        <v>315400</v>
      </c>
    </row>
    <row r="1750" customFormat="false" ht="15" hidden="false" customHeight="false" outlineLevel="0" collapsed="false">
      <c r="A1750" s="22" t="n">
        <v>46133</v>
      </c>
      <c r="B1750" s="19" t="s">
        <v>51</v>
      </c>
      <c r="C1750" s="19" t="s">
        <v>12</v>
      </c>
      <c r="D1750" s="19" t="s">
        <v>132</v>
      </c>
      <c r="E1750" s="20" t="n">
        <v>6877</v>
      </c>
      <c r="F1750" s="20" t="n">
        <v>0</v>
      </c>
    </row>
    <row r="1751" customFormat="false" ht="15" hidden="false" customHeight="false" outlineLevel="0" collapsed="false">
      <c r="A1751" s="22" t="n">
        <v>46133</v>
      </c>
      <c r="B1751" s="19" t="s">
        <v>51</v>
      </c>
      <c r="C1751" s="19" t="s">
        <v>15</v>
      </c>
      <c r="D1751" s="19" t="s">
        <v>135</v>
      </c>
      <c r="E1751" s="20" t="n">
        <v>10881</v>
      </c>
      <c r="F1751" s="20" t="n">
        <v>0</v>
      </c>
    </row>
    <row r="1752" customFormat="false" ht="15" hidden="false" customHeight="false" outlineLevel="0" collapsed="false">
      <c r="A1752" s="22" t="n">
        <v>46133</v>
      </c>
      <c r="B1752" s="19" t="s">
        <v>51</v>
      </c>
      <c r="C1752" s="19" t="s">
        <v>13</v>
      </c>
      <c r="D1752" s="19" t="s">
        <v>136</v>
      </c>
      <c r="E1752" s="20" t="n">
        <v>19112</v>
      </c>
      <c r="F1752" s="20" t="n">
        <v>0</v>
      </c>
    </row>
    <row r="1753" customFormat="false" ht="15" hidden="false" customHeight="false" outlineLevel="0" collapsed="false">
      <c r="A1753" s="22" t="n">
        <v>46134</v>
      </c>
      <c r="B1753" s="19" t="s">
        <v>51</v>
      </c>
      <c r="C1753" s="19" t="s">
        <v>14</v>
      </c>
      <c r="D1753" s="19" t="s">
        <v>73</v>
      </c>
      <c r="E1753" s="20" t="n">
        <v>35168</v>
      </c>
      <c r="F1753" s="20" t="n">
        <v>133860</v>
      </c>
    </row>
    <row r="1754" customFormat="false" ht="15" hidden="false" customHeight="false" outlineLevel="0" collapsed="false">
      <c r="A1754" s="22" t="n">
        <v>46134</v>
      </c>
      <c r="B1754" s="19" t="s">
        <v>51</v>
      </c>
      <c r="C1754" s="19" t="s">
        <v>70</v>
      </c>
      <c r="D1754" s="19" t="s">
        <v>133</v>
      </c>
      <c r="E1754" s="20" t="n">
        <v>16143</v>
      </c>
      <c r="F1754" s="20" t="n">
        <v>70000</v>
      </c>
    </row>
    <row r="1755" customFormat="false" ht="15" hidden="false" customHeight="false" outlineLevel="0" collapsed="false">
      <c r="A1755" s="22" t="n">
        <v>46134</v>
      </c>
      <c r="B1755" s="19" t="s">
        <v>51</v>
      </c>
      <c r="C1755" s="19" t="s">
        <v>12</v>
      </c>
      <c r="D1755" s="19" t="s">
        <v>122</v>
      </c>
      <c r="E1755" s="20" t="n">
        <v>150000</v>
      </c>
      <c r="F1755" s="20" t="n">
        <v>784060</v>
      </c>
    </row>
    <row r="1756" customFormat="false" ht="15" hidden="false" customHeight="false" outlineLevel="0" collapsed="false">
      <c r="A1756" s="22" t="n">
        <v>46134</v>
      </c>
      <c r="B1756" s="19" t="s">
        <v>51</v>
      </c>
      <c r="C1756" s="19" t="s">
        <v>12</v>
      </c>
      <c r="D1756" s="19" t="s">
        <v>137</v>
      </c>
      <c r="E1756" s="20" t="n">
        <v>485654</v>
      </c>
      <c r="F1756" s="20" t="n">
        <v>2549180</v>
      </c>
    </row>
    <row r="1757" customFormat="false" ht="15" hidden="false" customHeight="false" outlineLevel="0" collapsed="false">
      <c r="A1757" s="22" t="n">
        <v>46134</v>
      </c>
      <c r="B1757" s="19" t="s">
        <v>51</v>
      </c>
      <c r="C1757" s="19" t="s">
        <v>12</v>
      </c>
      <c r="D1757" s="19" t="s">
        <v>123</v>
      </c>
      <c r="E1757" s="20" t="n">
        <v>101707</v>
      </c>
      <c r="F1757" s="20" t="n">
        <v>485000</v>
      </c>
    </row>
    <row r="1758" customFormat="false" ht="15" hidden="false" customHeight="false" outlineLevel="0" collapsed="false">
      <c r="A1758" s="22" t="n">
        <v>46134</v>
      </c>
      <c r="B1758" s="19" t="s">
        <v>51</v>
      </c>
      <c r="C1758" s="19" t="s">
        <v>13</v>
      </c>
      <c r="D1758" s="19" t="s">
        <v>127</v>
      </c>
      <c r="E1758" s="20" t="n">
        <v>228446</v>
      </c>
      <c r="F1758" s="20" t="n">
        <v>1152150</v>
      </c>
    </row>
    <row r="1759" customFormat="false" ht="15" hidden="false" customHeight="false" outlineLevel="0" collapsed="false">
      <c r="A1759" s="22" t="n">
        <v>46134</v>
      </c>
      <c r="B1759" s="19" t="s">
        <v>51</v>
      </c>
      <c r="C1759" s="19" t="s">
        <v>12</v>
      </c>
      <c r="D1759" s="19" t="s">
        <v>126</v>
      </c>
      <c r="E1759" s="20" t="n">
        <v>101320</v>
      </c>
      <c r="F1759" s="20" t="n">
        <v>430550</v>
      </c>
    </row>
    <row r="1760" customFormat="false" ht="15" hidden="false" customHeight="false" outlineLevel="0" collapsed="false">
      <c r="A1760" s="22" t="n">
        <v>46134</v>
      </c>
      <c r="B1760" s="19" t="s">
        <v>51</v>
      </c>
      <c r="C1760" s="19" t="s">
        <v>14</v>
      </c>
      <c r="D1760" s="19" t="s">
        <v>130</v>
      </c>
      <c r="E1760" s="20" t="n">
        <v>60233</v>
      </c>
      <c r="F1760" s="20" t="n">
        <v>297000</v>
      </c>
    </row>
    <row r="1761" customFormat="false" ht="15" hidden="false" customHeight="false" outlineLevel="0" collapsed="false">
      <c r="A1761" s="22" t="n">
        <v>46134</v>
      </c>
      <c r="B1761" s="19" t="s">
        <v>51</v>
      </c>
      <c r="C1761" s="19" t="s">
        <v>12</v>
      </c>
      <c r="D1761" s="19" t="s">
        <v>131</v>
      </c>
      <c r="E1761" s="20" t="n">
        <v>70165</v>
      </c>
      <c r="F1761" s="20" t="n">
        <v>325000</v>
      </c>
    </row>
    <row r="1762" customFormat="false" ht="15" hidden="false" customHeight="false" outlineLevel="0" collapsed="false">
      <c r="A1762" s="22" t="n">
        <v>46134</v>
      </c>
      <c r="B1762" s="19" t="s">
        <v>51</v>
      </c>
      <c r="C1762" s="19" t="s">
        <v>12</v>
      </c>
      <c r="D1762" s="19" t="s">
        <v>132</v>
      </c>
      <c r="E1762" s="20" t="n">
        <v>17057</v>
      </c>
      <c r="F1762" s="20" t="n">
        <v>0</v>
      </c>
    </row>
    <row r="1763" customFormat="false" ht="15" hidden="false" customHeight="false" outlineLevel="0" collapsed="false">
      <c r="A1763" s="22" t="n">
        <v>46134</v>
      </c>
      <c r="B1763" s="19" t="s">
        <v>51</v>
      </c>
      <c r="C1763" s="19" t="s">
        <v>15</v>
      </c>
      <c r="D1763" s="19" t="s">
        <v>135</v>
      </c>
      <c r="E1763" s="20" t="n">
        <v>2355</v>
      </c>
      <c r="F1763" s="20" t="n">
        <v>0</v>
      </c>
    </row>
    <row r="1764" customFormat="false" ht="15" hidden="false" customHeight="false" outlineLevel="0" collapsed="false">
      <c r="A1764" s="22" t="n">
        <v>46134</v>
      </c>
      <c r="B1764" s="19" t="s">
        <v>51</v>
      </c>
      <c r="C1764" s="19" t="s">
        <v>13</v>
      </c>
      <c r="D1764" s="19" t="s">
        <v>136</v>
      </c>
      <c r="E1764" s="20" t="n">
        <v>500000</v>
      </c>
      <c r="F1764" s="20" t="n">
        <v>3256750</v>
      </c>
    </row>
    <row r="1765" customFormat="false" ht="15" hidden="false" customHeight="false" outlineLevel="0" collapsed="false">
      <c r="A1765" s="22" t="n">
        <v>46135</v>
      </c>
      <c r="B1765" s="19" t="s">
        <v>51</v>
      </c>
      <c r="C1765" s="19" t="s">
        <v>14</v>
      </c>
      <c r="D1765" s="19" t="s">
        <v>73</v>
      </c>
      <c r="E1765" s="20" t="n">
        <v>206570</v>
      </c>
      <c r="F1765" s="20" t="n">
        <v>2079220</v>
      </c>
    </row>
    <row r="1766" customFormat="false" ht="15" hidden="false" customHeight="false" outlineLevel="0" collapsed="false">
      <c r="A1766" s="22" t="n">
        <v>46135</v>
      </c>
      <c r="B1766" s="19" t="s">
        <v>51</v>
      </c>
      <c r="C1766" s="19" t="s">
        <v>70</v>
      </c>
      <c r="D1766" s="19" t="s">
        <v>133</v>
      </c>
      <c r="E1766" s="20" t="n">
        <v>177</v>
      </c>
      <c r="F1766" s="20" t="n">
        <v>111550</v>
      </c>
    </row>
    <row r="1767" customFormat="false" ht="15" hidden="false" customHeight="false" outlineLevel="0" collapsed="false">
      <c r="A1767" s="22" t="n">
        <v>46135</v>
      </c>
      <c r="B1767" s="19" t="s">
        <v>51</v>
      </c>
      <c r="C1767" s="19" t="s">
        <v>70</v>
      </c>
      <c r="D1767" s="19" t="s">
        <v>134</v>
      </c>
      <c r="E1767" s="20" t="n">
        <v>11860</v>
      </c>
      <c r="F1767" s="20" t="n">
        <v>0</v>
      </c>
    </row>
    <row r="1768" customFormat="false" ht="15" hidden="false" customHeight="false" outlineLevel="0" collapsed="false">
      <c r="A1768" s="22" t="n">
        <v>46135</v>
      </c>
      <c r="B1768" s="19" t="s">
        <v>51</v>
      </c>
      <c r="C1768" s="19" t="s">
        <v>12</v>
      </c>
      <c r="D1768" s="19" t="s">
        <v>122</v>
      </c>
      <c r="E1768" s="20" t="n">
        <v>81062</v>
      </c>
      <c r="F1768" s="20" t="n">
        <v>344500</v>
      </c>
    </row>
    <row r="1769" customFormat="false" ht="15" hidden="false" customHeight="false" outlineLevel="0" collapsed="false">
      <c r="A1769" s="22" t="n">
        <v>46135</v>
      </c>
      <c r="B1769" s="19" t="s">
        <v>51</v>
      </c>
      <c r="C1769" s="19" t="s">
        <v>12</v>
      </c>
      <c r="D1769" s="19" t="s">
        <v>123</v>
      </c>
      <c r="E1769" s="20" t="n">
        <v>260980</v>
      </c>
      <c r="F1769" s="20" t="n">
        <v>1290530</v>
      </c>
    </row>
    <row r="1770" customFormat="false" ht="15" hidden="false" customHeight="false" outlineLevel="0" collapsed="false">
      <c r="A1770" s="22" t="n">
        <v>46135</v>
      </c>
      <c r="B1770" s="19" t="s">
        <v>51</v>
      </c>
      <c r="C1770" s="19" t="s">
        <v>12</v>
      </c>
      <c r="D1770" s="19" t="s">
        <v>137</v>
      </c>
      <c r="E1770" s="20" t="n">
        <v>255811</v>
      </c>
      <c r="F1770" s="20" t="n">
        <v>820800</v>
      </c>
    </row>
    <row r="1771" customFormat="false" ht="15" hidden="false" customHeight="false" outlineLevel="0" collapsed="false">
      <c r="A1771" s="22" t="n">
        <v>46135</v>
      </c>
      <c r="B1771" s="19" t="s">
        <v>51</v>
      </c>
      <c r="C1771" s="19" t="s">
        <v>12</v>
      </c>
      <c r="D1771" s="19" t="s">
        <v>131</v>
      </c>
      <c r="E1771" s="20" t="n">
        <v>312897</v>
      </c>
      <c r="F1771" s="20" t="n">
        <v>2152850</v>
      </c>
    </row>
    <row r="1772" customFormat="false" ht="15" hidden="false" customHeight="false" outlineLevel="0" collapsed="false">
      <c r="A1772" s="22" t="n">
        <v>46135</v>
      </c>
      <c r="B1772" s="19" t="s">
        <v>51</v>
      </c>
      <c r="C1772" s="19" t="s">
        <v>13</v>
      </c>
      <c r="D1772" s="19" t="s">
        <v>127</v>
      </c>
      <c r="E1772" s="20" t="n">
        <v>82862</v>
      </c>
      <c r="F1772" s="20" t="n">
        <v>225600</v>
      </c>
    </row>
    <row r="1773" customFormat="false" ht="15" hidden="false" customHeight="false" outlineLevel="0" collapsed="false">
      <c r="A1773" s="22" t="n">
        <v>46135</v>
      </c>
      <c r="B1773" s="19" t="s">
        <v>51</v>
      </c>
      <c r="C1773" s="19" t="s">
        <v>12</v>
      </c>
      <c r="D1773" s="19" t="s">
        <v>126</v>
      </c>
      <c r="E1773" s="20" t="n">
        <v>33226</v>
      </c>
      <c r="F1773" s="20" t="n">
        <v>65000</v>
      </c>
    </row>
    <row r="1774" customFormat="false" ht="15" hidden="false" customHeight="false" outlineLevel="0" collapsed="false">
      <c r="A1774" s="22" t="n">
        <v>46135</v>
      </c>
      <c r="B1774" s="19" t="s">
        <v>51</v>
      </c>
      <c r="C1774" s="19" t="s">
        <v>12</v>
      </c>
      <c r="D1774" s="19" t="s">
        <v>132</v>
      </c>
      <c r="E1774" s="20" t="n">
        <v>9022</v>
      </c>
      <c r="F1774" s="20" t="n">
        <v>0</v>
      </c>
    </row>
    <row r="1775" customFormat="false" ht="15" hidden="false" customHeight="false" outlineLevel="0" collapsed="false">
      <c r="A1775" s="22" t="n">
        <v>46135</v>
      </c>
      <c r="B1775" s="19" t="s">
        <v>51</v>
      </c>
      <c r="C1775" s="19" t="s">
        <v>14</v>
      </c>
      <c r="D1775" s="19" t="s">
        <v>130</v>
      </c>
      <c r="E1775" s="20" t="n">
        <v>28991</v>
      </c>
      <c r="F1775" s="20" t="n">
        <v>0</v>
      </c>
    </row>
    <row r="1776" customFormat="false" ht="15" hidden="false" customHeight="false" outlineLevel="0" collapsed="false">
      <c r="A1776" s="22" t="n">
        <v>46135</v>
      </c>
      <c r="B1776" s="19" t="s">
        <v>51</v>
      </c>
      <c r="C1776" s="19" t="s">
        <v>15</v>
      </c>
      <c r="D1776" s="19" t="s">
        <v>135</v>
      </c>
      <c r="E1776" s="20" t="n">
        <v>75</v>
      </c>
      <c r="F1776" s="20" t="n">
        <v>0</v>
      </c>
    </row>
    <row r="1777" customFormat="false" ht="15" hidden="false" customHeight="false" outlineLevel="0" collapsed="false">
      <c r="A1777" s="22" t="n">
        <v>46135</v>
      </c>
      <c r="B1777" s="19" t="s">
        <v>51</v>
      </c>
      <c r="C1777" s="19" t="s">
        <v>13</v>
      </c>
      <c r="D1777" s="19" t="s">
        <v>136</v>
      </c>
      <c r="E1777" s="20" t="n">
        <v>600000</v>
      </c>
      <c r="F1777" s="20" t="n">
        <v>3142350</v>
      </c>
    </row>
    <row r="1778" customFormat="false" ht="15" hidden="false" customHeight="false" outlineLevel="0" collapsed="false">
      <c r="A1778" s="22" t="n">
        <v>46136</v>
      </c>
      <c r="B1778" s="19" t="s">
        <v>51</v>
      </c>
      <c r="C1778" s="19" t="s">
        <v>14</v>
      </c>
      <c r="D1778" s="19" t="s">
        <v>73</v>
      </c>
      <c r="E1778" s="20" t="n">
        <v>178291</v>
      </c>
      <c r="F1778" s="20" t="n">
        <v>340860</v>
      </c>
    </row>
    <row r="1779" customFormat="false" ht="15" hidden="false" customHeight="false" outlineLevel="0" collapsed="false">
      <c r="A1779" s="22" t="n">
        <v>46136</v>
      </c>
      <c r="B1779" s="19" t="s">
        <v>51</v>
      </c>
      <c r="C1779" s="19" t="s">
        <v>70</v>
      </c>
      <c r="D1779" s="19" t="s">
        <v>133</v>
      </c>
      <c r="E1779" s="20" t="n">
        <v>19065</v>
      </c>
      <c r="F1779" s="20" t="n">
        <v>0</v>
      </c>
    </row>
    <row r="1780" customFormat="false" ht="15" hidden="false" customHeight="false" outlineLevel="0" collapsed="false">
      <c r="A1780" s="22" t="n">
        <v>46136</v>
      </c>
      <c r="B1780" s="19" t="s">
        <v>51</v>
      </c>
      <c r="C1780" s="19" t="s">
        <v>12</v>
      </c>
      <c r="D1780" s="19" t="s">
        <v>122</v>
      </c>
      <c r="E1780" s="20" t="n">
        <v>42569</v>
      </c>
      <c r="F1780" s="20" t="n">
        <v>0</v>
      </c>
    </row>
    <row r="1781" customFormat="false" ht="15" hidden="false" customHeight="false" outlineLevel="0" collapsed="false">
      <c r="A1781" s="22" t="n">
        <v>46136</v>
      </c>
      <c r="B1781" s="19" t="s">
        <v>51</v>
      </c>
      <c r="C1781" s="19" t="s">
        <v>12</v>
      </c>
      <c r="D1781" s="19" t="s">
        <v>123</v>
      </c>
      <c r="E1781" s="20" t="n">
        <v>400000</v>
      </c>
      <c r="F1781" s="20" t="n">
        <v>2999380</v>
      </c>
    </row>
    <row r="1782" customFormat="false" ht="15" hidden="false" customHeight="false" outlineLevel="0" collapsed="false">
      <c r="A1782" s="22" t="n">
        <v>46136</v>
      </c>
      <c r="B1782" s="19" t="s">
        <v>51</v>
      </c>
      <c r="C1782" s="19" t="s">
        <v>12</v>
      </c>
      <c r="D1782" s="19" t="s">
        <v>126</v>
      </c>
      <c r="E1782" s="20" t="n">
        <v>228356</v>
      </c>
      <c r="F1782" s="20" t="n">
        <v>1048280</v>
      </c>
    </row>
    <row r="1783" customFormat="false" ht="15" hidden="false" customHeight="false" outlineLevel="0" collapsed="false">
      <c r="A1783" s="22" t="n">
        <v>46136</v>
      </c>
      <c r="B1783" s="19" t="s">
        <v>51</v>
      </c>
      <c r="C1783" s="19" t="s">
        <v>13</v>
      </c>
      <c r="D1783" s="19" t="s">
        <v>127</v>
      </c>
      <c r="E1783" s="20" t="n">
        <v>90257</v>
      </c>
      <c r="F1783" s="20" t="n">
        <v>304000</v>
      </c>
    </row>
    <row r="1784" customFormat="false" ht="15" hidden="false" customHeight="false" outlineLevel="0" collapsed="false">
      <c r="A1784" s="22" t="n">
        <v>46136</v>
      </c>
      <c r="B1784" s="19" t="s">
        <v>51</v>
      </c>
      <c r="C1784" s="19" t="s">
        <v>12</v>
      </c>
      <c r="D1784" s="19" t="s">
        <v>137</v>
      </c>
      <c r="E1784" s="20" t="n">
        <v>55624</v>
      </c>
      <c r="F1784" s="20" t="n">
        <v>0</v>
      </c>
    </row>
    <row r="1785" customFormat="false" ht="15" hidden="false" customHeight="false" outlineLevel="0" collapsed="false">
      <c r="A1785" s="22" t="n">
        <v>46136</v>
      </c>
      <c r="B1785" s="19" t="s">
        <v>51</v>
      </c>
      <c r="C1785" s="19" t="s">
        <v>12</v>
      </c>
      <c r="D1785" s="19" t="s">
        <v>131</v>
      </c>
      <c r="E1785" s="20" t="n">
        <v>101354</v>
      </c>
      <c r="F1785" s="20" t="n">
        <v>283200</v>
      </c>
    </row>
    <row r="1786" customFormat="false" ht="15" hidden="false" customHeight="false" outlineLevel="0" collapsed="false">
      <c r="A1786" s="22" t="n">
        <v>46136</v>
      </c>
      <c r="B1786" s="19" t="s">
        <v>51</v>
      </c>
      <c r="C1786" s="19" t="s">
        <v>12</v>
      </c>
      <c r="D1786" s="19" t="s">
        <v>132</v>
      </c>
      <c r="E1786" s="20" t="n">
        <v>3186</v>
      </c>
      <c r="F1786" s="20" t="n">
        <v>13580</v>
      </c>
    </row>
    <row r="1787" customFormat="false" ht="15" hidden="false" customHeight="false" outlineLevel="0" collapsed="false">
      <c r="A1787" s="22" t="n">
        <v>46136</v>
      </c>
      <c r="B1787" s="19" t="s">
        <v>51</v>
      </c>
      <c r="C1787" s="19" t="s">
        <v>13</v>
      </c>
      <c r="D1787" s="19" t="s">
        <v>136</v>
      </c>
      <c r="E1787" s="20" t="n">
        <v>600000</v>
      </c>
      <c r="F1787" s="20" t="n">
        <v>3405950</v>
      </c>
    </row>
    <row r="1788" customFormat="false" ht="15" hidden="false" customHeight="false" outlineLevel="0" collapsed="false">
      <c r="A1788" s="22" t="n">
        <v>46137</v>
      </c>
      <c r="B1788" s="19" t="s">
        <v>51</v>
      </c>
      <c r="C1788" s="19" t="s">
        <v>14</v>
      </c>
      <c r="D1788" s="19" t="s">
        <v>73</v>
      </c>
      <c r="E1788" s="20" t="n">
        <v>189215</v>
      </c>
      <c r="F1788" s="20" t="n">
        <v>978340</v>
      </c>
    </row>
    <row r="1789" customFormat="false" ht="15" hidden="false" customHeight="false" outlineLevel="0" collapsed="false">
      <c r="A1789" s="22" t="n">
        <v>46137</v>
      </c>
      <c r="B1789" s="19" t="s">
        <v>51</v>
      </c>
      <c r="C1789" s="19" t="s">
        <v>70</v>
      </c>
      <c r="D1789" s="19" t="s">
        <v>133</v>
      </c>
      <c r="E1789" s="20" t="n">
        <v>22638</v>
      </c>
      <c r="F1789" s="20" t="n">
        <v>111550</v>
      </c>
    </row>
    <row r="1790" customFormat="false" ht="15" hidden="false" customHeight="false" outlineLevel="0" collapsed="false">
      <c r="A1790" s="22" t="n">
        <v>46137</v>
      </c>
      <c r="B1790" s="19" t="s">
        <v>51</v>
      </c>
      <c r="C1790" s="19" t="s">
        <v>12</v>
      </c>
      <c r="D1790" s="19" t="s">
        <v>122</v>
      </c>
      <c r="E1790" s="20" t="n">
        <v>150000</v>
      </c>
      <c r="F1790" s="20" t="n">
        <v>778090</v>
      </c>
    </row>
    <row r="1791" customFormat="false" ht="15" hidden="false" customHeight="false" outlineLevel="0" collapsed="false">
      <c r="A1791" s="22" t="n">
        <v>46137</v>
      </c>
      <c r="B1791" s="19" t="s">
        <v>51</v>
      </c>
      <c r="C1791" s="19" t="s">
        <v>12</v>
      </c>
      <c r="D1791" s="19" t="s">
        <v>123</v>
      </c>
      <c r="E1791" s="20" t="n">
        <v>169475</v>
      </c>
      <c r="F1791" s="20" t="n">
        <v>0</v>
      </c>
    </row>
    <row r="1792" customFormat="false" ht="15" hidden="false" customHeight="false" outlineLevel="0" collapsed="false">
      <c r="A1792" s="22" t="n">
        <v>46137</v>
      </c>
      <c r="B1792" s="19" t="s">
        <v>51</v>
      </c>
      <c r="C1792" s="19" t="s">
        <v>13</v>
      </c>
      <c r="D1792" s="19" t="s">
        <v>127</v>
      </c>
      <c r="E1792" s="20" t="n">
        <v>154836</v>
      </c>
      <c r="F1792" s="20" t="n">
        <v>179450</v>
      </c>
    </row>
    <row r="1793" customFormat="false" ht="15" hidden="false" customHeight="false" outlineLevel="0" collapsed="false">
      <c r="A1793" s="22" t="n">
        <v>46137</v>
      </c>
      <c r="B1793" s="19" t="s">
        <v>51</v>
      </c>
      <c r="C1793" s="19" t="s">
        <v>12</v>
      </c>
      <c r="D1793" s="19" t="s">
        <v>137</v>
      </c>
      <c r="E1793" s="20" t="n">
        <v>143671</v>
      </c>
      <c r="F1793" s="20" t="n">
        <v>283200</v>
      </c>
    </row>
    <row r="1794" customFormat="false" ht="15" hidden="false" customHeight="false" outlineLevel="0" collapsed="false">
      <c r="A1794" s="22" t="n">
        <v>46137</v>
      </c>
      <c r="B1794" s="19" t="s">
        <v>51</v>
      </c>
      <c r="C1794" s="19" t="s">
        <v>12</v>
      </c>
      <c r="D1794" s="19" t="s">
        <v>126</v>
      </c>
      <c r="E1794" s="20" t="n">
        <v>250000</v>
      </c>
      <c r="F1794" s="20" t="n">
        <v>1522150</v>
      </c>
    </row>
    <row r="1795" customFormat="false" ht="15" hidden="false" customHeight="false" outlineLevel="0" collapsed="false">
      <c r="A1795" s="22" t="n">
        <v>46137</v>
      </c>
      <c r="B1795" s="19" t="s">
        <v>51</v>
      </c>
      <c r="C1795" s="19" t="s">
        <v>12</v>
      </c>
      <c r="D1795" s="19" t="s">
        <v>132</v>
      </c>
      <c r="E1795" s="20" t="n">
        <v>13025</v>
      </c>
      <c r="F1795" s="20" t="n">
        <v>0</v>
      </c>
    </row>
    <row r="1796" customFormat="false" ht="15" hidden="false" customHeight="false" outlineLevel="0" collapsed="false">
      <c r="A1796" s="22" t="n">
        <v>46137</v>
      </c>
      <c r="B1796" s="19" t="s">
        <v>51</v>
      </c>
      <c r="C1796" s="19" t="s">
        <v>12</v>
      </c>
      <c r="D1796" s="19" t="s">
        <v>131</v>
      </c>
      <c r="E1796" s="20" t="n">
        <v>33560</v>
      </c>
      <c r="F1796" s="20" t="n">
        <v>0</v>
      </c>
    </row>
    <row r="1797" customFormat="false" ht="15" hidden="false" customHeight="false" outlineLevel="0" collapsed="false">
      <c r="A1797" s="22" t="n">
        <v>46137</v>
      </c>
      <c r="B1797" s="19" t="s">
        <v>51</v>
      </c>
      <c r="C1797" s="19" t="s">
        <v>13</v>
      </c>
      <c r="D1797" s="19" t="s">
        <v>136</v>
      </c>
      <c r="E1797" s="20" t="n">
        <v>563835</v>
      </c>
      <c r="F1797" s="20" t="n">
        <v>2837150</v>
      </c>
    </row>
    <row r="1798" customFormat="false" ht="15" hidden="false" customHeight="false" outlineLevel="0" collapsed="false">
      <c r="A1798" s="22" t="n">
        <v>46138</v>
      </c>
      <c r="B1798" s="19" t="s">
        <v>51</v>
      </c>
      <c r="C1798" s="19" t="s">
        <v>14</v>
      </c>
      <c r="D1798" s="19" t="s">
        <v>73</v>
      </c>
      <c r="E1798" s="20" t="n">
        <v>4125</v>
      </c>
      <c r="F1798" s="20" t="n">
        <v>0</v>
      </c>
    </row>
    <row r="1799" customFormat="false" ht="15" hidden="false" customHeight="false" outlineLevel="0" collapsed="false">
      <c r="A1799" s="22" t="n">
        <v>46138</v>
      </c>
      <c r="B1799" s="19" t="s">
        <v>51</v>
      </c>
      <c r="C1799" s="19" t="s">
        <v>70</v>
      </c>
      <c r="D1799" s="19" t="s">
        <v>133</v>
      </c>
      <c r="E1799" s="20" t="n">
        <v>31256</v>
      </c>
      <c r="F1799" s="20" t="n">
        <v>226550</v>
      </c>
    </row>
    <row r="1800" customFormat="false" ht="15" hidden="false" customHeight="false" outlineLevel="0" collapsed="false">
      <c r="A1800" s="22" t="n">
        <v>46138</v>
      </c>
      <c r="B1800" s="19" t="s">
        <v>51</v>
      </c>
      <c r="C1800" s="19" t="s">
        <v>12</v>
      </c>
      <c r="D1800" s="19" t="s">
        <v>122</v>
      </c>
      <c r="E1800" s="20" t="n">
        <v>33051</v>
      </c>
      <c r="F1800" s="20" t="n">
        <v>0</v>
      </c>
    </row>
    <row r="1801" customFormat="false" ht="15" hidden="false" customHeight="false" outlineLevel="0" collapsed="false">
      <c r="A1801" s="22" t="n">
        <v>46138</v>
      </c>
      <c r="B1801" s="19" t="s">
        <v>51</v>
      </c>
      <c r="C1801" s="19" t="s">
        <v>12</v>
      </c>
      <c r="D1801" s="19" t="s">
        <v>137</v>
      </c>
      <c r="E1801" s="20" t="n">
        <v>315103</v>
      </c>
      <c r="F1801" s="20" t="n">
        <v>1534250</v>
      </c>
    </row>
    <row r="1802" customFormat="false" ht="15" hidden="false" customHeight="false" outlineLevel="0" collapsed="false">
      <c r="A1802" s="22" t="n">
        <v>46138</v>
      </c>
      <c r="B1802" s="19" t="s">
        <v>51</v>
      </c>
      <c r="C1802" s="19" t="s">
        <v>12</v>
      </c>
      <c r="D1802" s="19" t="s">
        <v>126</v>
      </c>
      <c r="E1802" s="20" t="n">
        <v>141532</v>
      </c>
      <c r="F1802" s="20" t="n">
        <v>462000</v>
      </c>
    </row>
    <row r="1803" customFormat="false" ht="15" hidden="false" customHeight="false" outlineLevel="0" collapsed="false">
      <c r="A1803" s="22" t="n">
        <v>46138</v>
      </c>
      <c r="B1803" s="19" t="s">
        <v>51</v>
      </c>
      <c r="C1803" s="19" t="s">
        <v>13</v>
      </c>
      <c r="D1803" s="19" t="s">
        <v>127</v>
      </c>
      <c r="E1803" s="20" t="n">
        <v>143975</v>
      </c>
      <c r="F1803" s="20" t="n">
        <v>836000</v>
      </c>
    </row>
    <row r="1804" customFormat="false" ht="15" hidden="false" customHeight="false" outlineLevel="0" collapsed="false">
      <c r="A1804" s="22" t="n">
        <v>46138</v>
      </c>
      <c r="B1804" s="19" t="s">
        <v>51</v>
      </c>
      <c r="C1804" s="19" t="s">
        <v>12</v>
      </c>
      <c r="D1804" s="19" t="s">
        <v>123</v>
      </c>
      <c r="E1804" s="20" t="n">
        <v>29827</v>
      </c>
      <c r="F1804" s="20" t="n">
        <v>103421</v>
      </c>
    </row>
    <row r="1805" customFormat="false" ht="15" hidden="false" customHeight="false" outlineLevel="0" collapsed="false">
      <c r="A1805" s="22" t="n">
        <v>46138</v>
      </c>
      <c r="B1805" s="19" t="s">
        <v>51</v>
      </c>
      <c r="C1805" s="19" t="s">
        <v>12</v>
      </c>
      <c r="D1805" s="19" t="s">
        <v>131</v>
      </c>
      <c r="E1805" s="20" t="n">
        <v>171904</v>
      </c>
      <c r="F1805" s="20" t="n">
        <v>625910</v>
      </c>
    </row>
    <row r="1806" customFormat="false" ht="15" hidden="false" customHeight="false" outlineLevel="0" collapsed="false">
      <c r="A1806" s="22" t="n">
        <v>46138</v>
      </c>
      <c r="B1806" s="19" t="s">
        <v>51</v>
      </c>
      <c r="C1806" s="19" t="s">
        <v>12</v>
      </c>
      <c r="D1806" s="19" t="s">
        <v>132</v>
      </c>
      <c r="E1806" s="20" t="n">
        <v>78709</v>
      </c>
      <c r="F1806" s="20" t="n">
        <v>355300</v>
      </c>
    </row>
    <row r="1807" customFormat="false" ht="15" hidden="false" customHeight="false" outlineLevel="0" collapsed="false">
      <c r="A1807" s="22" t="n">
        <v>46138</v>
      </c>
      <c r="B1807" s="19" t="s">
        <v>51</v>
      </c>
      <c r="C1807" s="19" t="s">
        <v>13</v>
      </c>
      <c r="D1807" s="19" t="s">
        <v>136</v>
      </c>
      <c r="E1807" s="20" t="n">
        <v>600000</v>
      </c>
      <c r="F1807" s="20" t="n">
        <v>3912691</v>
      </c>
    </row>
    <row r="1808" customFormat="false" ht="15" hidden="false" customHeight="false" outlineLevel="0" collapsed="false">
      <c r="A1808" s="22" t="n">
        <v>46139</v>
      </c>
      <c r="B1808" s="19" t="s">
        <v>51</v>
      </c>
      <c r="C1808" s="19" t="s">
        <v>14</v>
      </c>
      <c r="D1808" s="19" t="s">
        <v>73</v>
      </c>
      <c r="E1808" s="20" t="n">
        <v>94901</v>
      </c>
      <c r="F1808" s="20" t="n">
        <v>487980</v>
      </c>
    </row>
    <row r="1809" customFormat="false" ht="15" hidden="false" customHeight="false" outlineLevel="0" collapsed="false">
      <c r="A1809" s="22" t="n">
        <v>46139</v>
      </c>
      <c r="B1809" s="19" t="s">
        <v>51</v>
      </c>
      <c r="C1809" s="19" t="s">
        <v>70</v>
      </c>
      <c r="D1809" s="19" t="s">
        <v>133</v>
      </c>
      <c r="E1809" s="20" t="n">
        <v>596</v>
      </c>
      <c r="F1809" s="20" t="n">
        <v>0</v>
      </c>
    </row>
    <row r="1810" customFormat="false" ht="15" hidden="false" customHeight="false" outlineLevel="0" collapsed="false">
      <c r="A1810" s="22" t="n">
        <v>46139</v>
      </c>
      <c r="B1810" s="19" t="s">
        <v>51</v>
      </c>
      <c r="C1810" s="19" t="s">
        <v>12</v>
      </c>
      <c r="D1810" s="19" t="s">
        <v>122</v>
      </c>
      <c r="E1810" s="20" t="n">
        <v>24629</v>
      </c>
      <c r="F1810" s="20" t="n">
        <v>0</v>
      </c>
    </row>
    <row r="1811" customFormat="false" ht="15" hidden="false" customHeight="false" outlineLevel="0" collapsed="false">
      <c r="A1811" s="22" t="n">
        <v>46139</v>
      </c>
      <c r="B1811" s="19" t="s">
        <v>51</v>
      </c>
      <c r="C1811" s="19" t="s">
        <v>12</v>
      </c>
      <c r="D1811" s="19" t="s">
        <v>137</v>
      </c>
      <c r="E1811" s="20" t="n">
        <v>338446</v>
      </c>
      <c r="F1811" s="20" t="n">
        <v>1878249</v>
      </c>
    </row>
    <row r="1812" customFormat="false" ht="15" hidden="false" customHeight="false" outlineLevel="0" collapsed="false">
      <c r="A1812" s="22" t="n">
        <v>46139</v>
      </c>
      <c r="B1812" s="19" t="s">
        <v>51</v>
      </c>
      <c r="C1812" s="19" t="s">
        <v>12</v>
      </c>
      <c r="D1812" s="19" t="s">
        <v>123</v>
      </c>
      <c r="E1812" s="20" t="n">
        <v>75992</v>
      </c>
      <c r="F1812" s="20" t="n">
        <v>316661</v>
      </c>
    </row>
    <row r="1813" customFormat="false" ht="15" hidden="false" customHeight="false" outlineLevel="0" collapsed="false">
      <c r="A1813" s="22" t="n">
        <v>46139</v>
      </c>
      <c r="B1813" s="19" t="s">
        <v>51</v>
      </c>
      <c r="C1813" s="19" t="s">
        <v>13</v>
      </c>
      <c r="D1813" s="19" t="s">
        <v>127</v>
      </c>
      <c r="E1813" s="20" t="n">
        <v>300000</v>
      </c>
      <c r="F1813" s="20" t="n">
        <v>5110000</v>
      </c>
    </row>
    <row r="1814" customFormat="false" ht="15" hidden="false" customHeight="false" outlineLevel="0" collapsed="false">
      <c r="A1814" s="22" t="n">
        <v>46139</v>
      </c>
      <c r="B1814" s="19" t="s">
        <v>51</v>
      </c>
      <c r="C1814" s="19" t="s">
        <v>12</v>
      </c>
      <c r="D1814" s="19" t="s">
        <v>126</v>
      </c>
      <c r="E1814" s="20" t="n">
        <v>67097</v>
      </c>
      <c r="F1814" s="20" t="n">
        <v>346139</v>
      </c>
    </row>
    <row r="1815" customFormat="false" ht="15" hidden="false" customHeight="false" outlineLevel="0" collapsed="false">
      <c r="A1815" s="22" t="n">
        <v>46139</v>
      </c>
      <c r="B1815" s="19" t="s">
        <v>51</v>
      </c>
      <c r="C1815" s="19" t="s">
        <v>12</v>
      </c>
      <c r="D1815" s="19" t="s">
        <v>132</v>
      </c>
      <c r="E1815" s="20" t="n">
        <v>10869</v>
      </c>
      <c r="F1815" s="20" t="n">
        <v>0</v>
      </c>
    </row>
    <row r="1816" customFormat="false" ht="15" hidden="false" customHeight="false" outlineLevel="0" collapsed="false">
      <c r="A1816" s="22" t="n">
        <v>46139</v>
      </c>
      <c r="B1816" s="19" t="s">
        <v>51</v>
      </c>
      <c r="C1816" s="19" t="s">
        <v>12</v>
      </c>
      <c r="D1816" s="19" t="s">
        <v>131</v>
      </c>
      <c r="E1816" s="20" t="n">
        <v>7441</v>
      </c>
      <c r="F1816" s="20" t="n">
        <v>0</v>
      </c>
    </row>
    <row r="1817" customFormat="false" ht="15" hidden="false" customHeight="false" outlineLevel="0" collapsed="false">
      <c r="A1817" s="22" t="n">
        <v>46139</v>
      </c>
      <c r="B1817" s="19" t="s">
        <v>51</v>
      </c>
      <c r="C1817" s="19" t="s">
        <v>13</v>
      </c>
      <c r="D1817" s="19" t="s">
        <v>136</v>
      </c>
      <c r="E1817" s="20" t="n">
        <v>463247</v>
      </c>
      <c r="F1817" s="20" t="n">
        <v>2009100</v>
      </c>
    </row>
    <row r="1818" customFormat="false" ht="15" hidden="false" customHeight="false" outlineLevel="0" collapsed="false">
      <c r="A1818" s="22" t="n">
        <v>46140</v>
      </c>
      <c r="B1818" s="19" t="s">
        <v>51</v>
      </c>
      <c r="C1818" s="19" t="s">
        <v>14</v>
      </c>
      <c r="D1818" s="19" t="s">
        <v>73</v>
      </c>
      <c r="E1818" s="20" t="n">
        <v>42802</v>
      </c>
      <c r="F1818" s="20" t="n">
        <v>138000</v>
      </c>
    </row>
    <row r="1819" customFormat="false" ht="15" hidden="false" customHeight="false" outlineLevel="0" collapsed="false">
      <c r="A1819" s="22" t="n">
        <v>46140</v>
      </c>
      <c r="B1819" s="19" t="s">
        <v>51</v>
      </c>
      <c r="C1819" s="19" t="s">
        <v>70</v>
      </c>
      <c r="D1819" s="19" t="s">
        <v>133</v>
      </c>
      <c r="E1819" s="20" t="n">
        <v>116163</v>
      </c>
      <c r="F1819" s="20" t="n">
        <v>377200</v>
      </c>
    </row>
    <row r="1820" customFormat="false" ht="15" hidden="false" customHeight="false" outlineLevel="0" collapsed="false">
      <c r="A1820" s="22" t="n">
        <v>46140</v>
      </c>
      <c r="B1820" s="19" t="s">
        <v>51</v>
      </c>
      <c r="C1820" s="19" t="s">
        <v>12</v>
      </c>
      <c r="D1820" s="19" t="s">
        <v>122</v>
      </c>
      <c r="E1820" s="20" t="n">
        <v>44380</v>
      </c>
      <c r="F1820" s="20" t="n">
        <v>199000</v>
      </c>
    </row>
    <row r="1821" customFormat="false" ht="15" hidden="false" customHeight="false" outlineLevel="0" collapsed="false">
      <c r="A1821" s="22" t="n">
        <v>46140</v>
      </c>
      <c r="B1821" s="19" t="s">
        <v>51</v>
      </c>
      <c r="C1821" s="19" t="s">
        <v>12</v>
      </c>
      <c r="D1821" s="19" t="s">
        <v>123</v>
      </c>
      <c r="E1821" s="20" t="n">
        <v>46039</v>
      </c>
      <c r="F1821" s="20" t="n">
        <v>213240</v>
      </c>
    </row>
    <row r="1822" customFormat="false" ht="15" hidden="false" customHeight="false" outlineLevel="0" collapsed="false">
      <c r="A1822" s="22" t="n">
        <v>46140</v>
      </c>
      <c r="B1822" s="19" t="s">
        <v>51</v>
      </c>
      <c r="C1822" s="19" t="s">
        <v>12</v>
      </c>
      <c r="D1822" s="19" t="s">
        <v>131</v>
      </c>
      <c r="E1822" s="20" t="n">
        <v>366944</v>
      </c>
      <c r="F1822" s="20" t="n">
        <v>1782250</v>
      </c>
    </row>
    <row r="1823" customFormat="false" ht="15" hidden="false" customHeight="false" outlineLevel="0" collapsed="false">
      <c r="A1823" s="22" t="n">
        <v>46140</v>
      </c>
      <c r="B1823" s="19" t="s">
        <v>51</v>
      </c>
      <c r="C1823" s="19" t="s">
        <v>12</v>
      </c>
      <c r="D1823" s="19" t="s">
        <v>126</v>
      </c>
      <c r="E1823" s="20" t="n">
        <v>250000</v>
      </c>
      <c r="F1823" s="20" t="n">
        <v>1200215</v>
      </c>
    </row>
    <row r="1824" customFormat="false" ht="15" hidden="false" customHeight="false" outlineLevel="0" collapsed="false">
      <c r="A1824" s="22" t="n">
        <v>46140</v>
      </c>
      <c r="B1824" s="19" t="s">
        <v>51</v>
      </c>
      <c r="C1824" s="19" t="s">
        <v>13</v>
      </c>
      <c r="D1824" s="19" t="s">
        <v>127</v>
      </c>
      <c r="E1824" s="20" t="n">
        <v>299733</v>
      </c>
      <c r="F1824" s="20" t="n">
        <v>308750</v>
      </c>
    </row>
    <row r="1825" customFormat="false" ht="15" hidden="false" customHeight="false" outlineLevel="0" collapsed="false">
      <c r="A1825" s="22" t="n">
        <v>46140</v>
      </c>
      <c r="B1825" s="19" t="s">
        <v>51</v>
      </c>
      <c r="C1825" s="19" t="s">
        <v>12</v>
      </c>
      <c r="D1825" s="19" t="s">
        <v>137</v>
      </c>
      <c r="E1825" s="20" t="n">
        <v>98478</v>
      </c>
      <c r="F1825" s="20" t="n">
        <v>448150</v>
      </c>
    </row>
    <row r="1826" customFormat="false" ht="15" hidden="false" customHeight="false" outlineLevel="0" collapsed="false">
      <c r="A1826" s="22" t="n">
        <v>46140</v>
      </c>
      <c r="B1826" s="19" t="s">
        <v>51</v>
      </c>
      <c r="C1826" s="19" t="s">
        <v>12</v>
      </c>
      <c r="D1826" s="19" t="s">
        <v>132</v>
      </c>
      <c r="E1826" s="20" t="n">
        <v>37546</v>
      </c>
      <c r="F1826" s="20" t="n">
        <v>0</v>
      </c>
    </row>
    <row r="1827" customFormat="false" ht="15" hidden="false" customHeight="false" outlineLevel="0" collapsed="false">
      <c r="A1827" s="22" t="n">
        <v>46140</v>
      </c>
      <c r="B1827" s="19" t="s">
        <v>51</v>
      </c>
      <c r="C1827" s="19" t="s">
        <v>13</v>
      </c>
      <c r="D1827" s="19" t="s">
        <v>136</v>
      </c>
      <c r="E1827" s="20" t="n">
        <v>650000</v>
      </c>
      <c r="F1827" s="20" t="n">
        <v>4975585</v>
      </c>
    </row>
    <row r="1828" customFormat="false" ht="15" hidden="false" customHeight="false" outlineLevel="0" collapsed="false">
      <c r="A1828" s="22" t="n">
        <v>46141</v>
      </c>
      <c r="B1828" s="19" t="s">
        <v>51</v>
      </c>
      <c r="C1828" s="19" t="s">
        <v>14</v>
      </c>
      <c r="D1828" s="19" t="s">
        <v>73</v>
      </c>
      <c r="E1828" s="20" t="n">
        <v>100457</v>
      </c>
      <c r="F1828" s="20" t="n">
        <v>482940</v>
      </c>
    </row>
    <row r="1829" customFormat="false" ht="15" hidden="false" customHeight="false" outlineLevel="0" collapsed="false">
      <c r="A1829" s="22" t="n">
        <v>46141</v>
      </c>
      <c r="B1829" s="19" t="s">
        <v>51</v>
      </c>
      <c r="C1829" s="19" t="s">
        <v>70</v>
      </c>
      <c r="D1829" s="19" t="s">
        <v>133</v>
      </c>
      <c r="E1829" s="20" t="n">
        <v>17814</v>
      </c>
      <c r="F1829" s="20" t="n">
        <v>35000</v>
      </c>
    </row>
    <row r="1830" customFormat="false" ht="15" hidden="false" customHeight="false" outlineLevel="0" collapsed="false">
      <c r="A1830" s="22" t="n">
        <v>46141</v>
      </c>
      <c r="B1830" s="19" t="s">
        <v>51</v>
      </c>
      <c r="C1830" s="19" t="s">
        <v>12</v>
      </c>
      <c r="D1830" s="19" t="s">
        <v>122</v>
      </c>
      <c r="E1830" s="20" t="n">
        <v>150000</v>
      </c>
      <c r="F1830" s="20" t="n">
        <v>989030</v>
      </c>
    </row>
    <row r="1831" customFormat="false" ht="15" hidden="false" customHeight="false" outlineLevel="0" collapsed="false">
      <c r="A1831" s="22" t="n">
        <v>46141</v>
      </c>
      <c r="B1831" s="19" t="s">
        <v>51</v>
      </c>
      <c r="C1831" s="19" t="s">
        <v>12</v>
      </c>
      <c r="D1831" s="19" t="s">
        <v>123</v>
      </c>
      <c r="E1831" s="20" t="n">
        <v>183988</v>
      </c>
      <c r="F1831" s="20" t="n">
        <v>839475</v>
      </c>
    </row>
    <row r="1832" customFormat="false" ht="15" hidden="false" customHeight="false" outlineLevel="0" collapsed="false">
      <c r="A1832" s="22" t="n">
        <v>46141</v>
      </c>
      <c r="B1832" s="19" t="s">
        <v>51</v>
      </c>
      <c r="C1832" s="19" t="s">
        <v>12</v>
      </c>
      <c r="D1832" s="19" t="s">
        <v>132</v>
      </c>
      <c r="E1832" s="20" t="n">
        <v>70228</v>
      </c>
      <c r="F1832" s="20" t="n">
        <v>331550</v>
      </c>
    </row>
    <row r="1833" customFormat="false" ht="15" hidden="false" customHeight="false" outlineLevel="0" collapsed="false">
      <c r="A1833" s="22" t="n">
        <v>46141</v>
      </c>
      <c r="B1833" s="19" t="s">
        <v>51</v>
      </c>
      <c r="C1833" s="19" t="s">
        <v>12</v>
      </c>
      <c r="D1833" s="19" t="s">
        <v>126</v>
      </c>
      <c r="E1833" s="20" t="n">
        <v>61709</v>
      </c>
      <c r="F1833" s="20" t="n">
        <v>181000</v>
      </c>
    </row>
    <row r="1834" customFormat="false" ht="15" hidden="false" customHeight="false" outlineLevel="0" collapsed="false">
      <c r="A1834" s="22" t="n">
        <v>46141</v>
      </c>
      <c r="B1834" s="19" t="s">
        <v>51</v>
      </c>
      <c r="C1834" s="19" t="s">
        <v>13</v>
      </c>
      <c r="D1834" s="19" t="s">
        <v>127</v>
      </c>
      <c r="E1834" s="20" t="n">
        <v>174413</v>
      </c>
      <c r="F1834" s="20" t="n">
        <v>609450</v>
      </c>
    </row>
    <row r="1835" customFormat="false" ht="15" hidden="false" customHeight="false" outlineLevel="0" collapsed="false">
      <c r="A1835" s="22" t="n">
        <v>46141</v>
      </c>
      <c r="B1835" s="19" t="s">
        <v>51</v>
      </c>
      <c r="C1835" s="19" t="s">
        <v>12</v>
      </c>
      <c r="D1835" s="19" t="s">
        <v>131</v>
      </c>
      <c r="E1835" s="20" t="n">
        <v>178981</v>
      </c>
      <c r="F1835" s="20" t="n">
        <v>646000</v>
      </c>
    </row>
    <row r="1836" customFormat="false" ht="15" hidden="false" customHeight="false" outlineLevel="0" collapsed="false">
      <c r="A1836" s="22" t="n">
        <v>46141</v>
      </c>
      <c r="B1836" s="19" t="s">
        <v>51</v>
      </c>
      <c r="C1836" s="19" t="s">
        <v>12</v>
      </c>
      <c r="D1836" s="19" t="s">
        <v>137</v>
      </c>
      <c r="E1836" s="20" t="n">
        <v>56675</v>
      </c>
      <c r="F1836" s="20" t="n">
        <v>0</v>
      </c>
    </row>
    <row r="1837" customFormat="false" ht="15" hidden="false" customHeight="false" outlineLevel="0" collapsed="false">
      <c r="A1837" s="22" t="n">
        <v>46141</v>
      </c>
      <c r="B1837" s="19" t="s">
        <v>51</v>
      </c>
      <c r="C1837" s="19" t="s">
        <v>13</v>
      </c>
      <c r="D1837" s="19" t="s">
        <v>136</v>
      </c>
      <c r="E1837" s="20" t="n">
        <v>698825</v>
      </c>
      <c r="F1837" s="20" t="n">
        <v>3620299</v>
      </c>
    </row>
    <row r="1838" customFormat="false" ht="15" hidden="false" customHeight="false" outlineLevel="0" collapsed="false">
      <c r="A1838" s="22" t="n">
        <v>46142</v>
      </c>
      <c r="B1838" s="19" t="s">
        <v>51</v>
      </c>
      <c r="C1838" s="19" t="s">
        <v>14</v>
      </c>
      <c r="D1838" s="19" t="s">
        <v>73</v>
      </c>
      <c r="E1838" s="20" t="n">
        <v>35984</v>
      </c>
      <c r="F1838" s="20" t="n">
        <v>198000</v>
      </c>
    </row>
    <row r="1839" customFormat="false" ht="15" hidden="false" customHeight="false" outlineLevel="0" collapsed="false">
      <c r="A1839" s="22" t="n">
        <v>46142</v>
      </c>
      <c r="B1839" s="19" t="s">
        <v>51</v>
      </c>
      <c r="C1839" s="19" t="s">
        <v>70</v>
      </c>
      <c r="D1839" s="19" t="s">
        <v>133</v>
      </c>
      <c r="E1839" s="20" t="n">
        <v>1221</v>
      </c>
      <c r="F1839" s="20" t="n">
        <v>0</v>
      </c>
    </row>
    <row r="1840" customFormat="false" ht="15" hidden="false" customHeight="false" outlineLevel="0" collapsed="false">
      <c r="A1840" s="22" t="n">
        <v>46142</v>
      </c>
      <c r="B1840" s="19" t="s">
        <v>51</v>
      </c>
      <c r="C1840" s="19" t="s">
        <v>12</v>
      </c>
      <c r="D1840" s="19" t="s">
        <v>122</v>
      </c>
      <c r="E1840" s="20" t="n">
        <v>24917</v>
      </c>
      <c r="F1840" s="20" t="n">
        <v>0</v>
      </c>
    </row>
    <row r="1841" customFormat="false" ht="15" hidden="false" customHeight="false" outlineLevel="0" collapsed="false">
      <c r="A1841" s="22" t="n">
        <v>46142</v>
      </c>
      <c r="B1841" s="19" t="s">
        <v>51</v>
      </c>
      <c r="C1841" s="19" t="s">
        <v>12</v>
      </c>
      <c r="D1841" s="19" t="s">
        <v>123</v>
      </c>
      <c r="E1841" s="20" t="n">
        <v>45089</v>
      </c>
      <c r="F1841" s="20" t="n">
        <v>103421</v>
      </c>
    </row>
    <row r="1842" customFormat="false" ht="15" hidden="false" customHeight="false" outlineLevel="0" collapsed="false">
      <c r="A1842" s="22" t="n">
        <v>46142</v>
      </c>
      <c r="B1842" s="19" t="s">
        <v>51</v>
      </c>
      <c r="C1842" s="19" t="s">
        <v>12</v>
      </c>
      <c r="D1842" s="19" t="s">
        <v>126</v>
      </c>
      <c r="E1842" s="20" t="n">
        <v>94137</v>
      </c>
      <c r="F1842" s="20" t="n">
        <v>430585</v>
      </c>
    </row>
    <row r="1843" customFormat="false" ht="15" hidden="false" customHeight="false" outlineLevel="0" collapsed="false">
      <c r="A1843" s="22" t="n">
        <v>46142</v>
      </c>
      <c r="B1843" s="19" t="s">
        <v>51</v>
      </c>
      <c r="C1843" s="19" t="s">
        <v>13</v>
      </c>
      <c r="D1843" s="19" t="s">
        <v>127</v>
      </c>
      <c r="E1843" s="20" t="n">
        <v>146830</v>
      </c>
      <c r="F1843" s="20" t="n">
        <v>703000</v>
      </c>
    </row>
    <row r="1844" customFormat="false" ht="15" hidden="false" customHeight="false" outlineLevel="0" collapsed="false">
      <c r="A1844" s="22" t="n">
        <v>46142</v>
      </c>
      <c r="B1844" s="19" t="s">
        <v>51</v>
      </c>
      <c r="C1844" s="19" t="s">
        <v>12</v>
      </c>
      <c r="D1844" s="19" t="s">
        <v>137</v>
      </c>
      <c r="E1844" s="20" t="n">
        <v>72747</v>
      </c>
      <c r="F1844" s="20" t="n">
        <v>308750</v>
      </c>
    </row>
    <row r="1845" customFormat="false" ht="15" hidden="false" customHeight="false" outlineLevel="0" collapsed="false">
      <c r="A1845" s="22" t="n">
        <v>46142</v>
      </c>
      <c r="B1845" s="19" t="s">
        <v>51</v>
      </c>
      <c r="C1845" s="19" t="s">
        <v>12</v>
      </c>
      <c r="D1845" s="19" t="s">
        <v>132</v>
      </c>
      <c r="E1845" s="20" t="n">
        <v>47873</v>
      </c>
      <c r="F1845" s="20" t="n">
        <v>0</v>
      </c>
    </row>
    <row r="1846" customFormat="false" ht="15" hidden="false" customHeight="false" outlineLevel="0" collapsed="false">
      <c r="A1846" s="22" t="n">
        <v>46142</v>
      </c>
      <c r="B1846" s="19" t="s">
        <v>51</v>
      </c>
      <c r="C1846" s="19" t="s">
        <v>12</v>
      </c>
      <c r="D1846" s="19" t="s">
        <v>131</v>
      </c>
      <c r="E1846" s="20" t="n">
        <v>11590</v>
      </c>
      <c r="F1846" s="20" t="n">
        <v>0</v>
      </c>
    </row>
    <row r="1847" customFormat="false" ht="15" hidden="false" customHeight="false" outlineLevel="0" collapsed="false">
      <c r="A1847" s="22" t="n">
        <v>46142</v>
      </c>
      <c r="B1847" s="19" t="s">
        <v>51</v>
      </c>
      <c r="C1847" s="19" t="s">
        <v>13</v>
      </c>
      <c r="D1847" s="19" t="s">
        <v>136</v>
      </c>
      <c r="E1847" s="20" t="n">
        <v>426646</v>
      </c>
      <c r="F1847" s="20" t="n">
        <v>2366750</v>
      </c>
    </row>
    <row r="1848" customFormat="false" ht="15" hidden="false" customHeight="false" outlineLevel="0" collapsed="false">
      <c r="A1848" s="22" t="n">
        <v>46143</v>
      </c>
      <c r="B1848" s="19" t="s">
        <v>51</v>
      </c>
      <c r="C1848" s="19" t="s">
        <v>14</v>
      </c>
      <c r="D1848" s="19" t="s">
        <v>73</v>
      </c>
      <c r="E1848" s="20" t="n">
        <v>48104</v>
      </c>
      <c r="F1848" s="20" t="n">
        <v>138000</v>
      </c>
    </row>
    <row r="1849" customFormat="false" ht="15" hidden="false" customHeight="false" outlineLevel="0" collapsed="false">
      <c r="A1849" s="22" t="n">
        <v>46143</v>
      </c>
      <c r="B1849" s="19" t="s">
        <v>51</v>
      </c>
      <c r="C1849" s="19" t="s">
        <v>70</v>
      </c>
      <c r="D1849" s="19" t="s">
        <v>133</v>
      </c>
      <c r="E1849" s="20" t="n">
        <v>2060</v>
      </c>
      <c r="F1849" s="20" t="n">
        <v>0</v>
      </c>
    </row>
    <row r="1850" customFormat="false" ht="15" hidden="false" customHeight="false" outlineLevel="0" collapsed="false">
      <c r="A1850" s="22" t="n">
        <v>46143</v>
      </c>
      <c r="B1850" s="19" t="s">
        <v>51</v>
      </c>
      <c r="C1850" s="19" t="s">
        <v>12</v>
      </c>
      <c r="D1850" s="19" t="s">
        <v>122</v>
      </c>
      <c r="E1850" s="20" t="n">
        <v>18635</v>
      </c>
      <c r="F1850" s="20" t="n">
        <v>0</v>
      </c>
    </row>
    <row r="1851" customFormat="false" ht="15" hidden="false" customHeight="false" outlineLevel="0" collapsed="false">
      <c r="A1851" s="22" t="n">
        <v>46143</v>
      </c>
      <c r="B1851" s="19" t="s">
        <v>51</v>
      </c>
      <c r="C1851" s="19" t="s">
        <v>12</v>
      </c>
      <c r="D1851" s="19" t="s">
        <v>123</v>
      </c>
      <c r="E1851" s="20" t="n">
        <v>36465</v>
      </c>
      <c r="F1851" s="20" t="n">
        <v>0</v>
      </c>
    </row>
    <row r="1852" customFormat="false" ht="15" hidden="false" customHeight="false" outlineLevel="0" collapsed="false">
      <c r="A1852" s="22" t="n">
        <v>46143</v>
      </c>
      <c r="B1852" s="19" t="s">
        <v>51</v>
      </c>
      <c r="C1852" s="19" t="s">
        <v>12</v>
      </c>
      <c r="D1852" s="19" t="s">
        <v>137</v>
      </c>
      <c r="E1852" s="20" t="n">
        <v>184829</v>
      </c>
      <c r="F1852" s="20" t="n">
        <v>921150</v>
      </c>
    </row>
    <row r="1853" customFormat="false" ht="15" hidden="false" customHeight="false" outlineLevel="0" collapsed="false">
      <c r="A1853" s="22" t="n">
        <v>46143</v>
      </c>
      <c r="B1853" s="19" t="s">
        <v>51</v>
      </c>
      <c r="C1853" s="19" t="s">
        <v>13</v>
      </c>
      <c r="D1853" s="19" t="s">
        <v>127</v>
      </c>
      <c r="E1853" s="20" t="n">
        <v>151003</v>
      </c>
      <c r="F1853" s="20" t="n">
        <v>725200</v>
      </c>
    </row>
    <row r="1854" customFormat="false" ht="15" hidden="false" customHeight="false" outlineLevel="0" collapsed="false">
      <c r="A1854" s="22" t="n">
        <v>46143</v>
      </c>
      <c r="B1854" s="19" t="s">
        <v>51</v>
      </c>
      <c r="C1854" s="19" t="s">
        <v>12</v>
      </c>
      <c r="D1854" s="19" t="s">
        <v>126</v>
      </c>
      <c r="E1854" s="20" t="n">
        <v>93354</v>
      </c>
      <c r="F1854" s="20" t="n">
        <v>425155</v>
      </c>
    </row>
    <row r="1855" customFormat="false" ht="15" hidden="false" customHeight="false" outlineLevel="0" collapsed="false">
      <c r="A1855" s="22" t="n">
        <v>46143</v>
      </c>
      <c r="B1855" s="19" t="s">
        <v>51</v>
      </c>
      <c r="C1855" s="19" t="s">
        <v>12</v>
      </c>
      <c r="D1855" s="19" t="s">
        <v>132</v>
      </c>
      <c r="E1855" s="20" t="n">
        <v>19999</v>
      </c>
      <c r="F1855" s="20" t="n">
        <v>0</v>
      </c>
    </row>
    <row r="1856" customFormat="false" ht="15" hidden="false" customHeight="false" outlineLevel="0" collapsed="false">
      <c r="A1856" s="22" t="n">
        <v>46143</v>
      </c>
      <c r="B1856" s="19" t="s">
        <v>51</v>
      </c>
      <c r="C1856" s="19" t="s">
        <v>12</v>
      </c>
      <c r="D1856" s="19" t="s">
        <v>131</v>
      </c>
      <c r="E1856" s="20" t="n">
        <v>68401</v>
      </c>
      <c r="F1856" s="20" t="n">
        <v>285000</v>
      </c>
    </row>
    <row r="1857" customFormat="false" ht="15" hidden="false" customHeight="false" outlineLevel="0" collapsed="false">
      <c r="A1857" s="22" t="n">
        <v>46143</v>
      </c>
      <c r="B1857" s="19" t="s">
        <v>51</v>
      </c>
      <c r="C1857" s="19" t="s">
        <v>13</v>
      </c>
      <c r="D1857" s="19" t="s">
        <v>136</v>
      </c>
      <c r="E1857" s="20" t="n">
        <v>411452</v>
      </c>
      <c r="F1857" s="20" t="n">
        <v>2084871</v>
      </c>
    </row>
    <row r="1858" customFormat="false" ht="15" hidden="false" customHeight="false" outlineLevel="0" collapsed="false">
      <c r="A1858" s="22" t="n">
        <v>46144</v>
      </c>
      <c r="B1858" s="19" t="s">
        <v>51</v>
      </c>
      <c r="C1858" s="19" t="s">
        <v>14</v>
      </c>
      <c r="D1858" s="19" t="s">
        <v>73</v>
      </c>
      <c r="E1858" s="20" t="n">
        <v>434043</v>
      </c>
      <c r="F1858" s="20" t="n">
        <v>2347500</v>
      </c>
    </row>
    <row r="1859" customFormat="false" ht="15" hidden="false" customHeight="false" outlineLevel="0" collapsed="false">
      <c r="A1859" s="22" t="n">
        <v>46144</v>
      </c>
      <c r="B1859" s="19" t="s">
        <v>51</v>
      </c>
      <c r="C1859" s="19" t="s">
        <v>70</v>
      </c>
      <c r="D1859" s="19" t="s">
        <v>133</v>
      </c>
      <c r="E1859" s="20" t="n">
        <v>115870</v>
      </c>
      <c r="F1859" s="20" t="n">
        <v>347900</v>
      </c>
    </row>
    <row r="1860" customFormat="false" ht="15" hidden="false" customHeight="false" outlineLevel="0" collapsed="false">
      <c r="A1860" s="22" t="n">
        <v>46144</v>
      </c>
      <c r="B1860" s="19" t="s">
        <v>51</v>
      </c>
      <c r="C1860" s="19" t="s">
        <v>12</v>
      </c>
      <c r="D1860" s="19" t="s">
        <v>122</v>
      </c>
      <c r="E1860" s="20" t="n">
        <v>150000</v>
      </c>
      <c r="F1860" s="20" t="n">
        <v>740880</v>
      </c>
    </row>
    <row r="1861" customFormat="false" ht="15" hidden="false" customHeight="false" outlineLevel="0" collapsed="false">
      <c r="A1861" s="22" t="n">
        <v>46144</v>
      </c>
      <c r="B1861" s="19" t="s">
        <v>51</v>
      </c>
      <c r="C1861" s="19" t="s">
        <v>12</v>
      </c>
      <c r="D1861" s="19" t="s">
        <v>123</v>
      </c>
      <c r="E1861" s="20" t="n">
        <v>87164</v>
      </c>
      <c r="F1861" s="20" t="n">
        <v>401480</v>
      </c>
    </row>
    <row r="1862" customFormat="false" ht="15" hidden="false" customHeight="false" outlineLevel="0" collapsed="false">
      <c r="A1862" s="22" t="n">
        <v>46144</v>
      </c>
      <c r="B1862" s="19" t="s">
        <v>51</v>
      </c>
      <c r="C1862" s="19" t="s">
        <v>12</v>
      </c>
      <c r="D1862" s="19" t="s">
        <v>126</v>
      </c>
      <c r="E1862" s="20" t="n">
        <v>65337</v>
      </c>
      <c r="F1862" s="20" t="n">
        <v>253000</v>
      </c>
    </row>
    <row r="1863" customFormat="false" ht="15" hidden="false" customHeight="false" outlineLevel="0" collapsed="false">
      <c r="A1863" s="22" t="n">
        <v>46144</v>
      </c>
      <c r="B1863" s="19" t="s">
        <v>51</v>
      </c>
      <c r="C1863" s="19" t="s">
        <v>12</v>
      </c>
      <c r="D1863" s="19" t="s">
        <v>137</v>
      </c>
      <c r="E1863" s="20" t="n">
        <v>74881</v>
      </c>
      <c r="F1863" s="20" t="n">
        <v>500245</v>
      </c>
    </row>
    <row r="1864" customFormat="false" ht="15" hidden="false" customHeight="false" outlineLevel="0" collapsed="false">
      <c r="A1864" s="22" t="n">
        <v>46144</v>
      </c>
      <c r="B1864" s="19" t="s">
        <v>51</v>
      </c>
      <c r="C1864" s="19" t="s">
        <v>12</v>
      </c>
      <c r="D1864" s="19" t="s">
        <v>132</v>
      </c>
      <c r="E1864" s="20" t="n">
        <v>36301</v>
      </c>
      <c r="F1864" s="20" t="n">
        <v>0</v>
      </c>
    </row>
    <row r="1865" customFormat="false" ht="15" hidden="false" customHeight="false" outlineLevel="0" collapsed="false">
      <c r="A1865" s="22" t="n">
        <v>46144</v>
      </c>
      <c r="B1865" s="19" t="s">
        <v>51</v>
      </c>
      <c r="C1865" s="19" t="s">
        <v>13</v>
      </c>
      <c r="D1865" s="19" t="s">
        <v>127</v>
      </c>
      <c r="E1865" s="20" t="n">
        <v>47940</v>
      </c>
      <c r="F1865" s="20" t="n">
        <v>0</v>
      </c>
    </row>
    <row r="1866" customFormat="false" ht="15" hidden="false" customHeight="false" outlineLevel="0" collapsed="false">
      <c r="A1866" s="22" t="n">
        <v>46144</v>
      </c>
      <c r="B1866" s="19" t="s">
        <v>51</v>
      </c>
      <c r="C1866" s="19" t="s">
        <v>12</v>
      </c>
      <c r="D1866" s="19" t="s">
        <v>131</v>
      </c>
      <c r="E1866" s="20" t="n">
        <v>58780</v>
      </c>
      <c r="F1866" s="20" t="n">
        <v>296500</v>
      </c>
    </row>
    <row r="1867" customFormat="false" ht="15" hidden="false" customHeight="false" outlineLevel="0" collapsed="false">
      <c r="A1867" s="22" t="n">
        <v>46144</v>
      </c>
      <c r="B1867" s="19" t="s">
        <v>51</v>
      </c>
      <c r="C1867" s="19" t="s">
        <v>13</v>
      </c>
      <c r="D1867" s="19" t="s">
        <v>136</v>
      </c>
      <c r="E1867" s="20" t="n">
        <v>334408</v>
      </c>
      <c r="F1867" s="20" t="n">
        <v>1871672</v>
      </c>
    </row>
    <row r="1868" customFormat="false" ht="15" hidden="false" customHeight="false" outlineLevel="0" collapsed="false">
      <c r="A1868" s="22" t="n">
        <v>46145</v>
      </c>
      <c r="B1868" s="19" t="s">
        <v>51</v>
      </c>
      <c r="C1868" s="19" t="s">
        <v>14</v>
      </c>
      <c r="D1868" s="19" t="s">
        <v>73</v>
      </c>
      <c r="E1868" s="20" t="n">
        <v>11768</v>
      </c>
      <c r="F1868" s="20" t="n">
        <v>0</v>
      </c>
    </row>
    <row r="1869" customFormat="false" ht="15" hidden="false" customHeight="false" outlineLevel="0" collapsed="false">
      <c r="A1869" s="22" t="n">
        <v>46145</v>
      </c>
      <c r="B1869" s="19" t="s">
        <v>51</v>
      </c>
      <c r="C1869" s="19" t="s">
        <v>70</v>
      </c>
      <c r="D1869" s="19" t="s">
        <v>133</v>
      </c>
      <c r="E1869" s="20" t="n">
        <v>2095</v>
      </c>
      <c r="F1869" s="20" t="n">
        <v>0</v>
      </c>
    </row>
    <row r="1870" customFormat="false" ht="15" hidden="false" customHeight="false" outlineLevel="0" collapsed="false">
      <c r="A1870" s="22" t="n">
        <v>46145</v>
      </c>
      <c r="B1870" s="19" t="s">
        <v>51</v>
      </c>
      <c r="C1870" s="19" t="s">
        <v>12</v>
      </c>
      <c r="D1870" s="19" t="s">
        <v>122</v>
      </c>
      <c r="E1870" s="20" t="n">
        <v>6481</v>
      </c>
      <c r="F1870" s="20" t="n">
        <v>0</v>
      </c>
    </row>
    <row r="1871" customFormat="false" ht="15" hidden="false" customHeight="false" outlineLevel="0" collapsed="false">
      <c r="A1871" s="22" t="n">
        <v>46145</v>
      </c>
      <c r="B1871" s="19" t="s">
        <v>51</v>
      </c>
      <c r="C1871" s="19" t="s">
        <v>12</v>
      </c>
      <c r="D1871" s="19" t="s">
        <v>123</v>
      </c>
      <c r="E1871" s="20" t="n">
        <v>93893</v>
      </c>
      <c r="F1871" s="20" t="n">
        <v>446942</v>
      </c>
    </row>
    <row r="1872" customFormat="false" ht="15" hidden="false" customHeight="false" outlineLevel="0" collapsed="false">
      <c r="A1872" s="22" t="n">
        <v>46145</v>
      </c>
      <c r="B1872" s="19" t="s">
        <v>51</v>
      </c>
      <c r="C1872" s="19" t="s">
        <v>13</v>
      </c>
      <c r="D1872" s="19" t="s">
        <v>127</v>
      </c>
      <c r="E1872" s="20" t="n">
        <v>300000</v>
      </c>
      <c r="F1872" s="20" t="n">
        <v>1889150</v>
      </c>
    </row>
    <row r="1873" customFormat="false" ht="15" hidden="false" customHeight="false" outlineLevel="0" collapsed="false">
      <c r="A1873" s="22" t="n">
        <v>46145</v>
      </c>
      <c r="B1873" s="19" t="s">
        <v>51</v>
      </c>
      <c r="C1873" s="19" t="s">
        <v>12</v>
      </c>
      <c r="D1873" s="19" t="s">
        <v>137</v>
      </c>
      <c r="E1873" s="20" t="n">
        <v>201783</v>
      </c>
      <c r="F1873" s="20" t="n">
        <v>955200</v>
      </c>
    </row>
    <row r="1874" customFormat="false" ht="15" hidden="false" customHeight="false" outlineLevel="0" collapsed="false">
      <c r="A1874" s="22" t="n">
        <v>46145</v>
      </c>
      <c r="B1874" s="19" t="s">
        <v>51</v>
      </c>
      <c r="C1874" s="19" t="s">
        <v>12</v>
      </c>
      <c r="D1874" s="19" t="s">
        <v>126</v>
      </c>
      <c r="E1874" s="20" t="n">
        <v>75207</v>
      </c>
      <c r="F1874" s="20" t="n">
        <v>338419</v>
      </c>
    </row>
    <row r="1875" customFormat="false" ht="15" hidden="false" customHeight="false" outlineLevel="0" collapsed="false">
      <c r="A1875" s="22" t="n">
        <v>46145</v>
      </c>
      <c r="B1875" s="19" t="s">
        <v>51</v>
      </c>
      <c r="C1875" s="19" t="s">
        <v>12</v>
      </c>
      <c r="D1875" s="19" t="s">
        <v>132</v>
      </c>
      <c r="E1875" s="20" t="n">
        <v>71394</v>
      </c>
      <c r="F1875" s="20" t="n">
        <v>121250</v>
      </c>
    </row>
    <row r="1876" customFormat="false" ht="15" hidden="false" customHeight="false" outlineLevel="0" collapsed="false">
      <c r="A1876" s="22" t="n">
        <v>46145</v>
      </c>
      <c r="B1876" s="19" t="s">
        <v>51</v>
      </c>
      <c r="C1876" s="19" t="s">
        <v>12</v>
      </c>
      <c r="D1876" s="19" t="s">
        <v>131</v>
      </c>
      <c r="E1876" s="20" t="n">
        <v>20543</v>
      </c>
      <c r="F1876" s="20" t="n">
        <v>0</v>
      </c>
    </row>
    <row r="1877" customFormat="false" ht="15" hidden="false" customHeight="false" outlineLevel="0" collapsed="false">
      <c r="A1877" s="22" t="n">
        <v>46145</v>
      </c>
      <c r="B1877" s="19" t="s">
        <v>51</v>
      </c>
      <c r="C1877" s="19" t="s">
        <v>13</v>
      </c>
      <c r="D1877" s="19" t="s">
        <v>136</v>
      </c>
      <c r="E1877" s="20" t="n">
        <v>364910</v>
      </c>
      <c r="F1877" s="20" t="n">
        <v>1926533</v>
      </c>
    </row>
    <row r="1878" customFormat="false" ht="15" hidden="false" customHeight="false" outlineLevel="0" collapsed="false">
      <c r="A1878" s="22" t="n">
        <v>46146</v>
      </c>
      <c r="B1878" s="19" t="s">
        <v>51</v>
      </c>
      <c r="C1878" s="19" t="s">
        <v>12</v>
      </c>
      <c r="D1878" s="19" t="s">
        <v>138</v>
      </c>
      <c r="E1878" s="20" t="n">
        <v>46250</v>
      </c>
      <c r="F1878" s="20" t="n">
        <v>189150</v>
      </c>
    </row>
    <row r="1879" customFormat="false" ht="15" hidden="false" customHeight="false" outlineLevel="0" collapsed="false">
      <c r="A1879" s="22" t="n">
        <v>46146</v>
      </c>
      <c r="B1879" s="19" t="s">
        <v>51</v>
      </c>
      <c r="C1879" s="19" t="s">
        <v>70</v>
      </c>
      <c r="D1879" s="19" t="s">
        <v>133</v>
      </c>
      <c r="E1879" s="20" t="n">
        <v>80834</v>
      </c>
      <c r="F1879" s="20" t="n">
        <v>352180</v>
      </c>
    </row>
    <row r="1880" customFormat="false" ht="15" hidden="false" customHeight="false" outlineLevel="0" collapsed="false">
      <c r="A1880" s="22" t="n">
        <v>46146</v>
      </c>
      <c r="B1880" s="19" t="s">
        <v>51</v>
      </c>
      <c r="C1880" s="19" t="s">
        <v>16</v>
      </c>
      <c r="D1880" s="19" t="s">
        <v>139</v>
      </c>
      <c r="E1880" s="20" t="n">
        <v>76554</v>
      </c>
      <c r="F1880" s="20" t="n">
        <v>1092250</v>
      </c>
    </row>
    <row r="1881" customFormat="false" ht="15" hidden="false" customHeight="false" outlineLevel="0" collapsed="false">
      <c r="A1881" s="22" t="n">
        <v>46146</v>
      </c>
      <c r="B1881" s="19" t="s">
        <v>51</v>
      </c>
      <c r="C1881" s="19" t="s">
        <v>12</v>
      </c>
      <c r="D1881" s="19" t="s">
        <v>122</v>
      </c>
      <c r="E1881" s="20" t="n">
        <v>60099</v>
      </c>
      <c r="F1881" s="20" t="n">
        <v>193030</v>
      </c>
    </row>
    <row r="1882" customFormat="false" ht="15" hidden="false" customHeight="false" outlineLevel="0" collapsed="false">
      <c r="A1882" s="22" t="n">
        <v>46146</v>
      </c>
      <c r="B1882" s="19" t="s">
        <v>51</v>
      </c>
      <c r="C1882" s="19" t="s">
        <v>12</v>
      </c>
      <c r="D1882" s="19" t="s">
        <v>123</v>
      </c>
      <c r="E1882" s="20" t="n">
        <v>73666</v>
      </c>
      <c r="F1882" s="20" t="n">
        <v>323361</v>
      </c>
    </row>
    <row r="1883" customFormat="false" ht="15" hidden="false" customHeight="false" outlineLevel="0" collapsed="false">
      <c r="A1883" s="22" t="n">
        <v>46146</v>
      </c>
      <c r="B1883" s="19" t="s">
        <v>51</v>
      </c>
      <c r="C1883" s="19" t="s">
        <v>12</v>
      </c>
      <c r="D1883" s="19" t="s">
        <v>124</v>
      </c>
      <c r="E1883" s="20" t="n">
        <v>34939</v>
      </c>
      <c r="F1883" s="20" t="n">
        <v>187000</v>
      </c>
    </row>
    <row r="1884" customFormat="false" ht="15" hidden="false" customHeight="false" outlineLevel="0" collapsed="false">
      <c r="A1884" s="22" t="n">
        <v>46146</v>
      </c>
      <c r="B1884" s="19" t="s">
        <v>51</v>
      </c>
      <c r="C1884" s="19" t="s">
        <v>12</v>
      </c>
      <c r="D1884" s="19" t="s">
        <v>137</v>
      </c>
      <c r="E1884" s="20" t="n">
        <v>131912</v>
      </c>
      <c r="F1884" s="20" t="n">
        <v>283200</v>
      </c>
    </row>
    <row r="1885" customFormat="false" ht="15" hidden="false" customHeight="false" outlineLevel="0" collapsed="false">
      <c r="A1885" s="22" t="n">
        <v>46146</v>
      </c>
      <c r="B1885" s="19" t="s">
        <v>51</v>
      </c>
      <c r="C1885" s="19" t="s">
        <v>12</v>
      </c>
      <c r="D1885" s="19" t="s">
        <v>126</v>
      </c>
      <c r="E1885" s="20" t="n">
        <v>74009</v>
      </c>
      <c r="F1885" s="20" t="n">
        <v>270355</v>
      </c>
    </row>
    <row r="1886" customFormat="false" ht="15" hidden="false" customHeight="false" outlineLevel="0" collapsed="false">
      <c r="A1886" s="22" t="n">
        <v>46146</v>
      </c>
      <c r="B1886" s="19" t="s">
        <v>51</v>
      </c>
      <c r="C1886" s="19" t="s">
        <v>13</v>
      </c>
      <c r="D1886" s="19" t="s">
        <v>127</v>
      </c>
      <c r="E1886" s="20" t="n">
        <v>131932</v>
      </c>
      <c r="F1886" s="20" t="n">
        <v>495000</v>
      </c>
    </row>
    <row r="1887" customFormat="false" ht="15" hidden="false" customHeight="false" outlineLevel="0" collapsed="false">
      <c r="A1887" s="22" t="n">
        <v>46146</v>
      </c>
      <c r="B1887" s="19" t="s">
        <v>51</v>
      </c>
      <c r="C1887" s="19" t="s">
        <v>12</v>
      </c>
      <c r="D1887" s="19" t="s">
        <v>131</v>
      </c>
      <c r="E1887" s="20" t="n">
        <v>56006</v>
      </c>
      <c r="F1887" s="20" t="n">
        <v>283200</v>
      </c>
    </row>
    <row r="1888" customFormat="false" ht="15" hidden="false" customHeight="false" outlineLevel="0" collapsed="false">
      <c r="A1888" s="22" t="n">
        <v>46146</v>
      </c>
      <c r="B1888" s="19" t="s">
        <v>51</v>
      </c>
      <c r="C1888" s="19" t="s">
        <v>12</v>
      </c>
      <c r="D1888" s="19" t="s">
        <v>132</v>
      </c>
      <c r="E1888" s="20" t="n">
        <v>22635</v>
      </c>
      <c r="F1888" s="20" t="n">
        <v>187200</v>
      </c>
    </row>
    <row r="1889" customFormat="false" ht="15" hidden="false" customHeight="false" outlineLevel="0" collapsed="false">
      <c r="A1889" s="22" t="n">
        <v>46146</v>
      </c>
      <c r="B1889" s="19" t="s">
        <v>51</v>
      </c>
      <c r="C1889" s="19" t="s">
        <v>13</v>
      </c>
      <c r="D1889" s="19" t="s">
        <v>136</v>
      </c>
      <c r="E1889" s="20" t="n">
        <v>356292</v>
      </c>
      <c r="F1889" s="20" t="n">
        <v>1915820</v>
      </c>
    </row>
    <row r="1890" customFormat="false" ht="15" hidden="false" customHeight="false" outlineLevel="0" collapsed="false">
      <c r="A1890" s="22" t="n">
        <v>46147</v>
      </c>
      <c r="B1890" s="19" t="s">
        <v>51</v>
      </c>
      <c r="C1890" s="19" t="s">
        <v>12</v>
      </c>
      <c r="D1890" s="19" t="s">
        <v>138</v>
      </c>
      <c r="E1890" s="20" t="n">
        <v>200000</v>
      </c>
      <c r="F1890" s="20" t="n">
        <v>2152092</v>
      </c>
    </row>
    <row r="1891" customFormat="false" ht="15" hidden="false" customHeight="false" outlineLevel="0" collapsed="false">
      <c r="A1891" s="22" t="n">
        <v>46147</v>
      </c>
      <c r="B1891" s="19" t="s">
        <v>51</v>
      </c>
      <c r="C1891" s="19" t="s">
        <v>14</v>
      </c>
      <c r="D1891" s="19" t="s">
        <v>73</v>
      </c>
      <c r="E1891" s="20" t="n">
        <v>25911</v>
      </c>
      <c r="F1891" s="20" t="n">
        <v>114460</v>
      </c>
    </row>
    <row r="1892" customFormat="false" ht="15" hidden="false" customHeight="false" outlineLevel="0" collapsed="false">
      <c r="A1892" s="22" t="n">
        <v>46147</v>
      </c>
      <c r="B1892" s="19" t="s">
        <v>51</v>
      </c>
      <c r="C1892" s="19" t="s">
        <v>16</v>
      </c>
      <c r="D1892" s="19" t="s">
        <v>139</v>
      </c>
      <c r="E1892" s="20" t="n">
        <v>273411</v>
      </c>
      <c r="F1892" s="20" t="n">
        <v>1412260</v>
      </c>
    </row>
    <row r="1893" customFormat="false" ht="15" hidden="false" customHeight="false" outlineLevel="0" collapsed="false">
      <c r="A1893" s="22" t="n">
        <v>46147</v>
      </c>
      <c r="B1893" s="19" t="s">
        <v>51</v>
      </c>
      <c r="C1893" s="19" t="s">
        <v>70</v>
      </c>
      <c r="D1893" s="19" t="s">
        <v>133</v>
      </c>
      <c r="E1893" s="20" t="n">
        <v>65490</v>
      </c>
      <c r="F1893" s="20" t="n">
        <v>188600</v>
      </c>
    </row>
    <row r="1894" customFormat="false" ht="15" hidden="false" customHeight="false" outlineLevel="0" collapsed="false">
      <c r="A1894" s="22" t="n">
        <v>46147</v>
      </c>
      <c r="B1894" s="19" t="s">
        <v>51</v>
      </c>
      <c r="C1894" s="19" t="s">
        <v>12</v>
      </c>
      <c r="D1894" s="19" t="s">
        <v>122</v>
      </c>
      <c r="E1894" s="20" t="n">
        <v>50537</v>
      </c>
      <c r="F1894" s="20" t="n">
        <v>199000</v>
      </c>
    </row>
    <row r="1895" customFormat="false" ht="15" hidden="false" customHeight="false" outlineLevel="0" collapsed="false">
      <c r="A1895" s="22" t="n">
        <v>46147</v>
      </c>
      <c r="B1895" s="19" t="s">
        <v>51</v>
      </c>
      <c r="C1895" s="19" t="s">
        <v>12</v>
      </c>
      <c r="D1895" s="19" t="s">
        <v>123</v>
      </c>
      <c r="E1895" s="20" t="n">
        <v>528271</v>
      </c>
      <c r="F1895" s="20" t="n">
        <v>2555022</v>
      </c>
    </row>
    <row r="1896" customFormat="false" ht="15" hidden="false" customHeight="false" outlineLevel="0" collapsed="false">
      <c r="A1896" s="22" t="n">
        <v>46147</v>
      </c>
      <c r="B1896" s="19" t="s">
        <v>51</v>
      </c>
      <c r="C1896" s="19" t="s">
        <v>12</v>
      </c>
      <c r="D1896" s="19" t="s">
        <v>137</v>
      </c>
      <c r="E1896" s="20" t="n">
        <v>700000</v>
      </c>
      <c r="F1896" s="20" t="n">
        <v>5276408</v>
      </c>
    </row>
    <row r="1897" customFormat="false" ht="15" hidden="false" customHeight="false" outlineLevel="0" collapsed="false">
      <c r="A1897" s="22" t="n">
        <v>46147</v>
      </c>
      <c r="B1897" s="19" t="s">
        <v>51</v>
      </c>
      <c r="C1897" s="19" t="s">
        <v>12</v>
      </c>
      <c r="D1897" s="19" t="s">
        <v>126</v>
      </c>
      <c r="E1897" s="20" t="n">
        <v>235760</v>
      </c>
      <c r="F1897" s="20" t="n">
        <v>1141630</v>
      </c>
    </row>
    <row r="1898" customFormat="false" ht="15" hidden="false" customHeight="false" outlineLevel="0" collapsed="false">
      <c r="A1898" s="22" t="n">
        <v>46147</v>
      </c>
      <c r="B1898" s="19" t="s">
        <v>51</v>
      </c>
      <c r="C1898" s="19" t="s">
        <v>12</v>
      </c>
      <c r="D1898" s="19" t="s">
        <v>124</v>
      </c>
      <c r="E1898" s="20" t="n">
        <v>83209</v>
      </c>
      <c r="F1898" s="20" t="n">
        <v>305370</v>
      </c>
    </row>
    <row r="1899" customFormat="false" ht="15" hidden="false" customHeight="false" outlineLevel="0" collapsed="false">
      <c r="A1899" s="22" t="n">
        <v>46147</v>
      </c>
      <c r="B1899" s="19" t="s">
        <v>51</v>
      </c>
      <c r="C1899" s="19" t="s">
        <v>12</v>
      </c>
      <c r="D1899" s="19" t="s">
        <v>131</v>
      </c>
      <c r="E1899" s="20" t="n">
        <v>700000</v>
      </c>
      <c r="F1899" s="20" t="n">
        <v>4088150</v>
      </c>
    </row>
    <row r="1900" customFormat="false" ht="15" hidden="false" customHeight="false" outlineLevel="0" collapsed="false">
      <c r="A1900" s="22" t="n">
        <v>46147</v>
      </c>
      <c r="B1900" s="19" t="s">
        <v>51</v>
      </c>
      <c r="C1900" s="19" t="s">
        <v>13</v>
      </c>
      <c r="D1900" s="19" t="s">
        <v>136</v>
      </c>
      <c r="E1900" s="20" t="n">
        <v>1134548</v>
      </c>
      <c r="F1900" s="20" t="n">
        <v>5832524</v>
      </c>
    </row>
    <row r="1901" customFormat="false" ht="15" hidden="false" customHeight="false" outlineLevel="0" collapsed="false">
      <c r="A1901" s="22" t="n">
        <v>46148</v>
      </c>
      <c r="B1901" s="19" t="s">
        <v>51</v>
      </c>
      <c r="C1901" s="19" t="s">
        <v>12</v>
      </c>
      <c r="D1901" s="19" t="s">
        <v>138</v>
      </c>
      <c r="E1901" s="20" t="n">
        <v>100795</v>
      </c>
      <c r="F1901" s="20" t="n">
        <v>195780</v>
      </c>
    </row>
    <row r="1902" customFormat="false" ht="15" hidden="false" customHeight="false" outlineLevel="0" collapsed="false">
      <c r="A1902" s="22" t="n">
        <v>46148</v>
      </c>
      <c r="B1902" s="19" t="s">
        <v>51</v>
      </c>
      <c r="C1902" s="19" t="s">
        <v>14</v>
      </c>
      <c r="D1902" s="19" t="s">
        <v>73</v>
      </c>
      <c r="E1902" s="20" t="n">
        <v>41970</v>
      </c>
      <c r="F1902" s="20" t="n">
        <v>227520</v>
      </c>
    </row>
    <row r="1903" customFormat="false" ht="15" hidden="false" customHeight="false" outlineLevel="0" collapsed="false">
      <c r="A1903" s="22" t="n">
        <v>46148</v>
      </c>
      <c r="B1903" s="19" t="s">
        <v>51</v>
      </c>
      <c r="C1903" s="19" t="s">
        <v>70</v>
      </c>
      <c r="D1903" s="19" t="s">
        <v>133</v>
      </c>
      <c r="E1903" s="20" t="n">
        <v>98350</v>
      </c>
      <c r="F1903" s="20" t="n">
        <v>347900</v>
      </c>
    </row>
    <row r="1904" customFormat="false" ht="15" hidden="false" customHeight="false" outlineLevel="0" collapsed="false">
      <c r="A1904" s="22" t="n">
        <v>46148</v>
      </c>
      <c r="B1904" s="19" t="s">
        <v>51</v>
      </c>
      <c r="C1904" s="19" t="s">
        <v>16</v>
      </c>
      <c r="D1904" s="19" t="s">
        <v>139</v>
      </c>
      <c r="E1904" s="20" t="n">
        <v>123484</v>
      </c>
      <c r="F1904" s="20" t="n">
        <v>659800</v>
      </c>
    </row>
    <row r="1905" customFormat="false" ht="15" hidden="false" customHeight="false" outlineLevel="0" collapsed="false">
      <c r="A1905" s="22" t="n">
        <v>46148</v>
      </c>
      <c r="B1905" s="19" t="s">
        <v>51</v>
      </c>
      <c r="C1905" s="19" t="s">
        <v>12</v>
      </c>
      <c r="D1905" s="19" t="s">
        <v>122</v>
      </c>
      <c r="E1905" s="20" t="n">
        <v>88060</v>
      </c>
      <c r="F1905" s="20" t="n">
        <v>386060</v>
      </c>
    </row>
    <row r="1906" customFormat="false" ht="15" hidden="false" customHeight="false" outlineLevel="0" collapsed="false">
      <c r="A1906" s="22" t="n">
        <v>46148</v>
      </c>
      <c r="B1906" s="19" t="s">
        <v>51</v>
      </c>
      <c r="C1906" s="19" t="s">
        <v>12</v>
      </c>
      <c r="D1906" s="19" t="s">
        <v>123</v>
      </c>
      <c r="E1906" s="20" t="n">
        <v>323312</v>
      </c>
      <c r="F1906" s="20" t="n">
        <v>1645192</v>
      </c>
    </row>
    <row r="1907" customFormat="false" ht="15" hidden="false" customHeight="false" outlineLevel="0" collapsed="false">
      <c r="A1907" s="22" t="n">
        <v>46148</v>
      </c>
      <c r="B1907" s="19" t="s">
        <v>51</v>
      </c>
      <c r="C1907" s="19" t="s">
        <v>12</v>
      </c>
      <c r="D1907" s="19" t="s">
        <v>126</v>
      </c>
      <c r="E1907" s="20" t="n">
        <v>300000</v>
      </c>
      <c r="F1907" s="20" t="n">
        <v>1945465</v>
      </c>
    </row>
    <row r="1908" customFormat="false" ht="15" hidden="false" customHeight="false" outlineLevel="0" collapsed="false">
      <c r="A1908" s="22" t="n">
        <v>46148</v>
      </c>
      <c r="B1908" s="19" t="s">
        <v>51</v>
      </c>
      <c r="C1908" s="19" t="s">
        <v>12</v>
      </c>
      <c r="D1908" s="19" t="s">
        <v>137</v>
      </c>
      <c r="E1908" s="20" t="n">
        <v>159753</v>
      </c>
      <c r="F1908" s="20" t="n">
        <v>447286</v>
      </c>
    </row>
    <row r="1909" customFormat="false" ht="15" hidden="false" customHeight="false" outlineLevel="0" collapsed="false">
      <c r="A1909" s="22" t="n">
        <v>46148</v>
      </c>
      <c r="B1909" s="19" t="s">
        <v>51</v>
      </c>
      <c r="C1909" s="19" t="s">
        <v>12</v>
      </c>
      <c r="D1909" s="19" t="s">
        <v>124</v>
      </c>
      <c r="E1909" s="20" t="n">
        <v>54563</v>
      </c>
      <c r="F1909" s="20" t="n">
        <v>203520</v>
      </c>
    </row>
    <row r="1910" customFormat="false" ht="15" hidden="false" customHeight="false" outlineLevel="0" collapsed="false">
      <c r="A1910" s="22" t="n">
        <v>46148</v>
      </c>
      <c r="B1910" s="19" t="s">
        <v>51</v>
      </c>
      <c r="C1910" s="19" t="s">
        <v>12</v>
      </c>
      <c r="D1910" s="19" t="s">
        <v>131</v>
      </c>
      <c r="E1910" s="20" t="n">
        <v>200000</v>
      </c>
      <c r="F1910" s="20" t="n">
        <v>945000</v>
      </c>
    </row>
    <row r="1911" customFormat="false" ht="15" hidden="false" customHeight="false" outlineLevel="0" collapsed="false">
      <c r="A1911" s="22" t="n">
        <v>46148</v>
      </c>
      <c r="B1911" s="19" t="s">
        <v>51</v>
      </c>
      <c r="C1911" s="19" t="s">
        <v>13</v>
      </c>
      <c r="D1911" s="19" t="s">
        <v>136</v>
      </c>
      <c r="E1911" s="20" t="n">
        <v>350000</v>
      </c>
      <c r="F1911" s="20" t="n">
        <v>1889581</v>
      </c>
    </row>
    <row r="1912" customFormat="false" ht="15" hidden="false" customHeight="false" outlineLevel="0" collapsed="false">
      <c r="A1912" s="22" t="n">
        <v>46149</v>
      </c>
      <c r="B1912" s="19" t="s">
        <v>51</v>
      </c>
      <c r="C1912" s="19" t="s">
        <v>14</v>
      </c>
      <c r="D1912" s="19" t="s">
        <v>73</v>
      </c>
      <c r="E1912" s="20" t="n">
        <v>53798</v>
      </c>
      <c r="F1912" s="20" t="n">
        <v>227000</v>
      </c>
    </row>
    <row r="1913" customFormat="false" ht="15" hidden="false" customHeight="false" outlineLevel="0" collapsed="false">
      <c r="A1913" s="22" t="n">
        <v>46149</v>
      </c>
      <c r="B1913" s="19" t="s">
        <v>51</v>
      </c>
      <c r="C1913" s="19" t="s">
        <v>12</v>
      </c>
      <c r="D1913" s="19" t="s">
        <v>138</v>
      </c>
      <c r="E1913" s="20" t="n">
        <v>51946</v>
      </c>
      <c r="F1913" s="20" t="n">
        <v>169750</v>
      </c>
    </row>
    <row r="1914" customFormat="false" ht="15" hidden="false" customHeight="false" outlineLevel="0" collapsed="false">
      <c r="A1914" s="22" t="n">
        <v>46149</v>
      </c>
      <c r="B1914" s="19" t="s">
        <v>51</v>
      </c>
      <c r="C1914" s="19" t="s">
        <v>16</v>
      </c>
      <c r="D1914" s="19" t="s">
        <v>139</v>
      </c>
      <c r="E1914" s="20" t="n">
        <v>130183</v>
      </c>
      <c r="F1914" s="20" t="n">
        <v>430000</v>
      </c>
    </row>
    <row r="1915" customFormat="false" ht="15" hidden="false" customHeight="false" outlineLevel="0" collapsed="false">
      <c r="A1915" s="22" t="n">
        <v>46149</v>
      </c>
      <c r="B1915" s="19" t="s">
        <v>51</v>
      </c>
      <c r="C1915" s="19" t="s">
        <v>70</v>
      </c>
      <c r="D1915" s="19" t="s">
        <v>133</v>
      </c>
      <c r="E1915" s="20" t="n">
        <v>7746</v>
      </c>
      <c r="F1915" s="20" t="n">
        <v>0</v>
      </c>
    </row>
    <row r="1916" customFormat="false" ht="15" hidden="false" customHeight="false" outlineLevel="0" collapsed="false">
      <c r="A1916" s="22" t="n">
        <v>46149</v>
      </c>
      <c r="B1916" s="19" t="s">
        <v>51</v>
      </c>
      <c r="C1916" s="19" t="s">
        <v>12</v>
      </c>
      <c r="D1916" s="19" t="s">
        <v>122</v>
      </c>
      <c r="E1916" s="20" t="n">
        <v>200000</v>
      </c>
      <c r="F1916" s="20" t="n">
        <v>1161820</v>
      </c>
    </row>
    <row r="1917" customFormat="false" ht="15" hidden="false" customHeight="false" outlineLevel="0" collapsed="false">
      <c r="A1917" s="22" t="n">
        <v>46149</v>
      </c>
      <c r="B1917" s="19" t="s">
        <v>51</v>
      </c>
      <c r="C1917" s="19" t="s">
        <v>12</v>
      </c>
      <c r="D1917" s="19" t="s">
        <v>123</v>
      </c>
      <c r="E1917" s="20" t="n">
        <v>304496</v>
      </c>
      <c r="F1917" s="20" t="n">
        <v>1078600</v>
      </c>
    </row>
    <row r="1918" customFormat="false" ht="15" hidden="false" customHeight="false" outlineLevel="0" collapsed="false">
      <c r="A1918" s="22" t="n">
        <v>46149</v>
      </c>
      <c r="B1918" s="19" t="s">
        <v>51</v>
      </c>
      <c r="C1918" s="19" t="s">
        <v>12</v>
      </c>
      <c r="D1918" s="19" t="s">
        <v>137</v>
      </c>
      <c r="E1918" s="20" t="n">
        <v>300000</v>
      </c>
      <c r="F1918" s="20" t="n">
        <v>1688850</v>
      </c>
    </row>
    <row r="1919" customFormat="false" ht="15" hidden="false" customHeight="false" outlineLevel="0" collapsed="false">
      <c r="A1919" s="22" t="n">
        <v>46149</v>
      </c>
      <c r="B1919" s="19" t="s">
        <v>51</v>
      </c>
      <c r="C1919" s="19" t="s">
        <v>12</v>
      </c>
      <c r="D1919" s="19" t="s">
        <v>126</v>
      </c>
      <c r="E1919" s="20" t="n">
        <v>246430</v>
      </c>
      <c r="F1919" s="20" t="n">
        <v>808405</v>
      </c>
    </row>
    <row r="1920" customFormat="false" ht="15" hidden="false" customHeight="false" outlineLevel="0" collapsed="false">
      <c r="A1920" s="22" t="n">
        <v>46149</v>
      </c>
      <c r="B1920" s="19" t="s">
        <v>51</v>
      </c>
      <c r="C1920" s="19" t="s">
        <v>12</v>
      </c>
      <c r="D1920" s="19" t="s">
        <v>124</v>
      </c>
      <c r="E1920" s="20" t="n">
        <v>39571</v>
      </c>
      <c r="F1920" s="20" t="n">
        <v>187000</v>
      </c>
    </row>
    <row r="1921" customFormat="false" ht="15" hidden="false" customHeight="false" outlineLevel="0" collapsed="false">
      <c r="A1921" s="22" t="n">
        <v>46149</v>
      </c>
      <c r="B1921" s="19" t="s">
        <v>51</v>
      </c>
      <c r="C1921" s="19" t="s">
        <v>12</v>
      </c>
      <c r="D1921" s="19" t="s">
        <v>131</v>
      </c>
      <c r="E1921" s="20" t="n">
        <v>58850</v>
      </c>
      <c r="F1921" s="20" t="n">
        <v>0</v>
      </c>
    </row>
    <row r="1922" customFormat="false" ht="15" hidden="false" customHeight="false" outlineLevel="0" collapsed="false">
      <c r="A1922" s="22" t="n">
        <v>46149</v>
      </c>
      <c r="B1922" s="19" t="s">
        <v>51</v>
      </c>
      <c r="C1922" s="19" t="s">
        <v>13</v>
      </c>
      <c r="D1922" s="19" t="s">
        <v>136</v>
      </c>
      <c r="E1922" s="20" t="n">
        <v>379937</v>
      </c>
      <c r="F1922" s="20" t="n">
        <v>2048214</v>
      </c>
    </row>
    <row r="1923" customFormat="false" ht="15" hidden="false" customHeight="false" outlineLevel="0" collapsed="false">
      <c r="A1923" s="22" t="n">
        <v>46150</v>
      </c>
      <c r="B1923" s="19" t="s">
        <v>51</v>
      </c>
      <c r="C1923" s="19" t="s">
        <v>12</v>
      </c>
      <c r="D1923" s="19" t="s">
        <v>138</v>
      </c>
      <c r="E1923" s="20" t="n">
        <v>335391</v>
      </c>
      <c r="F1923" s="20" t="n">
        <v>1550000</v>
      </c>
    </row>
    <row r="1924" customFormat="false" ht="15" hidden="false" customHeight="false" outlineLevel="0" collapsed="false">
      <c r="A1924" s="22" t="n">
        <v>46150</v>
      </c>
      <c r="B1924" s="19" t="s">
        <v>51</v>
      </c>
      <c r="C1924" s="19" t="s">
        <v>14</v>
      </c>
      <c r="D1924" s="19" t="s">
        <v>73</v>
      </c>
      <c r="E1924" s="20" t="n">
        <v>41342</v>
      </c>
      <c r="F1924" s="20" t="n">
        <v>138000</v>
      </c>
    </row>
    <row r="1925" customFormat="false" ht="15" hidden="false" customHeight="false" outlineLevel="0" collapsed="false">
      <c r="A1925" s="22" t="n">
        <v>46150</v>
      </c>
      <c r="B1925" s="19" t="s">
        <v>51</v>
      </c>
      <c r="C1925" s="19" t="s">
        <v>16</v>
      </c>
      <c r="D1925" s="19" t="s">
        <v>140</v>
      </c>
      <c r="E1925" s="20" t="n">
        <v>188087</v>
      </c>
      <c r="F1925" s="20" t="n">
        <v>788674</v>
      </c>
    </row>
    <row r="1926" customFormat="false" ht="15" hidden="false" customHeight="false" outlineLevel="0" collapsed="false">
      <c r="A1926" s="22" t="n">
        <v>46150</v>
      </c>
      <c r="B1926" s="19" t="s">
        <v>51</v>
      </c>
      <c r="C1926" s="19" t="s">
        <v>16</v>
      </c>
      <c r="D1926" s="19" t="s">
        <v>139</v>
      </c>
      <c r="E1926" s="20" t="n">
        <v>13606</v>
      </c>
      <c r="F1926" s="20" t="n">
        <v>0</v>
      </c>
    </row>
    <row r="1927" customFormat="false" ht="15" hidden="false" customHeight="false" outlineLevel="0" collapsed="false">
      <c r="A1927" s="22" t="n">
        <v>46150</v>
      </c>
      <c r="B1927" s="19" t="s">
        <v>51</v>
      </c>
      <c r="C1927" s="19" t="s">
        <v>70</v>
      </c>
      <c r="D1927" s="19" t="s">
        <v>133</v>
      </c>
      <c r="E1927" s="20" t="n">
        <v>84547</v>
      </c>
      <c r="F1927" s="20" t="n">
        <v>276000</v>
      </c>
    </row>
    <row r="1928" customFormat="false" ht="15" hidden="false" customHeight="false" outlineLevel="0" collapsed="false">
      <c r="A1928" s="22" t="n">
        <v>46150</v>
      </c>
      <c r="B1928" s="19" t="s">
        <v>51</v>
      </c>
      <c r="C1928" s="19" t="s">
        <v>12</v>
      </c>
      <c r="D1928" s="19" t="s">
        <v>122</v>
      </c>
      <c r="E1928" s="20" t="n">
        <v>126369</v>
      </c>
      <c r="F1928" s="20" t="n">
        <v>577100</v>
      </c>
    </row>
    <row r="1929" customFormat="false" ht="15" hidden="false" customHeight="false" outlineLevel="0" collapsed="false">
      <c r="A1929" s="22" t="n">
        <v>46150</v>
      </c>
      <c r="B1929" s="19" t="s">
        <v>51</v>
      </c>
      <c r="C1929" s="19" t="s">
        <v>12</v>
      </c>
      <c r="D1929" s="19" t="s">
        <v>126</v>
      </c>
      <c r="E1929" s="20" t="n">
        <v>241845</v>
      </c>
      <c r="F1929" s="20" t="n">
        <v>1148818</v>
      </c>
    </row>
    <row r="1930" customFormat="false" ht="15" hidden="false" customHeight="false" outlineLevel="0" collapsed="false">
      <c r="A1930" s="22" t="n">
        <v>46150</v>
      </c>
      <c r="B1930" s="19" t="s">
        <v>51</v>
      </c>
      <c r="C1930" s="19" t="s">
        <v>12</v>
      </c>
      <c r="D1930" s="19" t="s">
        <v>137</v>
      </c>
      <c r="E1930" s="20" t="n">
        <v>439020</v>
      </c>
      <c r="F1930" s="20" t="n">
        <v>2210600</v>
      </c>
    </row>
    <row r="1931" customFormat="false" ht="15" hidden="false" customHeight="false" outlineLevel="0" collapsed="false">
      <c r="A1931" s="22" t="n">
        <v>46150</v>
      </c>
      <c r="B1931" s="19" t="s">
        <v>51</v>
      </c>
      <c r="C1931" s="19" t="s">
        <v>12</v>
      </c>
      <c r="D1931" s="19" t="s">
        <v>123</v>
      </c>
      <c r="E1931" s="20" t="n">
        <v>24288</v>
      </c>
      <c r="F1931" s="20" t="n">
        <v>0</v>
      </c>
    </row>
    <row r="1932" customFormat="false" ht="15" hidden="false" customHeight="false" outlineLevel="0" collapsed="false">
      <c r="A1932" s="22" t="n">
        <v>46150</v>
      </c>
      <c r="B1932" s="19" t="s">
        <v>51</v>
      </c>
      <c r="C1932" s="19" t="s">
        <v>12</v>
      </c>
      <c r="D1932" s="19" t="s">
        <v>131</v>
      </c>
      <c r="E1932" s="20" t="n">
        <v>88770</v>
      </c>
      <c r="F1932" s="20" t="n">
        <v>295000</v>
      </c>
    </row>
    <row r="1933" customFormat="false" ht="15" hidden="false" customHeight="false" outlineLevel="0" collapsed="false">
      <c r="A1933" s="22" t="n">
        <v>46150</v>
      </c>
      <c r="B1933" s="19" t="s">
        <v>51</v>
      </c>
      <c r="C1933" s="19" t="s">
        <v>12</v>
      </c>
      <c r="D1933" s="19" t="s">
        <v>124</v>
      </c>
      <c r="E1933" s="20" t="n">
        <v>4948</v>
      </c>
      <c r="F1933" s="20" t="n">
        <v>0</v>
      </c>
    </row>
    <row r="1934" customFormat="false" ht="15" hidden="false" customHeight="false" outlineLevel="0" collapsed="false">
      <c r="A1934" s="22" t="n">
        <v>46150</v>
      </c>
      <c r="B1934" s="19" t="s">
        <v>51</v>
      </c>
      <c r="C1934" s="19" t="s">
        <v>13</v>
      </c>
      <c r="D1934" s="19" t="s">
        <v>136</v>
      </c>
      <c r="E1934" s="20" t="n">
        <v>650000</v>
      </c>
      <c r="F1934" s="20" t="n">
        <v>3856660</v>
      </c>
    </row>
    <row r="1935" customFormat="false" ht="15" hidden="false" customHeight="false" outlineLevel="0" collapsed="false">
      <c r="A1935" s="22" t="n">
        <v>46151</v>
      </c>
      <c r="B1935" s="19" t="s">
        <v>51</v>
      </c>
      <c r="C1935" s="19" t="s">
        <v>14</v>
      </c>
      <c r="D1935" s="19" t="s">
        <v>73</v>
      </c>
      <c r="E1935" s="20" t="n">
        <v>76838</v>
      </c>
      <c r="F1935" s="20" t="n">
        <v>382140</v>
      </c>
    </row>
    <row r="1936" customFormat="false" ht="15" hidden="false" customHeight="false" outlineLevel="0" collapsed="false">
      <c r="A1936" s="22" t="n">
        <v>46151</v>
      </c>
      <c r="B1936" s="19" t="s">
        <v>51</v>
      </c>
      <c r="C1936" s="19" t="s">
        <v>12</v>
      </c>
      <c r="D1936" s="19" t="s">
        <v>138</v>
      </c>
      <c r="E1936" s="20" t="n">
        <v>20755</v>
      </c>
      <c r="F1936" s="20" t="n">
        <v>0</v>
      </c>
    </row>
    <row r="1937" customFormat="false" ht="15" hidden="false" customHeight="false" outlineLevel="0" collapsed="false">
      <c r="A1937" s="22" t="n">
        <v>46151</v>
      </c>
      <c r="B1937" s="19" t="s">
        <v>51</v>
      </c>
      <c r="C1937" s="19" t="s">
        <v>16</v>
      </c>
      <c r="D1937" s="19" t="s">
        <v>140</v>
      </c>
      <c r="E1937" s="20" t="n">
        <v>75761</v>
      </c>
      <c r="F1937" s="20" t="n">
        <v>280236</v>
      </c>
    </row>
    <row r="1938" customFormat="false" ht="15" hidden="false" customHeight="false" outlineLevel="0" collapsed="false">
      <c r="A1938" s="22" t="n">
        <v>46151</v>
      </c>
      <c r="B1938" s="19" t="s">
        <v>51</v>
      </c>
      <c r="C1938" s="19" t="s">
        <v>70</v>
      </c>
      <c r="D1938" s="19" t="s">
        <v>133</v>
      </c>
      <c r="E1938" s="20" t="n">
        <v>84932</v>
      </c>
      <c r="F1938" s="20" t="n">
        <v>467900</v>
      </c>
    </row>
    <row r="1939" customFormat="false" ht="15" hidden="false" customHeight="false" outlineLevel="0" collapsed="false">
      <c r="A1939" s="22" t="n">
        <v>46151</v>
      </c>
      <c r="B1939" s="19" t="s">
        <v>51</v>
      </c>
      <c r="C1939" s="19" t="s">
        <v>16</v>
      </c>
      <c r="D1939" s="19" t="s">
        <v>139</v>
      </c>
      <c r="E1939" s="20" t="n">
        <v>102466</v>
      </c>
      <c r="F1939" s="20" t="n">
        <v>463450</v>
      </c>
    </row>
    <row r="1940" customFormat="false" ht="15" hidden="false" customHeight="false" outlineLevel="0" collapsed="false">
      <c r="A1940" s="22" t="n">
        <v>46151</v>
      </c>
      <c r="B1940" s="19" t="s">
        <v>51</v>
      </c>
      <c r="C1940" s="19" t="s">
        <v>12</v>
      </c>
      <c r="D1940" s="19" t="s">
        <v>122</v>
      </c>
      <c r="E1940" s="20" t="n">
        <v>12801</v>
      </c>
      <c r="F1940" s="20" t="n">
        <v>0</v>
      </c>
    </row>
    <row r="1941" customFormat="false" ht="15" hidden="false" customHeight="false" outlineLevel="0" collapsed="false">
      <c r="A1941" s="22" t="n">
        <v>46151</v>
      </c>
      <c r="B1941" s="19" t="s">
        <v>51</v>
      </c>
      <c r="C1941" s="19" t="s">
        <v>12</v>
      </c>
      <c r="D1941" s="19" t="s">
        <v>137</v>
      </c>
      <c r="E1941" s="20" t="n">
        <v>235742</v>
      </c>
      <c r="F1941" s="20" t="n">
        <v>1206650</v>
      </c>
    </row>
    <row r="1942" customFormat="false" ht="15" hidden="false" customHeight="false" outlineLevel="0" collapsed="false">
      <c r="A1942" s="22" t="n">
        <v>46151</v>
      </c>
      <c r="B1942" s="19" t="s">
        <v>51</v>
      </c>
      <c r="C1942" s="19" t="s">
        <v>12</v>
      </c>
      <c r="D1942" s="19" t="s">
        <v>126</v>
      </c>
      <c r="E1942" s="20" t="n">
        <v>74267</v>
      </c>
      <c r="F1942" s="20" t="n">
        <v>130000</v>
      </c>
    </row>
    <row r="1943" customFormat="false" ht="15" hidden="false" customHeight="false" outlineLevel="0" collapsed="false">
      <c r="A1943" s="22" t="n">
        <v>46151</v>
      </c>
      <c r="B1943" s="19" t="s">
        <v>51</v>
      </c>
      <c r="C1943" s="19" t="s">
        <v>12</v>
      </c>
      <c r="D1943" s="19" t="s">
        <v>131</v>
      </c>
      <c r="E1943" s="20" t="n">
        <v>133133</v>
      </c>
      <c r="F1943" s="20" t="n">
        <v>648950</v>
      </c>
    </row>
    <row r="1944" customFormat="false" ht="15" hidden="false" customHeight="false" outlineLevel="0" collapsed="false">
      <c r="A1944" s="22" t="n">
        <v>46151</v>
      </c>
      <c r="B1944" s="19" t="s">
        <v>51</v>
      </c>
      <c r="C1944" s="19" t="s">
        <v>13</v>
      </c>
      <c r="D1944" s="19" t="s">
        <v>136</v>
      </c>
      <c r="E1944" s="20" t="n">
        <v>649928</v>
      </c>
      <c r="F1944" s="20" t="n">
        <v>3095321</v>
      </c>
    </row>
    <row r="1945" customFormat="false" ht="15" hidden="false" customHeight="false" outlineLevel="0" collapsed="false">
      <c r="A1945" s="22" t="n">
        <v>46152</v>
      </c>
      <c r="B1945" s="19" t="s">
        <v>51</v>
      </c>
      <c r="C1945" s="19" t="s">
        <v>14</v>
      </c>
      <c r="D1945" s="19" t="s">
        <v>73</v>
      </c>
      <c r="E1945" s="20" t="n">
        <v>69458</v>
      </c>
      <c r="F1945" s="20" t="n">
        <v>344470</v>
      </c>
    </row>
    <row r="1946" customFormat="false" ht="15" hidden="false" customHeight="false" outlineLevel="0" collapsed="false">
      <c r="A1946" s="22" t="n">
        <v>46152</v>
      </c>
      <c r="B1946" s="19" t="s">
        <v>51</v>
      </c>
      <c r="C1946" s="19" t="s">
        <v>12</v>
      </c>
      <c r="D1946" s="19" t="s">
        <v>138</v>
      </c>
      <c r="E1946" s="20" t="n">
        <v>20263</v>
      </c>
      <c r="F1946" s="20" t="n">
        <v>0</v>
      </c>
    </row>
    <row r="1947" customFormat="false" ht="15" hidden="false" customHeight="false" outlineLevel="0" collapsed="false">
      <c r="A1947" s="22" t="n">
        <v>46152</v>
      </c>
      <c r="B1947" s="19" t="s">
        <v>51</v>
      </c>
      <c r="C1947" s="19" t="s">
        <v>16</v>
      </c>
      <c r="D1947" s="19" t="s">
        <v>140</v>
      </c>
      <c r="E1947" s="20" t="n">
        <v>74624</v>
      </c>
      <c r="F1947" s="20" t="n">
        <v>441661</v>
      </c>
    </row>
    <row r="1948" customFormat="false" ht="15" hidden="false" customHeight="false" outlineLevel="0" collapsed="false">
      <c r="A1948" s="22" t="n">
        <v>46152</v>
      </c>
      <c r="B1948" s="19" t="s">
        <v>51</v>
      </c>
      <c r="C1948" s="19" t="s">
        <v>16</v>
      </c>
      <c r="D1948" s="19" t="s">
        <v>139</v>
      </c>
      <c r="E1948" s="20" t="n">
        <v>426063</v>
      </c>
      <c r="F1948" s="20" t="n">
        <v>2025150</v>
      </c>
    </row>
    <row r="1949" customFormat="false" ht="15" hidden="false" customHeight="false" outlineLevel="0" collapsed="false">
      <c r="A1949" s="22" t="n">
        <v>46152</v>
      </c>
      <c r="B1949" s="19" t="s">
        <v>51</v>
      </c>
      <c r="C1949" s="19" t="s">
        <v>70</v>
      </c>
      <c r="D1949" s="19" t="s">
        <v>133</v>
      </c>
      <c r="E1949" s="20" t="n">
        <v>78879</v>
      </c>
      <c r="F1949" s="20" t="n">
        <v>199000</v>
      </c>
    </row>
    <row r="1950" customFormat="false" ht="15" hidden="false" customHeight="false" outlineLevel="0" collapsed="false">
      <c r="A1950" s="22" t="n">
        <v>46152</v>
      </c>
      <c r="B1950" s="19" t="s">
        <v>51</v>
      </c>
      <c r="C1950" s="19" t="s">
        <v>12</v>
      </c>
      <c r="D1950" s="19" t="s">
        <v>141</v>
      </c>
      <c r="E1950" s="20" t="n">
        <v>39973</v>
      </c>
      <c r="F1950" s="20" t="n">
        <v>0</v>
      </c>
    </row>
    <row r="1951" customFormat="false" ht="15" hidden="false" customHeight="false" outlineLevel="0" collapsed="false">
      <c r="A1951" s="22" t="n">
        <v>46152</v>
      </c>
      <c r="B1951" s="19" t="s">
        <v>51</v>
      </c>
      <c r="C1951" s="19" t="s">
        <v>16</v>
      </c>
      <c r="D1951" s="19" t="s">
        <v>82</v>
      </c>
      <c r="E1951" s="20" t="n">
        <v>11313</v>
      </c>
      <c r="F1951" s="20" t="n">
        <v>0</v>
      </c>
    </row>
    <row r="1952" customFormat="false" ht="15" hidden="false" customHeight="false" outlineLevel="0" collapsed="false">
      <c r="A1952" s="22" t="n">
        <v>46152</v>
      </c>
      <c r="B1952" s="19" t="s">
        <v>51</v>
      </c>
      <c r="C1952" s="19" t="s">
        <v>12</v>
      </c>
      <c r="D1952" s="19" t="s">
        <v>122</v>
      </c>
      <c r="E1952" s="20" t="n">
        <v>12799</v>
      </c>
      <c r="F1952" s="20" t="n">
        <v>0</v>
      </c>
    </row>
    <row r="1953" customFormat="false" ht="15" hidden="false" customHeight="false" outlineLevel="0" collapsed="false">
      <c r="A1953" s="22" t="n">
        <v>46152</v>
      </c>
      <c r="B1953" s="19" t="s">
        <v>51</v>
      </c>
      <c r="C1953" s="19" t="s">
        <v>12</v>
      </c>
      <c r="D1953" s="19" t="s">
        <v>126</v>
      </c>
      <c r="E1953" s="20" t="n">
        <v>386634</v>
      </c>
      <c r="F1953" s="20" t="n">
        <v>1985598</v>
      </c>
    </row>
    <row r="1954" customFormat="false" ht="15" hidden="false" customHeight="false" outlineLevel="0" collapsed="false">
      <c r="A1954" s="22" t="n">
        <v>46152</v>
      </c>
      <c r="B1954" s="19" t="s">
        <v>51</v>
      </c>
      <c r="C1954" s="19" t="s">
        <v>12</v>
      </c>
      <c r="D1954" s="19" t="s">
        <v>137</v>
      </c>
      <c r="E1954" s="20" t="n">
        <v>164474</v>
      </c>
      <c r="F1954" s="20" t="n">
        <v>610900</v>
      </c>
    </row>
    <row r="1955" customFormat="false" ht="15" hidden="false" customHeight="false" outlineLevel="0" collapsed="false">
      <c r="A1955" s="22" t="n">
        <v>46152</v>
      </c>
      <c r="B1955" s="19" t="s">
        <v>51</v>
      </c>
      <c r="C1955" s="19" t="s">
        <v>12</v>
      </c>
      <c r="D1955" s="19" t="s">
        <v>131</v>
      </c>
      <c r="E1955" s="20" t="n">
        <v>157942</v>
      </c>
      <c r="F1955" s="20" t="n">
        <v>283200</v>
      </c>
    </row>
    <row r="1956" customFormat="false" ht="15" hidden="false" customHeight="false" outlineLevel="0" collapsed="false">
      <c r="A1956" s="22" t="n">
        <v>46153</v>
      </c>
      <c r="B1956" s="19" t="s">
        <v>51</v>
      </c>
      <c r="C1956" s="19" t="s">
        <v>14</v>
      </c>
      <c r="D1956" s="19" t="s">
        <v>73</v>
      </c>
      <c r="E1956" s="20" t="n">
        <v>174646</v>
      </c>
      <c r="F1956" s="20" t="n">
        <v>809420</v>
      </c>
    </row>
    <row r="1957" customFormat="false" ht="15" hidden="false" customHeight="false" outlineLevel="0" collapsed="false">
      <c r="A1957" s="22" t="n">
        <v>46153</v>
      </c>
      <c r="B1957" s="19" t="s">
        <v>51</v>
      </c>
      <c r="C1957" s="19" t="s">
        <v>12</v>
      </c>
      <c r="D1957" s="19" t="s">
        <v>138</v>
      </c>
      <c r="E1957" s="20" t="n">
        <v>41248</v>
      </c>
      <c r="F1957" s="20" t="n">
        <v>168780</v>
      </c>
    </row>
    <row r="1958" customFormat="false" ht="15" hidden="false" customHeight="false" outlineLevel="0" collapsed="false">
      <c r="A1958" s="22" t="n">
        <v>46153</v>
      </c>
      <c r="B1958" s="19" t="s">
        <v>51</v>
      </c>
      <c r="C1958" s="19" t="s">
        <v>16</v>
      </c>
      <c r="D1958" s="19" t="s">
        <v>140</v>
      </c>
      <c r="E1958" s="20" t="n">
        <v>200000</v>
      </c>
      <c r="F1958" s="20" t="n">
        <v>1178152</v>
      </c>
    </row>
    <row r="1959" customFormat="false" ht="15" hidden="false" customHeight="false" outlineLevel="0" collapsed="false">
      <c r="A1959" s="22" t="n">
        <v>46153</v>
      </c>
      <c r="B1959" s="19" t="s">
        <v>51</v>
      </c>
      <c r="C1959" s="19" t="s">
        <v>16</v>
      </c>
      <c r="D1959" s="19" t="s">
        <v>82</v>
      </c>
      <c r="E1959" s="20" t="n">
        <v>270997</v>
      </c>
      <c r="F1959" s="20" t="n">
        <v>1225032</v>
      </c>
    </row>
    <row r="1960" customFormat="false" ht="15" hidden="false" customHeight="false" outlineLevel="0" collapsed="false">
      <c r="A1960" s="22" t="n">
        <v>46153</v>
      </c>
      <c r="B1960" s="19" t="s">
        <v>51</v>
      </c>
      <c r="C1960" s="19" t="s">
        <v>12</v>
      </c>
      <c r="D1960" s="19" t="s">
        <v>141</v>
      </c>
      <c r="E1960" s="20" t="n">
        <v>263883</v>
      </c>
      <c r="F1960" s="20" t="n">
        <v>612221</v>
      </c>
    </row>
    <row r="1961" customFormat="false" ht="15" hidden="false" customHeight="false" outlineLevel="0" collapsed="false">
      <c r="A1961" s="22" t="n">
        <v>46153</v>
      </c>
      <c r="B1961" s="19" t="s">
        <v>51</v>
      </c>
      <c r="C1961" s="19" t="s">
        <v>16</v>
      </c>
      <c r="D1961" s="19" t="s">
        <v>139</v>
      </c>
      <c r="E1961" s="20" t="n">
        <v>40574</v>
      </c>
      <c r="F1961" s="20" t="n">
        <v>0</v>
      </c>
    </row>
    <row r="1962" customFormat="false" ht="15" hidden="false" customHeight="false" outlineLevel="0" collapsed="false">
      <c r="A1962" s="22" t="n">
        <v>46153</v>
      </c>
      <c r="B1962" s="19" t="s">
        <v>51</v>
      </c>
      <c r="C1962" s="19" t="s">
        <v>70</v>
      </c>
      <c r="D1962" s="19" t="s">
        <v>133</v>
      </c>
      <c r="E1962" s="20" t="n">
        <v>11551</v>
      </c>
      <c r="F1962" s="20" t="n">
        <v>0</v>
      </c>
    </row>
    <row r="1963" customFormat="false" ht="15" hidden="false" customHeight="false" outlineLevel="0" collapsed="false">
      <c r="A1963" s="22" t="n">
        <v>46153</v>
      </c>
      <c r="B1963" s="19" t="s">
        <v>51</v>
      </c>
      <c r="C1963" s="19" t="s">
        <v>12</v>
      </c>
      <c r="D1963" s="19" t="s">
        <v>122</v>
      </c>
      <c r="E1963" s="20" t="n">
        <v>151716</v>
      </c>
      <c r="F1963" s="20" t="n">
        <v>778090</v>
      </c>
    </row>
    <row r="1964" customFormat="false" ht="15" hidden="false" customHeight="false" outlineLevel="0" collapsed="false">
      <c r="A1964" s="22" t="n">
        <v>46154</v>
      </c>
      <c r="B1964" s="19" t="s">
        <v>51</v>
      </c>
      <c r="C1964" s="19" t="s">
        <v>14</v>
      </c>
      <c r="D1964" s="19" t="s">
        <v>73</v>
      </c>
      <c r="E1964" s="20" t="n">
        <v>207702</v>
      </c>
      <c r="F1964" s="20" t="n">
        <v>945100</v>
      </c>
    </row>
    <row r="1965" customFormat="false" ht="15" hidden="false" customHeight="false" outlineLevel="0" collapsed="false">
      <c r="A1965" s="22" t="n">
        <v>46154</v>
      </c>
      <c r="B1965" s="19" t="s">
        <v>51</v>
      </c>
      <c r="C1965" s="19" t="s">
        <v>12</v>
      </c>
      <c r="D1965" s="19" t="s">
        <v>138</v>
      </c>
      <c r="E1965" s="20" t="n">
        <v>2202</v>
      </c>
      <c r="F1965" s="20" t="n">
        <v>0</v>
      </c>
    </row>
    <row r="1966" customFormat="false" ht="15" hidden="false" customHeight="false" outlineLevel="0" collapsed="false">
      <c r="A1966" s="22" t="n">
        <v>46154</v>
      </c>
      <c r="B1966" s="19" t="s">
        <v>51</v>
      </c>
      <c r="C1966" s="19" t="s">
        <v>14</v>
      </c>
      <c r="D1966" s="19" t="s">
        <v>142</v>
      </c>
      <c r="E1966" s="20" t="n">
        <v>51084</v>
      </c>
      <c r="F1966" s="20" t="n">
        <v>0</v>
      </c>
    </row>
    <row r="1967" customFormat="false" ht="15" hidden="false" customHeight="false" outlineLevel="0" collapsed="false">
      <c r="A1967" s="22" t="n">
        <v>46154</v>
      </c>
      <c r="B1967" s="19" t="s">
        <v>51</v>
      </c>
      <c r="C1967" s="19" t="s">
        <v>16</v>
      </c>
      <c r="D1967" s="19" t="s">
        <v>140</v>
      </c>
      <c r="E1967" s="20" t="n">
        <v>148804</v>
      </c>
      <c r="F1967" s="20" t="n">
        <v>801304</v>
      </c>
    </row>
    <row r="1968" customFormat="false" ht="15" hidden="false" customHeight="false" outlineLevel="0" collapsed="false">
      <c r="A1968" s="22" t="n">
        <v>46154</v>
      </c>
      <c r="B1968" s="19" t="s">
        <v>51</v>
      </c>
      <c r="C1968" s="19" t="s">
        <v>16</v>
      </c>
      <c r="D1968" s="19" t="s">
        <v>82</v>
      </c>
      <c r="E1968" s="20" t="n">
        <v>227100</v>
      </c>
      <c r="F1968" s="20" t="n">
        <v>1245821</v>
      </c>
    </row>
    <row r="1969" customFormat="false" ht="15" hidden="false" customHeight="false" outlineLevel="0" collapsed="false">
      <c r="A1969" s="22" t="n">
        <v>46154</v>
      </c>
      <c r="B1969" s="19" t="s">
        <v>51</v>
      </c>
      <c r="C1969" s="19" t="s">
        <v>12</v>
      </c>
      <c r="D1969" s="19" t="s">
        <v>141</v>
      </c>
      <c r="E1969" s="20" t="n">
        <v>134245</v>
      </c>
      <c r="F1969" s="20" t="n">
        <v>750450</v>
      </c>
    </row>
    <row r="1970" customFormat="false" ht="15" hidden="false" customHeight="false" outlineLevel="0" collapsed="false">
      <c r="A1970" s="22" t="n">
        <v>46154</v>
      </c>
      <c r="B1970" s="19" t="s">
        <v>51</v>
      </c>
      <c r="C1970" s="19" t="s">
        <v>16</v>
      </c>
      <c r="D1970" s="19" t="s">
        <v>74</v>
      </c>
      <c r="E1970" s="20" t="n">
        <v>63829</v>
      </c>
      <c r="F1970" s="20" t="n">
        <v>0</v>
      </c>
    </row>
    <row r="1971" customFormat="false" ht="15" hidden="false" customHeight="false" outlineLevel="0" collapsed="false">
      <c r="A1971" s="22" t="n">
        <v>46154</v>
      </c>
      <c r="B1971" s="19" t="s">
        <v>51</v>
      </c>
      <c r="C1971" s="19" t="s">
        <v>70</v>
      </c>
      <c r="D1971" s="19" t="s">
        <v>133</v>
      </c>
      <c r="E1971" s="20" t="n">
        <v>73455</v>
      </c>
      <c r="F1971" s="20" t="n">
        <v>212600</v>
      </c>
    </row>
    <row r="1972" customFormat="false" ht="15" hidden="false" customHeight="false" outlineLevel="0" collapsed="false">
      <c r="A1972" s="22" t="n">
        <v>46154</v>
      </c>
      <c r="B1972" s="19" t="s">
        <v>51</v>
      </c>
      <c r="C1972" s="19" t="s">
        <v>16</v>
      </c>
      <c r="D1972" s="19" t="s">
        <v>139</v>
      </c>
      <c r="E1972" s="20" t="n">
        <v>14708</v>
      </c>
      <c r="F1972" s="20" t="n">
        <v>0</v>
      </c>
    </row>
    <row r="1973" customFormat="false" ht="15" hidden="false" customHeight="false" outlineLevel="0" collapsed="false">
      <c r="A1973" s="22" t="n">
        <v>46154</v>
      </c>
      <c r="B1973" s="19" t="s">
        <v>51</v>
      </c>
      <c r="C1973" s="19" t="s">
        <v>70</v>
      </c>
      <c r="D1973" s="19" t="s">
        <v>90</v>
      </c>
      <c r="E1973" s="20" t="n">
        <v>32269</v>
      </c>
      <c r="F1973" s="20" t="n">
        <v>0</v>
      </c>
    </row>
    <row r="1974" customFormat="false" ht="15" hidden="false" customHeight="false" outlineLevel="0" collapsed="false">
      <c r="A1974" s="22" t="n">
        <v>46154</v>
      </c>
      <c r="B1974" s="19" t="s">
        <v>51</v>
      </c>
      <c r="C1974" s="19" t="s">
        <v>16</v>
      </c>
      <c r="D1974" s="19" t="s">
        <v>86</v>
      </c>
      <c r="E1974" s="20" t="n">
        <v>40246</v>
      </c>
      <c r="F1974" s="20" t="n">
        <v>0</v>
      </c>
    </row>
    <row r="1975" customFormat="false" ht="15" hidden="false" customHeight="false" outlineLevel="0" collapsed="false">
      <c r="A1975" s="22" t="n">
        <v>46154</v>
      </c>
      <c r="B1975" s="19" t="s">
        <v>51</v>
      </c>
      <c r="C1975" s="19" t="s">
        <v>70</v>
      </c>
      <c r="D1975" s="19" t="s">
        <v>92</v>
      </c>
      <c r="E1975" s="20" t="n">
        <v>1312</v>
      </c>
      <c r="F1975" s="20" t="n">
        <v>0</v>
      </c>
    </row>
    <row r="1976" customFormat="false" ht="15" hidden="false" customHeight="false" outlineLevel="0" collapsed="false">
      <c r="A1976" s="22" t="n">
        <v>46154</v>
      </c>
      <c r="B1976" s="19" t="s">
        <v>51</v>
      </c>
      <c r="C1976" s="19" t="s">
        <v>14</v>
      </c>
      <c r="D1976" s="19" t="s">
        <v>143</v>
      </c>
      <c r="E1976" s="20" t="n">
        <v>7138</v>
      </c>
      <c r="F1976" s="20" t="n">
        <v>0</v>
      </c>
    </row>
    <row r="1977" customFormat="false" ht="15" hidden="false" customHeight="false" outlineLevel="0" collapsed="false">
      <c r="A1977" s="22" t="n">
        <v>46154</v>
      </c>
      <c r="B1977" s="19" t="s">
        <v>51</v>
      </c>
      <c r="C1977" s="19" t="s">
        <v>12</v>
      </c>
      <c r="D1977" s="19" t="s">
        <v>122</v>
      </c>
      <c r="E1977" s="20" t="n">
        <v>43867</v>
      </c>
      <c r="F1977" s="20" t="n">
        <v>193030</v>
      </c>
    </row>
    <row r="1978" customFormat="false" ht="15" hidden="false" customHeight="false" outlineLevel="0" collapsed="false">
      <c r="A1978" s="22" t="n">
        <v>46154</v>
      </c>
      <c r="B1978" s="19" t="s">
        <v>51</v>
      </c>
      <c r="C1978" s="19" t="s">
        <v>12</v>
      </c>
      <c r="D1978" s="19" t="s">
        <v>126</v>
      </c>
      <c r="E1978" s="20" t="n">
        <v>183948</v>
      </c>
      <c r="F1978" s="20" t="n">
        <v>946549</v>
      </c>
    </row>
    <row r="1979" customFormat="false" ht="15" hidden="false" customHeight="false" outlineLevel="0" collapsed="false">
      <c r="A1979" s="22" t="n">
        <v>46155</v>
      </c>
      <c r="B1979" s="19" t="s">
        <v>51</v>
      </c>
      <c r="C1979" s="19" t="s">
        <v>14</v>
      </c>
      <c r="D1979" s="19" t="s">
        <v>73</v>
      </c>
      <c r="E1979" s="20" t="n">
        <v>53669</v>
      </c>
      <c r="F1979" s="20" t="n">
        <v>195030</v>
      </c>
    </row>
    <row r="1980" customFormat="false" ht="15" hidden="false" customHeight="false" outlineLevel="0" collapsed="false">
      <c r="A1980" s="22" t="n">
        <v>46155</v>
      </c>
      <c r="B1980" s="19" t="s">
        <v>51</v>
      </c>
      <c r="C1980" s="19" t="s">
        <v>14</v>
      </c>
      <c r="D1980" s="19" t="s">
        <v>142</v>
      </c>
      <c r="E1980" s="20" t="n">
        <v>37250</v>
      </c>
      <c r="F1980" s="20" t="n">
        <v>296520</v>
      </c>
    </row>
    <row r="1981" customFormat="false" ht="15" hidden="false" customHeight="false" outlineLevel="0" collapsed="false">
      <c r="A1981" s="22" t="n">
        <v>46155</v>
      </c>
      <c r="B1981" s="19" t="s">
        <v>51</v>
      </c>
      <c r="C1981" s="19" t="s">
        <v>12</v>
      </c>
      <c r="D1981" s="19" t="s">
        <v>138</v>
      </c>
      <c r="E1981" s="20" t="n">
        <v>1286</v>
      </c>
      <c r="F1981" s="20" t="n">
        <v>0</v>
      </c>
    </row>
    <row r="1982" customFormat="false" ht="15" hidden="false" customHeight="false" outlineLevel="0" collapsed="false">
      <c r="A1982" s="22" t="n">
        <v>46155</v>
      </c>
      <c r="B1982" s="19" t="s">
        <v>51</v>
      </c>
      <c r="C1982" s="19" t="s">
        <v>16</v>
      </c>
      <c r="D1982" s="19" t="s">
        <v>140</v>
      </c>
      <c r="E1982" s="20" t="n">
        <v>43089</v>
      </c>
      <c r="F1982" s="20" t="n">
        <v>102294</v>
      </c>
    </row>
    <row r="1983" customFormat="false" ht="15" hidden="false" customHeight="false" outlineLevel="0" collapsed="false">
      <c r="A1983" s="22" t="n">
        <v>46155</v>
      </c>
      <c r="B1983" s="19" t="s">
        <v>51</v>
      </c>
      <c r="C1983" s="19" t="s">
        <v>16</v>
      </c>
      <c r="D1983" s="19" t="s">
        <v>74</v>
      </c>
      <c r="E1983" s="20" t="n">
        <v>161302</v>
      </c>
      <c r="F1983" s="20" t="n">
        <v>788900</v>
      </c>
    </row>
    <row r="1984" customFormat="false" ht="15" hidden="false" customHeight="false" outlineLevel="0" collapsed="false">
      <c r="A1984" s="22" t="n">
        <v>46155</v>
      </c>
      <c r="B1984" s="19" t="s">
        <v>51</v>
      </c>
      <c r="C1984" s="19" t="s">
        <v>12</v>
      </c>
      <c r="D1984" s="19" t="s">
        <v>141</v>
      </c>
      <c r="E1984" s="20" t="n">
        <v>217096</v>
      </c>
      <c r="F1984" s="20" t="n">
        <v>1141680</v>
      </c>
    </row>
    <row r="1985" customFormat="false" ht="15" hidden="false" customHeight="false" outlineLevel="0" collapsed="false">
      <c r="A1985" s="22" t="n">
        <v>46155</v>
      </c>
      <c r="B1985" s="19" t="s">
        <v>51</v>
      </c>
      <c r="C1985" s="19" t="s">
        <v>16</v>
      </c>
      <c r="D1985" s="19" t="s">
        <v>82</v>
      </c>
      <c r="E1985" s="20" t="n">
        <v>120656</v>
      </c>
      <c r="F1985" s="20" t="n">
        <v>593321</v>
      </c>
    </row>
    <row r="1986" customFormat="false" ht="15" hidden="false" customHeight="false" outlineLevel="0" collapsed="false">
      <c r="A1986" s="22" t="n">
        <v>46155</v>
      </c>
      <c r="B1986" s="19" t="s">
        <v>51</v>
      </c>
      <c r="C1986" s="19" t="s">
        <v>70</v>
      </c>
      <c r="D1986" s="19" t="s">
        <v>90</v>
      </c>
      <c r="E1986" s="20" t="n">
        <v>117254</v>
      </c>
      <c r="F1986" s="20" t="n">
        <v>0</v>
      </c>
    </row>
    <row r="1987" customFormat="false" ht="15" hidden="false" customHeight="false" outlineLevel="0" collapsed="false">
      <c r="A1987" s="22" t="n">
        <v>46155</v>
      </c>
      <c r="B1987" s="19" t="s">
        <v>51</v>
      </c>
      <c r="C1987" s="19" t="s">
        <v>16</v>
      </c>
      <c r="D1987" s="19" t="s">
        <v>86</v>
      </c>
      <c r="E1987" s="20" t="n">
        <v>21304</v>
      </c>
      <c r="F1987" s="20" t="n">
        <v>704450</v>
      </c>
    </row>
    <row r="1988" customFormat="false" ht="15" hidden="false" customHeight="false" outlineLevel="0" collapsed="false">
      <c r="A1988" s="22" t="n">
        <v>46155</v>
      </c>
      <c r="B1988" s="19" t="s">
        <v>51</v>
      </c>
      <c r="C1988" s="19" t="s">
        <v>70</v>
      </c>
      <c r="D1988" s="19" t="s">
        <v>92</v>
      </c>
      <c r="E1988" s="20" t="n">
        <v>3400</v>
      </c>
      <c r="F1988" s="20" t="n">
        <v>94300</v>
      </c>
    </row>
    <row r="1989" customFormat="false" ht="15" hidden="false" customHeight="false" outlineLevel="0" collapsed="false">
      <c r="A1989" s="22" t="n">
        <v>46155</v>
      </c>
      <c r="B1989" s="19" t="s">
        <v>51</v>
      </c>
      <c r="C1989" s="19" t="s">
        <v>70</v>
      </c>
      <c r="D1989" s="19" t="s">
        <v>133</v>
      </c>
      <c r="E1989" s="20" t="n">
        <v>8292</v>
      </c>
      <c r="F1989" s="20" t="n">
        <v>0</v>
      </c>
    </row>
    <row r="1990" customFormat="false" ht="15" hidden="false" customHeight="false" outlineLevel="0" collapsed="false">
      <c r="A1990" s="22" t="n">
        <v>46155</v>
      </c>
      <c r="B1990" s="19" t="s">
        <v>51</v>
      </c>
      <c r="C1990" s="19" t="s">
        <v>14</v>
      </c>
      <c r="D1990" s="19" t="s">
        <v>143</v>
      </c>
      <c r="E1990" s="20" t="n">
        <v>8097</v>
      </c>
      <c r="F1990" s="20" t="n">
        <v>0</v>
      </c>
    </row>
    <row r="1991" customFormat="false" ht="15" hidden="false" customHeight="false" outlineLevel="0" collapsed="false">
      <c r="A1991" s="22" t="n">
        <v>46155</v>
      </c>
      <c r="B1991" s="19" t="s">
        <v>51</v>
      </c>
      <c r="C1991" s="19" t="s">
        <v>12</v>
      </c>
      <c r="D1991" s="19" t="s">
        <v>122</v>
      </c>
      <c r="E1991" s="20" t="n">
        <v>65241</v>
      </c>
      <c r="F1991" s="20" t="n">
        <v>193030</v>
      </c>
    </row>
    <row r="1992" customFormat="false" ht="15" hidden="false" customHeight="false" outlineLevel="0" collapsed="false">
      <c r="A1992" s="22" t="n">
        <v>46155</v>
      </c>
      <c r="B1992" s="19" t="s">
        <v>51</v>
      </c>
      <c r="C1992" s="19" t="s">
        <v>12</v>
      </c>
      <c r="D1992" s="19" t="s">
        <v>126</v>
      </c>
      <c r="E1992" s="20" t="n">
        <v>400000</v>
      </c>
      <c r="F1992" s="20" t="n">
        <v>6296069</v>
      </c>
    </row>
    <row r="1993" customFormat="false" ht="15" hidden="false" customHeight="false" outlineLevel="0" collapsed="false">
      <c r="A1993" s="22" t="n">
        <v>46156</v>
      </c>
      <c r="B1993" s="19" t="s">
        <v>51</v>
      </c>
      <c r="C1993" s="19" t="s">
        <v>14</v>
      </c>
      <c r="D1993" s="19" t="s">
        <v>73</v>
      </c>
      <c r="E1993" s="20" t="n">
        <v>41890</v>
      </c>
      <c r="F1993" s="20" t="n">
        <v>168000</v>
      </c>
    </row>
    <row r="1994" customFormat="false" ht="15" hidden="false" customHeight="false" outlineLevel="0" collapsed="false">
      <c r="A1994" s="22" t="n">
        <v>46156</v>
      </c>
      <c r="B1994" s="19" t="s">
        <v>51</v>
      </c>
      <c r="C1994" s="19" t="s">
        <v>14</v>
      </c>
      <c r="D1994" s="19" t="s">
        <v>142</v>
      </c>
      <c r="E1994" s="20" t="n">
        <v>32750</v>
      </c>
      <c r="F1994" s="20" t="n">
        <v>0</v>
      </c>
    </row>
    <row r="1995" customFormat="false" ht="15" hidden="false" customHeight="false" outlineLevel="0" collapsed="false">
      <c r="A1995" s="22" t="n">
        <v>46156</v>
      </c>
      <c r="B1995" s="19" t="s">
        <v>51</v>
      </c>
      <c r="C1995" s="19" t="s">
        <v>12</v>
      </c>
      <c r="D1995" s="19" t="s">
        <v>138</v>
      </c>
      <c r="E1995" s="20" t="n">
        <v>21781</v>
      </c>
      <c r="F1995" s="20" t="n">
        <v>0</v>
      </c>
    </row>
    <row r="1996" customFormat="false" ht="15" hidden="false" customHeight="false" outlineLevel="0" collapsed="false">
      <c r="A1996" s="22" t="n">
        <v>46156</v>
      </c>
      <c r="B1996" s="19" t="s">
        <v>51</v>
      </c>
      <c r="C1996" s="19" t="s">
        <v>16</v>
      </c>
      <c r="D1996" s="19" t="s">
        <v>82</v>
      </c>
      <c r="E1996" s="20" t="n">
        <v>326592</v>
      </c>
      <c r="F1996" s="20" t="n">
        <v>1557621</v>
      </c>
    </row>
    <row r="1997" customFormat="false" ht="15" hidden="false" customHeight="false" outlineLevel="0" collapsed="false">
      <c r="A1997" s="22" t="n">
        <v>46156</v>
      </c>
      <c r="B1997" s="19" t="s">
        <v>51</v>
      </c>
      <c r="C1997" s="19" t="s">
        <v>16</v>
      </c>
      <c r="D1997" s="19" t="s">
        <v>140</v>
      </c>
      <c r="E1997" s="20" t="n">
        <v>79136</v>
      </c>
      <c r="F1997" s="20" t="n">
        <v>436888</v>
      </c>
    </row>
    <row r="1998" customFormat="false" ht="15" hidden="false" customHeight="false" outlineLevel="0" collapsed="false">
      <c r="A1998" s="22" t="n">
        <v>46156</v>
      </c>
      <c r="B1998" s="19" t="s">
        <v>51</v>
      </c>
      <c r="C1998" s="19" t="s">
        <v>12</v>
      </c>
      <c r="D1998" s="19" t="s">
        <v>141</v>
      </c>
      <c r="E1998" s="20" t="n">
        <v>246382</v>
      </c>
      <c r="F1998" s="20" t="n">
        <v>973860</v>
      </c>
    </row>
    <row r="1999" customFormat="false" ht="15" hidden="false" customHeight="false" outlineLevel="0" collapsed="false">
      <c r="A1999" s="22" t="n">
        <v>46156</v>
      </c>
      <c r="B1999" s="19" t="s">
        <v>51</v>
      </c>
      <c r="C1999" s="19" t="s">
        <v>16</v>
      </c>
      <c r="D1999" s="19" t="s">
        <v>74</v>
      </c>
      <c r="E1999" s="20" t="n">
        <v>78315</v>
      </c>
      <c r="F1999" s="20" t="n">
        <v>290321</v>
      </c>
    </row>
    <row r="2000" customFormat="false" ht="15" hidden="false" customHeight="false" outlineLevel="0" collapsed="false">
      <c r="A2000" s="22" t="n">
        <v>46156</v>
      </c>
      <c r="B2000" s="19" t="s">
        <v>51</v>
      </c>
      <c r="C2000" s="19" t="s">
        <v>70</v>
      </c>
      <c r="D2000" s="19" t="s">
        <v>90</v>
      </c>
      <c r="E2000" s="20" t="n">
        <v>125806</v>
      </c>
      <c r="F2000" s="20" t="n">
        <v>188600</v>
      </c>
    </row>
    <row r="2001" customFormat="false" ht="15" hidden="false" customHeight="false" outlineLevel="0" collapsed="false">
      <c r="A2001" s="22" t="n">
        <v>46156</v>
      </c>
      <c r="B2001" s="19" t="s">
        <v>51</v>
      </c>
      <c r="C2001" s="19" t="s">
        <v>70</v>
      </c>
      <c r="D2001" s="19" t="s">
        <v>92</v>
      </c>
      <c r="E2001" s="20" t="n">
        <v>4889</v>
      </c>
      <c r="F2001" s="20" t="n">
        <v>0</v>
      </c>
    </row>
    <row r="2002" customFormat="false" ht="15" hidden="false" customHeight="false" outlineLevel="0" collapsed="false">
      <c r="A2002" s="22" t="n">
        <v>46156</v>
      </c>
      <c r="B2002" s="19" t="s">
        <v>51</v>
      </c>
      <c r="C2002" s="19" t="s">
        <v>70</v>
      </c>
      <c r="D2002" s="19" t="s">
        <v>133</v>
      </c>
      <c r="E2002" s="20" t="n">
        <v>30734</v>
      </c>
      <c r="F2002" s="20" t="n">
        <v>94300</v>
      </c>
    </row>
    <row r="2003" customFormat="false" ht="15" hidden="false" customHeight="false" outlineLevel="0" collapsed="false">
      <c r="A2003" s="22" t="n">
        <v>46156</v>
      </c>
      <c r="B2003" s="19" t="s">
        <v>51</v>
      </c>
      <c r="C2003" s="19" t="s">
        <v>16</v>
      </c>
      <c r="D2003" s="19" t="s">
        <v>86</v>
      </c>
      <c r="E2003" s="20" t="n">
        <v>16949</v>
      </c>
      <c r="F2003" s="20" t="n">
        <v>0</v>
      </c>
    </row>
    <row r="2004" customFormat="false" ht="15" hidden="false" customHeight="false" outlineLevel="0" collapsed="false">
      <c r="A2004" s="22" t="n">
        <v>46156</v>
      </c>
      <c r="B2004" s="19" t="s">
        <v>51</v>
      </c>
      <c r="C2004" s="19" t="s">
        <v>14</v>
      </c>
      <c r="D2004" s="19" t="s">
        <v>143</v>
      </c>
      <c r="E2004" s="20" t="n">
        <v>11325</v>
      </c>
      <c r="F2004" s="20" t="n">
        <v>0</v>
      </c>
    </row>
    <row r="2005" customFormat="false" ht="15" hidden="false" customHeight="false" outlineLevel="0" collapsed="false">
      <c r="A2005" s="22" t="n">
        <v>46156</v>
      </c>
      <c r="B2005" s="19" t="s">
        <v>51</v>
      </c>
      <c r="C2005" s="19" t="s">
        <v>12</v>
      </c>
      <c r="D2005" s="19" t="s">
        <v>122</v>
      </c>
      <c r="E2005" s="20" t="n">
        <v>22377</v>
      </c>
      <c r="F2005" s="20" t="n">
        <v>0</v>
      </c>
    </row>
    <row r="2006" customFormat="false" ht="15" hidden="false" customHeight="false" outlineLevel="0" collapsed="false">
      <c r="A2006" s="22" t="n">
        <v>46156</v>
      </c>
      <c r="B2006" s="19" t="s">
        <v>51</v>
      </c>
      <c r="C2006" s="19" t="s">
        <v>12</v>
      </c>
      <c r="D2006" s="19" t="s">
        <v>126</v>
      </c>
      <c r="E2006" s="20" t="n">
        <v>400000</v>
      </c>
      <c r="F2006" s="20" t="n">
        <v>866425</v>
      </c>
    </row>
    <row r="2007" customFormat="false" ht="15" hidden="false" customHeight="false" outlineLevel="0" collapsed="false">
      <c r="A2007" s="22" t="n">
        <v>46157</v>
      </c>
      <c r="B2007" s="19" t="s">
        <v>51</v>
      </c>
      <c r="C2007" s="19" t="s">
        <v>12</v>
      </c>
      <c r="D2007" s="19" t="s">
        <v>138</v>
      </c>
      <c r="E2007" s="20" t="n">
        <v>193446</v>
      </c>
      <c r="F2007" s="20" t="n">
        <v>1018000</v>
      </c>
    </row>
    <row r="2008" customFormat="false" ht="15" hidden="false" customHeight="false" outlineLevel="0" collapsed="false">
      <c r="A2008" s="22" t="n">
        <v>46157</v>
      </c>
      <c r="B2008" s="19" t="s">
        <v>51</v>
      </c>
      <c r="C2008" s="19" t="s">
        <v>14</v>
      </c>
      <c r="D2008" s="19" t="s">
        <v>73</v>
      </c>
      <c r="E2008" s="20" t="n">
        <v>40339</v>
      </c>
      <c r="F2008" s="20" t="n">
        <v>157000</v>
      </c>
    </row>
    <row r="2009" customFormat="false" ht="15" hidden="false" customHeight="false" outlineLevel="0" collapsed="false">
      <c r="A2009" s="22" t="n">
        <v>46157</v>
      </c>
      <c r="B2009" s="19" t="s">
        <v>51</v>
      </c>
      <c r="C2009" s="19" t="s">
        <v>14</v>
      </c>
      <c r="D2009" s="19" t="s">
        <v>142</v>
      </c>
      <c r="E2009" s="20" t="n">
        <v>36909</v>
      </c>
      <c r="F2009" s="20" t="n">
        <v>301860</v>
      </c>
    </row>
    <row r="2010" customFormat="false" ht="15" hidden="false" customHeight="false" outlineLevel="0" collapsed="false">
      <c r="A2010" s="22" t="n">
        <v>46157</v>
      </c>
      <c r="B2010" s="19" t="s">
        <v>51</v>
      </c>
      <c r="C2010" s="19" t="s">
        <v>16</v>
      </c>
      <c r="D2010" s="19" t="s">
        <v>140</v>
      </c>
      <c r="E2010" s="20" t="n">
        <v>493571</v>
      </c>
      <c r="F2010" s="20" t="n">
        <v>2693920</v>
      </c>
    </row>
    <row r="2011" customFormat="false" ht="15" hidden="false" customHeight="false" outlineLevel="0" collapsed="false">
      <c r="A2011" s="22" t="n">
        <v>46157</v>
      </c>
      <c r="B2011" s="19" t="s">
        <v>51</v>
      </c>
      <c r="C2011" s="19" t="s">
        <v>12</v>
      </c>
      <c r="D2011" s="19" t="s">
        <v>141</v>
      </c>
      <c r="E2011" s="20" t="n">
        <v>200396</v>
      </c>
      <c r="F2011" s="20" t="n">
        <v>877900</v>
      </c>
    </row>
    <row r="2012" customFormat="false" ht="15" hidden="false" customHeight="false" outlineLevel="0" collapsed="false">
      <c r="A2012" s="22" t="n">
        <v>46157</v>
      </c>
      <c r="B2012" s="19" t="s">
        <v>51</v>
      </c>
      <c r="C2012" s="19" t="s">
        <v>70</v>
      </c>
      <c r="D2012" s="19" t="s">
        <v>90</v>
      </c>
      <c r="E2012" s="20" t="n">
        <v>128273</v>
      </c>
      <c r="F2012" s="20" t="n">
        <v>0</v>
      </c>
    </row>
    <row r="2013" customFormat="false" ht="15" hidden="false" customHeight="false" outlineLevel="0" collapsed="false">
      <c r="A2013" s="22" t="n">
        <v>46157</v>
      </c>
      <c r="B2013" s="19" t="s">
        <v>51</v>
      </c>
      <c r="C2013" s="19" t="s">
        <v>70</v>
      </c>
      <c r="D2013" s="19" t="s">
        <v>92</v>
      </c>
      <c r="E2013" s="20" t="n">
        <v>35729</v>
      </c>
      <c r="F2013" s="20" t="n">
        <v>0</v>
      </c>
    </row>
    <row r="2014" customFormat="false" ht="15" hidden="false" customHeight="false" outlineLevel="0" collapsed="false">
      <c r="A2014" s="22" t="n">
        <v>46157</v>
      </c>
      <c r="B2014" s="19" t="s">
        <v>51</v>
      </c>
      <c r="C2014" s="19" t="s">
        <v>16</v>
      </c>
      <c r="D2014" s="19" t="s">
        <v>82</v>
      </c>
      <c r="E2014" s="20" t="n">
        <v>50154</v>
      </c>
      <c r="F2014" s="20" t="n">
        <v>112100</v>
      </c>
    </row>
    <row r="2015" customFormat="false" ht="15" hidden="false" customHeight="false" outlineLevel="0" collapsed="false">
      <c r="A2015" s="22" t="n">
        <v>46157</v>
      </c>
      <c r="B2015" s="19" t="s">
        <v>51</v>
      </c>
      <c r="C2015" s="19" t="s">
        <v>16</v>
      </c>
      <c r="D2015" s="19" t="s">
        <v>74</v>
      </c>
      <c r="E2015" s="20" t="n">
        <v>135371</v>
      </c>
      <c r="F2015" s="20" t="n">
        <v>536500</v>
      </c>
    </row>
    <row r="2016" customFormat="false" ht="15" hidden="false" customHeight="false" outlineLevel="0" collapsed="false">
      <c r="A2016" s="22" t="n">
        <v>46157</v>
      </c>
      <c r="B2016" s="19" t="s">
        <v>51</v>
      </c>
      <c r="C2016" s="19" t="s">
        <v>16</v>
      </c>
      <c r="D2016" s="19" t="s">
        <v>86</v>
      </c>
      <c r="E2016" s="20" t="n">
        <v>31250</v>
      </c>
      <c r="F2016" s="20" t="n">
        <v>0</v>
      </c>
    </row>
    <row r="2017" customFormat="false" ht="15" hidden="false" customHeight="false" outlineLevel="0" collapsed="false">
      <c r="A2017" s="22" t="n">
        <v>46157</v>
      </c>
      <c r="B2017" s="19" t="s">
        <v>51</v>
      </c>
      <c r="C2017" s="19" t="s">
        <v>70</v>
      </c>
      <c r="D2017" s="19" t="s">
        <v>133</v>
      </c>
      <c r="E2017" s="20" t="n">
        <v>4173</v>
      </c>
      <c r="F2017" s="20" t="n">
        <v>0</v>
      </c>
    </row>
    <row r="2018" customFormat="false" ht="15" hidden="false" customHeight="false" outlineLevel="0" collapsed="false">
      <c r="A2018" s="22" t="n">
        <v>46157</v>
      </c>
      <c r="B2018" s="19" t="s">
        <v>51</v>
      </c>
      <c r="C2018" s="19" t="s">
        <v>14</v>
      </c>
      <c r="D2018" s="19" t="s">
        <v>143</v>
      </c>
      <c r="E2018" s="20" t="n">
        <v>20039</v>
      </c>
      <c r="F2018" s="20" t="n">
        <v>0</v>
      </c>
    </row>
    <row r="2019" customFormat="false" ht="15" hidden="false" customHeight="false" outlineLevel="0" collapsed="false">
      <c r="A2019" s="22" t="n">
        <v>46157</v>
      </c>
      <c r="B2019" s="19" t="s">
        <v>51</v>
      </c>
      <c r="C2019" s="19" t="s">
        <v>16</v>
      </c>
      <c r="D2019" s="19" t="s">
        <v>139</v>
      </c>
      <c r="E2019" s="20" t="n">
        <v>8707</v>
      </c>
      <c r="F2019" s="20" t="n">
        <v>0</v>
      </c>
    </row>
    <row r="2020" customFormat="false" ht="15" hidden="false" customHeight="false" outlineLevel="0" collapsed="false">
      <c r="A2020" s="22" t="n">
        <v>46157</v>
      </c>
      <c r="B2020" s="19" t="s">
        <v>51</v>
      </c>
      <c r="C2020" s="19" t="s">
        <v>12</v>
      </c>
      <c r="D2020" s="19" t="s">
        <v>122</v>
      </c>
      <c r="E2020" s="20" t="n">
        <v>38929</v>
      </c>
      <c r="F2020" s="20" t="n">
        <v>193030</v>
      </c>
    </row>
    <row r="2021" customFormat="false" ht="15" hidden="false" customHeight="false" outlineLevel="0" collapsed="false">
      <c r="A2021" s="22" t="n">
        <v>46157</v>
      </c>
      <c r="B2021" s="19" t="s">
        <v>51</v>
      </c>
      <c r="C2021" s="19" t="s">
        <v>12</v>
      </c>
      <c r="D2021" s="19" t="s">
        <v>126</v>
      </c>
      <c r="E2021" s="20" t="n">
        <v>400000</v>
      </c>
      <c r="F2021" s="20" t="n">
        <v>2369655</v>
      </c>
    </row>
    <row r="2022" customFormat="false" ht="15" hidden="false" customHeight="false" outlineLevel="0" collapsed="false">
      <c r="A2022" s="22" t="n">
        <v>46157</v>
      </c>
      <c r="B2022" s="19" t="s">
        <v>51</v>
      </c>
      <c r="C2022" s="19" t="s">
        <v>13</v>
      </c>
      <c r="D2022" s="19" t="s">
        <v>127</v>
      </c>
      <c r="E2022" s="20" t="n">
        <v>165940</v>
      </c>
      <c r="F2022" s="20" t="n">
        <v>530460</v>
      </c>
    </row>
    <row r="2023" customFormat="false" ht="15" hidden="false" customHeight="false" outlineLevel="0" collapsed="false">
      <c r="A2023" s="22" t="n">
        <v>46157</v>
      </c>
      <c r="B2023" s="19" t="s">
        <v>51</v>
      </c>
      <c r="C2023" s="19" t="s">
        <v>13</v>
      </c>
      <c r="D2023" s="19" t="s">
        <v>136</v>
      </c>
      <c r="E2023" s="20" t="n">
        <v>149104</v>
      </c>
      <c r="F2023" s="20" t="n">
        <v>773750</v>
      </c>
    </row>
    <row r="2024" customFormat="false" ht="15" hidden="false" customHeight="false" outlineLevel="0" collapsed="false">
      <c r="A2024" s="22" t="n">
        <v>46158</v>
      </c>
      <c r="B2024" s="19" t="s">
        <v>51</v>
      </c>
      <c r="C2024" s="19" t="s">
        <v>14</v>
      </c>
      <c r="D2024" s="19" t="s">
        <v>73</v>
      </c>
      <c r="E2024" s="20" t="n">
        <v>31531</v>
      </c>
      <c r="F2024" s="20" t="n">
        <v>138000</v>
      </c>
    </row>
    <row r="2025" customFormat="false" ht="15" hidden="false" customHeight="false" outlineLevel="0" collapsed="false">
      <c r="A2025" s="22" t="n">
        <v>46158</v>
      </c>
      <c r="B2025" s="19" t="s">
        <v>51</v>
      </c>
      <c r="C2025" s="19" t="s">
        <v>12</v>
      </c>
      <c r="D2025" s="19" t="s">
        <v>138</v>
      </c>
      <c r="E2025" s="20" t="n">
        <v>160702</v>
      </c>
      <c r="F2025" s="20" t="n">
        <v>14701838</v>
      </c>
    </row>
    <row r="2026" customFormat="false" ht="15" hidden="false" customHeight="false" outlineLevel="0" collapsed="false">
      <c r="A2026" s="22" t="n">
        <v>46158</v>
      </c>
      <c r="B2026" s="19" t="s">
        <v>51</v>
      </c>
      <c r="C2026" s="19" t="s">
        <v>14</v>
      </c>
      <c r="D2026" s="19" t="s">
        <v>142</v>
      </c>
      <c r="E2026" s="20" t="n">
        <v>55779</v>
      </c>
      <c r="F2026" s="20" t="n">
        <v>399960</v>
      </c>
    </row>
    <row r="2027" customFormat="false" ht="15" hidden="false" customHeight="false" outlineLevel="0" collapsed="false">
      <c r="A2027" s="22" t="n">
        <v>46158</v>
      </c>
      <c r="B2027" s="19" t="s">
        <v>51</v>
      </c>
      <c r="C2027" s="19" t="s">
        <v>16</v>
      </c>
      <c r="D2027" s="19" t="s">
        <v>140</v>
      </c>
      <c r="E2027" s="20" t="n">
        <v>340971</v>
      </c>
      <c r="F2027" s="20" t="n">
        <v>1915762</v>
      </c>
    </row>
    <row r="2028" customFormat="false" ht="15" hidden="false" customHeight="false" outlineLevel="0" collapsed="false">
      <c r="A2028" s="22" t="n">
        <v>46158</v>
      </c>
      <c r="B2028" s="19" t="s">
        <v>51</v>
      </c>
      <c r="C2028" s="19" t="s">
        <v>12</v>
      </c>
      <c r="D2028" s="19" t="s">
        <v>141</v>
      </c>
      <c r="E2028" s="20" t="n">
        <v>86127</v>
      </c>
      <c r="F2028" s="20" t="n">
        <v>515361</v>
      </c>
    </row>
    <row r="2029" customFormat="false" ht="15" hidden="false" customHeight="false" outlineLevel="0" collapsed="false">
      <c r="A2029" s="22" t="n">
        <v>46158</v>
      </c>
      <c r="B2029" s="19" t="s">
        <v>51</v>
      </c>
      <c r="C2029" s="19" t="s">
        <v>70</v>
      </c>
      <c r="D2029" s="19" t="s">
        <v>90</v>
      </c>
      <c r="E2029" s="20" t="n">
        <v>84976</v>
      </c>
      <c r="F2029" s="20" t="n">
        <v>94300</v>
      </c>
    </row>
    <row r="2030" customFormat="false" ht="15" hidden="false" customHeight="false" outlineLevel="0" collapsed="false">
      <c r="A2030" s="22" t="n">
        <v>46158</v>
      </c>
      <c r="B2030" s="19" t="s">
        <v>51</v>
      </c>
      <c r="C2030" s="19" t="s">
        <v>70</v>
      </c>
      <c r="D2030" s="19" t="s">
        <v>133</v>
      </c>
      <c r="E2030" s="20" t="n">
        <v>16425</v>
      </c>
      <c r="F2030" s="20" t="n">
        <v>0</v>
      </c>
    </row>
    <row r="2031" customFormat="false" ht="15" hidden="false" customHeight="false" outlineLevel="0" collapsed="false">
      <c r="A2031" s="22" t="n">
        <v>46158</v>
      </c>
      <c r="B2031" s="19" t="s">
        <v>51</v>
      </c>
      <c r="C2031" s="19" t="s">
        <v>16</v>
      </c>
      <c r="D2031" s="19" t="s">
        <v>139</v>
      </c>
      <c r="E2031" s="20" t="n">
        <v>3042</v>
      </c>
      <c r="F2031" s="20" t="n">
        <v>0</v>
      </c>
    </row>
    <row r="2032" customFormat="false" ht="15" hidden="false" customHeight="false" outlineLevel="0" collapsed="false">
      <c r="A2032" s="22" t="n">
        <v>46158</v>
      </c>
      <c r="B2032" s="19" t="s">
        <v>51</v>
      </c>
      <c r="C2032" s="19" t="s">
        <v>70</v>
      </c>
      <c r="D2032" s="19" t="s">
        <v>92</v>
      </c>
      <c r="E2032" s="20" t="n">
        <v>11855</v>
      </c>
      <c r="F2032" s="20" t="n">
        <v>0</v>
      </c>
    </row>
    <row r="2033" customFormat="false" ht="15" hidden="false" customHeight="false" outlineLevel="0" collapsed="false">
      <c r="A2033" s="22" t="n">
        <v>46158</v>
      </c>
      <c r="B2033" s="19" t="s">
        <v>51</v>
      </c>
      <c r="C2033" s="19" t="s">
        <v>14</v>
      </c>
      <c r="D2033" s="19" t="s">
        <v>143</v>
      </c>
      <c r="E2033" s="20" t="n">
        <v>2877</v>
      </c>
      <c r="F2033" s="20" t="n">
        <v>0</v>
      </c>
    </row>
    <row r="2034" customFormat="false" ht="15" hidden="false" customHeight="false" outlineLevel="0" collapsed="false">
      <c r="A2034" s="22" t="n">
        <v>46158</v>
      </c>
      <c r="B2034" s="19" t="s">
        <v>51</v>
      </c>
      <c r="C2034" s="19" t="s">
        <v>12</v>
      </c>
      <c r="D2034" s="19" t="s">
        <v>122</v>
      </c>
      <c r="E2034" s="20" t="n">
        <v>31388</v>
      </c>
      <c r="F2034" s="20" t="n">
        <v>0</v>
      </c>
    </row>
    <row r="2035" customFormat="false" ht="15" hidden="false" customHeight="false" outlineLevel="0" collapsed="false">
      <c r="A2035" s="22" t="n">
        <v>46158</v>
      </c>
      <c r="B2035" s="19" t="s">
        <v>51</v>
      </c>
      <c r="C2035" s="19" t="s">
        <v>12</v>
      </c>
      <c r="D2035" s="19" t="s">
        <v>126</v>
      </c>
      <c r="E2035" s="20" t="n">
        <v>155365</v>
      </c>
      <c r="F2035" s="20" t="n">
        <v>405238</v>
      </c>
    </row>
    <row r="2036" customFormat="false" ht="15" hidden="false" customHeight="false" outlineLevel="0" collapsed="false">
      <c r="A2036" s="22" t="n">
        <v>46158</v>
      </c>
      <c r="B2036" s="19" t="s">
        <v>51</v>
      </c>
      <c r="C2036" s="19" t="s">
        <v>13</v>
      </c>
      <c r="D2036" s="19" t="s">
        <v>127</v>
      </c>
      <c r="E2036" s="20" t="n">
        <v>392218</v>
      </c>
      <c r="F2036" s="20" t="n">
        <v>2037550</v>
      </c>
    </row>
    <row r="2037" customFormat="false" ht="15" hidden="false" customHeight="false" outlineLevel="0" collapsed="false">
      <c r="A2037" s="22" t="n">
        <v>46158</v>
      </c>
      <c r="B2037" s="19" t="s">
        <v>51</v>
      </c>
      <c r="C2037" s="19" t="s">
        <v>13</v>
      </c>
      <c r="D2037" s="19" t="s">
        <v>136</v>
      </c>
      <c r="E2037" s="20" t="n">
        <v>800000</v>
      </c>
      <c r="F2037" s="20" t="n">
        <v>4610054</v>
      </c>
    </row>
    <row r="2038" customFormat="false" ht="15" hidden="false" customHeight="false" outlineLevel="0" collapsed="false">
      <c r="A2038" s="22" t="n">
        <v>46159</v>
      </c>
      <c r="B2038" s="19" t="s">
        <v>51</v>
      </c>
      <c r="C2038" s="19" t="s">
        <v>12</v>
      </c>
      <c r="D2038" s="19" t="s">
        <v>138</v>
      </c>
      <c r="E2038" s="20" t="n">
        <v>500000</v>
      </c>
      <c r="F2038" s="20" t="n">
        <v>519750</v>
      </c>
    </row>
    <row r="2039" customFormat="false" ht="15" hidden="false" customHeight="false" outlineLevel="0" collapsed="false">
      <c r="A2039" s="22" t="n">
        <v>46159</v>
      </c>
      <c r="B2039" s="19" t="s">
        <v>51</v>
      </c>
      <c r="C2039" s="19" t="s">
        <v>14</v>
      </c>
      <c r="D2039" s="19" t="s">
        <v>142</v>
      </c>
      <c r="E2039" s="20" t="n">
        <v>59959</v>
      </c>
      <c r="F2039" s="20" t="n">
        <v>557700</v>
      </c>
    </row>
    <row r="2040" customFormat="false" ht="15" hidden="false" customHeight="false" outlineLevel="0" collapsed="false">
      <c r="A2040" s="22" t="n">
        <v>46159</v>
      </c>
      <c r="B2040" s="19" t="s">
        <v>51</v>
      </c>
      <c r="C2040" s="19" t="s">
        <v>14</v>
      </c>
      <c r="D2040" s="19" t="s">
        <v>73</v>
      </c>
      <c r="E2040" s="20" t="n">
        <v>56423</v>
      </c>
      <c r="F2040" s="20" t="n">
        <v>198760</v>
      </c>
    </row>
    <row r="2041" customFormat="false" ht="15" hidden="false" customHeight="false" outlineLevel="0" collapsed="false">
      <c r="A2041" s="22" t="n">
        <v>46159</v>
      </c>
      <c r="B2041" s="19" t="s">
        <v>51</v>
      </c>
      <c r="C2041" s="19" t="s">
        <v>16</v>
      </c>
      <c r="D2041" s="19" t="s">
        <v>140</v>
      </c>
      <c r="E2041" s="20" t="n">
        <v>304912</v>
      </c>
      <c r="F2041" s="20" t="n">
        <v>1799263</v>
      </c>
    </row>
    <row r="2042" customFormat="false" ht="15" hidden="false" customHeight="false" outlineLevel="0" collapsed="false">
      <c r="A2042" s="22" t="n">
        <v>46159</v>
      </c>
      <c r="B2042" s="19" t="s">
        <v>51</v>
      </c>
      <c r="C2042" s="19" t="s">
        <v>12</v>
      </c>
      <c r="D2042" s="19" t="s">
        <v>141</v>
      </c>
      <c r="E2042" s="20" t="n">
        <v>492585</v>
      </c>
      <c r="F2042" s="20" t="n">
        <v>2733250</v>
      </c>
    </row>
    <row r="2043" customFormat="false" ht="15" hidden="false" customHeight="false" outlineLevel="0" collapsed="false">
      <c r="A2043" s="22" t="n">
        <v>46159</v>
      </c>
      <c r="B2043" s="19" t="s">
        <v>51</v>
      </c>
      <c r="C2043" s="19" t="s">
        <v>70</v>
      </c>
      <c r="D2043" s="19" t="s">
        <v>90</v>
      </c>
      <c r="E2043" s="20" t="n">
        <v>113834</v>
      </c>
      <c r="F2043" s="20" t="n">
        <v>515000</v>
      </c>
    </row>
    <row r="2044" customFormat="false" ht="15" hidden="false" customHeight="false" outlineLevel="0" collapsed="false">
      <c r="A2044" s="22" t="n">
        <v>46159</v>
      </c>
      <c r="B2044" s="19" t="s">
        <v>51</v>
      </c>
      <c r="C2044" s="19" t="s">
        <v>70</v>
      </c>
      <c r="D2044" s="19" t="s">
        <v>133</v>
      </c>
      <c r="E2044" s="20" t="n">
        <v>27153</v>
      </c>
      <c r="F2044" s="20" t="n">
        <v>94300</v>
      </c>
    </row>
    <row r="2045" customFormat="false" ht="15" hidden="false" customHeight="false" outlineLevel="0" collapsed="false">
      <c r="A2045" s="22" t="n">
        <v>46159</v>
      </c>
      <c r="B2045" s="19" t="s">
        <v>51</v>
      </c>
      <c r="C2045" s="19" t="s">
        <v>70</v>
      </c>
      <c r="D2045" s="19" t="s">
        <v>92</v>
      </c>
      <c r="E2045" s="20" t="n">
        <v>6733</v>
      </c>
      <c r="F2045" s="20" t="n">
        <v>188600</v>
      </c>
    </row>
    <row r="2046" customFormat="false" ht="15" hidden="false" customHeight="false" outlineLevel="0" collapsed="false">
      <c r="A2046" s="22" t="n">
        <v>46159</v>
      </c>
      <c r="B2046" s="19" t="s">
        <v>51</v>
      </c>
      <c r="C2046" s="19" t="s">
        <v>16</v>
      </c>
      <c r="D2046" s="19" t="s">
        <v>139</v>
      </c>
      <c r="E2046" s="20" t="n">
        <v>1665</v>
      </c>
      <c r="F2046" s="20" t="n">
        <v>0</v>
      </c>
    </row>
    <row r="2047" customFormat="false" ht="15" hidden="false" customHeight="false" outlineLevel="0" collapsed="false">
      <c r="A2047" s="22" t="n">
        <v>46159</v>
      </c>
      <c r="B2047" s="19" t="s">
        <v>51</v>
      </c>
      <c r="C2047" s="19" t="s">
        <v>14</v>
      </c>
      <c r="D2047" s="19" t="s">
        <v>143</v>
      </c>
      <c r="E2047" s="20" t="n">
        <v>2651</v>
      </c>
      <c r="F2047" s="20" t="n">
        <v>69000</v>
      </c>
    </row>
    <row r="2048" customFormat="false" ht="15" hidden="false" customHeight="false" outlineLevel="0" collapsed="false">
      <c r="A2048" s="22" t="n">
        <v>46159</v>
      </c>
      <c r="B2048" s="19" t="s">
        <v>51</v>
      </c>
      <c r="C2048" s="19" t="s">
        <v>12</v>
      </c>
      <c r="D2048" s="19" t="s">
        <v>122</v>
      </c>
      <c r="E2048" s="20" t="n">
        <v>40692</v>
      </c>
      <c r="F2048" s="20" t="n">
        <v>199000</v>
      </c>
    </row>
    <row r="2049" customFormat="false" ht="15" hidden="false" customHeight="false" outlineLevel="0" collapsed="false">
      <c r="A2049" s="22" t="n">
        <v>46159</v>
      </c>
      <c r="B2049" s="19" t="s">
        <v>51</v>
      </c>
      <c r="C2049" s="19" t="s">
        <v>12</v>
      </c>
      <c r="D2049" s="19" t="s">
        <v>126</v>
      </c>
      <c r="E2049" s="20" t="n">
        <v>81678</v>
      </c>
      <c r="F2049" s="20" t="n">
        <v>391435</v>
      </c>
    </row>
    <row r="2050" customFormat="false" ht="15" hidden="false" customHeight="false" outlineLevel="0" collapsed="false">
      <c r="A2050" s="22" t="n">
        <v>46159</v>
      </c>
      <c r="B2050" s="19" t="s">
        <v>51</v>
      </c>
      <c r="C2050" s="19" t="s">
        <v>13</v>
      </c>
      <c r="D2050" s="19" t="s">
        <v>127</v>
      </c>
      <c r="E2050" s="20" t="n">
        <v>81765</v>
      </c>
      <c r="F2050" s="20" t="n">
        <v>337250</v>
      </c>
    </row>
    <row r="2051" customFormat="false" ht="15" hidden="false" customHeight="false" outlineLevel="0" collapsed="false">
      <c r="A2051" s="22" t="n">
        <v>46160</v>
      </c>
      <c r="B2051" s="19" t="s">
        <v>51</v>
      </c>
      <c r="C2051" s="19" t="s">
        <v>14</v>
      </c>
      <c r="D2051" s="19" t="s">
        <v>73</v>
      </c>
      <c r="E2051" s="20" t="n">
        <v>115809</v>
      </c>
      <c r="F2051" s="20" t="n">
        <v>592560</v>
      </c>
    </row>
    <row r="2052" customFormat="false" ht="15" hidden="false" customHeight="false" outlineLevel="0" collapsed="false">
      <c r="A2052" s="22" t="n">
        <v>46160</v>
      </c>
      <c r="B2052" s="19" t="s">
        <v>51</v>
      </c>
      <c r="C2052" s="19" t="s">
        <v>12</v>
      </c>
      <c r="D2052" s="19" t="s">
        <v>138</v>
      </c>
      <c r="E2052" s="20" t="n">
        <v>155238</v>
      </c>
      <c r="F2052" s="20" t="n">
        <v>195000</v>
      </c>
    </row>
    <row r="2053" customFormat="false" ht="15" hidden="false" customHeight="false" outlineLevel="0" collapsed="false">
      <c r="A2053" s="22" t="n">
        <v>46160</v>
      </c>
      <c r="B2053" s="19" t="s">
        <v>51</v>
      </c>
      <c r="C2053" s="19" t="s">
        <v>14</v>
      </c>
      <c r="D2053" s="19" t="s">
        <v>142</v>
      </c>
      <c r="E2053" s="20" t="n">
        <v>57897</v>
      </c>
      <c r="F2053" s="20" t="n">
        <v>207000</v>
      </c>
    </row>
    <row r="2054" customFormat="false" ht="15" hidden="false" customHeight="false" outlineLevel="0" collapsed="false">
      <c r="A2054" s="22" t="n">
        <v>46160</v>
      </c>
      <c r="B2054" s="19" t="s">
        <v>51</v>
      </c>
      <c r="C2054" s="19" t="s">
        <v>16</v>
      </c>
      <c r="D2054" s="19" t="s">
        <v>140</v>
      </c>
      <c r="E2054" s="20" t="n">
        <v>56718</v>
      </c>
      <c r="F2054" s="20" t="n">
        <v>340530</v>
      </c>
    </row>
    <row r="2055" customFormat="false" ht="15" hidden="false" customHeight="false" outlineLevel="0" collapsed="false">
      <c r="A2055" s="22" t="n">
        <v>46160</v>
      </c>
      <c r="B2055" s="19" t="s">
        <v>51</v>
      </c>
      <c r="C2055" s="19" t="s">
        <v>12</v>
      </c>
      <c r="D2055" s="19" t="s">
        <v>141</v>
      </c>
      <c r="E2055" s="20" t="n">
        <v>600000</v>
      </c>
      <c r="F2055" s="20" t="n">
        <v>4428280</v>
      </c>
    </row>
    <row r="2056" customFormat="false" ht="15" hidden="false" customHeight="false" outlineLevel="0" collapsed="false">
      <c r="A2056" s="22" t="n">
        <v>46160</v>
      </c>
      <c r="B2056" s="19" t="s">
        <v>51</v>
      </c>
      <c r="C2056" s="19" t="s">
        <v>16</v>
      </c>
      <c r="D2056" s="19" t="s">
        <v>139</v>
      </c>
      <c r="E2056" s="20" t="n">
        <v>40180</v>
      </c>
      <c r="F2056" s="20" t="n">
        <v>379800</v>
      </c>
    </row>
    <row r="2057" customFormat="false" ht="15" hidden="false" customHeight="false" outlineLevel="0" collapsed="false">
      <c r="A2057" s="22" t="n">
        <v>46160</v>
      </c>
      <c r="B2057" s="19" t="s">
        <v>51</v>
      </c>
      <c r="C2057" s="19" t="s">
        <v>70</v>
      </c>
      <c r="D2057" s="19" t="s">
        <v>133</v>
      </c>
      <c r="E2057" s="20" t="n">
        <v>97446</v>
      </c>
      <c r="F2057" s="20" t="n">
        <v>344000</v>
      </c>
    </row>
    <row r="2058" customFormat="false" ht="15" hidden="false" customHeight="false" outlineLevel="0" collapsed="false">
      <c r="A2058" s="22" t="n">
        <v>46160</v>
      </c>
      <c r="B2058" s="19" t="s">
        <v>51</v>
      </c>
      <c r="C2058" s="19" t="s">
        <v>70</v>
      </c>
      <c r="D2058" s="19" t="s">
        <v>90</v>
      </c>
      <c r="E2058" s="20" t="n">
        <v>124456</v>
      </c>
      <c r="F2058" s="20" t="n">
        <v>282900</v>
      </c>
    </row>
    <row r="2059" customFormat="false" ht="15" hidden="false" customHeight="false" outlineLevel="0" collapsed="false">
      <c r="A2059" s="22" t="n">
        <v>46160</v>
      </c>
      <c r="B2059" s="19" t="s">
        <v>51</v>
      </c>
      <c r="C2059" s="19" t="s">
        <v>70</v>
      </c>
      <c r="D2059" s="19" t="s">
        <v>92</v>
      </c>
      <c r="E2059" s="20" t="n">
        <v>40862</v>
      </c>
      <c r="F2059" s="20" t="n">
        <v>0</v>
      </c>
    </row>
    <row r="2060" customFormat="false" ht="15" hidden="false" customHeight="false" outlineLevel="0" collapsed="false">
      <c r="A2060" s="22" t="n">
        <v>46160</v>
      </c>
      <c r="B2060" s="19" t="s">
        <v>51</v>
      </c>
      <c r="C2060" s="19" t="s">
        <v>14</v>
      </c>
      <c r="D2060" s="19" t="s">
        <v>143</v>
      </c>
      <c r="E2060" s="20" t="n">
        <v>12935</v>
      </c>
      <c r="F2060" s="20" t="n">
        <v>0</v>
      </c>
    </row>
    <row r="2061" customFormat="false" ht="15" hidden="false" customHeight="false" outlineLevel="0" collapsed="false">
      <c r="A2061" s="22" t="n">
        <v>46160</v>
      </c>
      <c r="B2061" s="19" t="s">
        <v>51</v>
      </c>
      <c r="C2061" s="19" t="s">
        <v>12</v>
      </c>
      <c r="D2061" s="19" t="s">
        <v>122</v>
      </c>
      <c r="E2061" s="20" t="n">
        <v>20121</v>
      </c>
      <c r="F2061" s="20" t="n">
        <v>0</v>
      </c>
    </row>
    <row r="2062" customFormat="false" ht="15" hidden="false" customHeight="false" outlineLevel="0" collapsed="false">
      <c r="A2062" s="22" t="n">
        <v>46161</v>
      </c>
      <c r="B2062" s="19" t="s">
        <v>51</v>
      </c>
      <c r="C2062" s="19" t="s">
        <v>12</v>
      </c>
      <c r="D2062" s="19" t="s">
        <v>138</v>
      </c>
      <c r="E2062" s="20" t="n">
        <v>80474</v>
      </c>
      <c r="F2062" s="20" t="n">
        <v>209280</v>
      </c>
    </row>
    <row r="2063" customFormat="false" ht="15" hidden="false" customHeight="false" outlineLevel="0" collapsed="false">
      <c r="A2063" s="22" t="n">
        <v>46161</v>
      </c>
      <c r="B2063" s="19" t="s">
        <v>51</v>
      </c>
      <c r="C2063" s="19" t="s">
        <v>14</v>
      </c>
      <c r="D2063" s="19" t="s">
        <v>73</v>
      </c>
      <c r="E2063" s="20" t="n">
        <v>58896</v>
      </c>
      <c r="F2063" s="20" t="n">
        <v>269590</v>
      </c>
    </row>
    <row r="2064" customFormat="false" ht="15" hidden="false" customHeight="false" outlineLevel="0" collapsed="false">
      <c r="A2064" s="22" t="n">
        <v>46161</v>
      </c>
      <c r="B2064" s="19" t="s">
        <v>51</v>
      </c>
      <c r="C2064" s="19" t="s">
        <v>14</v>
      </c>
      <c r="D2064" s="19" t="s">
        <v>142</v>
      </c>
      <c r="E2064" s="20" t="n">
        <v>8493</v>
      </c>
      <c r="F2064" s="20" t="n">
        <v>0</v>
      </c>
    </row>
    <row r="2065" customFormat="false" ht="15" hidden="false" customHeight="false" outlineLevel="0" collapsed="false">
      <c r="A2065" s="22" t="n">
        <v>46161</v>
      </c>
      <c r="B2065" s="19" t="s">
        <v>51</v>
      </c>
      <c r="C2065" s="19" t="s">
        <v>16</v>
      </c>
      <c r="D2065" s="19" t="s">
        <v>140</v>
      </c>
      <c r="E2065" s="20" t="n">
        <v>202298</v>
      </c>
      <c r="F2065" s="20" t="n">
        <v>1101400</v>
      </c>
    </row>
    <row r="2066" customFormat="false" ht="15" hidden="false" customHeight="false" outlineLevel="0" collapsed="false">
      <c r="A2066" s="22" t="n">
        <v>46161</v>
      </c>
      <c r="B2066" s="19" t="s">
        <v>51</v>
      </c>
      <c r="C2066" s="19" t="s">
        <v>12</v>
      </c>
      <c r="D2066" s="19" t="s">
        <v>141</v>
      </c>
      <c r="E2066" s="20" t="n">
        <v>348059</v>
      </c>
      <c r="F2066" s="20" t="n">
        <v>1556860</v>
      </c>
    </row>
    <row r="2067" customFormat="false" ht="15" hidden="false" customHeight="false" outlineLevel="0" collapsed="false">
      <c r="A2067" s="22" t="n">
        <v>46161</v>
      </c>
      <c r="B2067" s="19" t="s">
        <v>51</v>
      </c>
      <c r="C2067" s="19" t="s">
        <v>70</v>
      </c>
      <c r="D2067" s="19" t="s">
        <v>90</v>
      </c>
      <c r="E2067" s="20" t="n">
        <v>101040</v>
      </c>
      <c r="F2067" s="20" t="n">
        <v>0</v>
      </c>
    </row>
    <row r="2068" customFormat="false" ht="15" hidden="false" customHeight="false" outlineLevel="0" collapsed="false">
      <c r="A2068" s="22" t="n">
        <v>46161</v>
      </c>
      <c r="B2068" s="19" t="s">
        <v>51</v>
      </c>
      <c r="C2068" s="19" t="s">
        <v>16</v>
      </c>
      <c r="D2068" s="19" t="s">
        <v>139</v>
      </c>
      <c r="E2068" s="20" t="n">
        <v>15944</v>
      </c>
      <c r="F2068" s="20" t="n">
        <v>0</v>
      </c>
    </row>
    <row r="2069" customFormat="false" ht="15" hidden="false" customHeight="false" outlineLevel="0" collapsed="false">
      <c r="A2069" s="22" t="n">
        <v>46161</v>
      </c>
      <c r="B2069" s="19" t="s">
        <v>51</v>
      </c>
      <c r="C2069" s="19" t="s">
        <v>70</v>
      </c>
      <c r="D2069" s="19" t="s">
        <v>133</v>
      </c>
      <c r="E2069" s="20" t="n">
        <v>4041</v>
      </c>
      <c r="F2069" s="20" t="n">
        <v>0</v>
      </c>
    </row>
    <row r="2070" customFormat="false" ht="15" hidden="false" customHeight="false" outlineLevel="0" collapsed="false">
      <c r="A2070" s="22" t="n">
        <v>46161</v>
      </c>
      <c r="B2070" s="19" t="s">
        <v>51</v>
      </c>
      <c r="C2070" s="19" t="s">
        <v>14</v>
      </c>
      <c r="D2070" s="19" t="s">
        <v>143</v>
      </c>
      <c r="E2070" s="20" t="n">
        <v>3106</v>
      </c>
      <c r="F2070" s="20" t="n">
        <v>0</v>
      </c>
    </row>
    <row r="2071" customFormat="false" ht="15" hidden="false" customHeight="false" outlineLevel="0" collapsed="false">
      <c r="A2071" s="22" t="n">
        <v>46161</v>
      </c>
      <c r="B2071" s="19" t="s">
        <v>51</v>
      </c>
      <c r="C2071" s="19" t="s">
        <v>70</v>
      </c>
      <c r="D2071" s="19" t="s">
        <v>92</v>
      </c>
      <c r="E2071" s="20" t="n">
        <v>10535</v>
      </c>
      <c r="F2071" s="20" t="n">
        <v>0</v>
      </c>
    </row>
    <row r="2072" customFormat="false" ht="15" hidden="false" customHeight="false" outlineLevel="0" collapsed="false">
      <c r="A2072" s="22" t="n">
        <v>46161</v>
      </c>
      <c r="B2072" s="19" t="s">
        <v>51</v>
      </c>
      <c r="C2072" s="19" t="s">
        <v>12</v>
      </c>
      <c r="D2072" s="19" t="s">
        <v>122</v>
      </c>
      <c r="E2072" s="20" t="n">
        <v>180384</v>
      </c>
      <c r="F2072" s="20" t="n">
        <v>778090</v>
      </c>
    </row>
    <row r="2073" customFormat="false" ht="15" hidden="false" customHeight="false" outlineLevel="0" collapsed="false">
      <c r="A2073" s="22" t="n">
        <v>46161</v>
      </c>
      <c r="B2073" s="19" t="s">
        <v>51</v>
      </c>
      <c r="C2073" s="19" t="s">
        <v>12</v>
      </c>
      <c r="D2073" s="19" t="s">
        <v>126</v>
      </c>
      <c r="E2073" s="20" t="n">
        <v>305661</v>
      </c>
      <c r="F2073" s="20" t="n">
        <v>1400860</v>
      </c>
    </row>
    <row r="2074" customFormat="false" ht="15" hidden="false" customHeight="false" outlineLevel="0" collapsed="false">
      <c r="A2074" s="22" t="n">
        <v>46161</v>
      </c>
      <c r="B2074" s="19" t="s">
        <v>51</v>
      </c>
      <c r="C2074" s="19" t="s">
        <v>13</v>
      </c>
      <c r="D2074" s="19" t="s">
        <v>127</v>
      </c>
      <c r="E2074" s="20" t="n">
        <v>98933</v>
      </c>
      <c r="F2074" s="20" t="n">
        <v>488200</v>
      </c>
    </row>
    <row r="2075" customFormat="false" ht="15" hidden="false" customHeight="false" outlineLevel="0" collapsed="false">
      <c r="A2075" s="22" t="n">
        <v>46162</v>
      </c>
      <c r="B2075" s="19" t="s">
        <v>51</v>
      </c>
      <c r="C2075" s="19" t="s">
        <v>12</v>
      </c>
      <c r="D2075" s="19" t="s">
        <v>138</v>
      </c>
      <c r="E2075" s="20" t="n">
        <v>500000</v>
      </c>
      <c r="F2075" s="20" t="n">
        <v>1141400</v>
      </c>
    </row>
    <row r="2076" customFormat="false" ht="15" hidden="false" customHeight="false" outlineLevel="0" collapsed="false">
      <c r="A2076" s="22" t="n">
        <v>46162</v>
      </c>
      <c r="B2076" s="19" t="s">
        <v>51</v>
      </c>
      <c r="C2076" s="19" t="s">
        <v>14</v>
      </c>
      <c r="D2076" s="19" t="s">
        <v>73</v>
      </c>
      <c r="E2076" s="20" t="n">
        <v>115339</v>
      </c>
      <c r="F2076" s="20" t="n">
        <v>567780</v>
      </c>
    </row>
    <row r="2077" customFormat="false" ht="15" hidden="false" customHeight="false" outlineLevel="0" collapsed="false">
      <c r="A2077" s="22" t="n">
        <v>46162</v>
      </c>
      <c r="B2077" s="19" t="s">
        <v>51</v>
      </c>
      <c r="C2077" s="19" t="s">
        <v>14</v>
      </c>
      <c r="D2077" s="19" t="s">
        <v>142</v>
      </c>
      <c r="E2077" s="20" t="n">
        <v>18775</v>
      </c>
      <c r="F2077" s="20" t="n">
        <v>69000</v>
      </c>
    </row>
    <row r="2078" customFormat="false" ht="15" hidden="false" customHeight="false" outlineLevel="0" collapsed="false">
      <c r="A2078" s="22" t="n">
        <v>46162</v>
      </c>
      <c r="B2078" s="19" t="s">
        <v>51</v>
      </c>
      <c r="C2078" s="19" t="s">
        <v>16</v>
      </c>
      <c r="D2078" s="19" t="s">
        <v>140</v>
      </c>
      <c r="E2078" s="20" t="n">
        <v>221363</v>
      </c>
      <c r="F2078" s="20" t="n">
        <v>1155000</v>
      </c>
    </row>
    <row r="2079" customFormat="false" ht="15" hidden="false" customHeight="false" outlineLevel="0" collapsed="false">
      <c r="A2079" s="22" t="n">
        <v>46162</v>
      </c>
      <c r="B2079" s="19" t="s">
        <v>51</v>
      </c>
      <c r="C2079" s="19" t="s">
        <v>12</v>
      </c>
      <c r="D2079" s="19" t="s">
        <v>141</v>
      </c>
      <c r="E2079" s="20" t="n">
        <v>73910</v>
      </c>
      <c r="F2079" s="20" t="n">
        <v>0</v>
      </c>
    </row>
    <row r="2080" customFormat="false" ht="15" hidden="false" customHeight="false" outlineLevel="0" collapsed="false">
      <c r="A2080" s="22" t="n">
        <v>46162</v>
      </c>
      <c r="B2080" s="19" t="s">
        <v>51</v>
      </c>
      <c r="C2080" s="19" t="s">
        <v>16</v>
      </c>
      <c r="D2080" s="19" t="s">
        <v>139</v>
      </c>
      <c r="E2080" s="20" t="n">
        <v>46215</v>
      </c>
      <c r="F2080" s="20" t="n">
        <v>308750</v>
      </c>
    </row>
    <row r="2081" customFormat="false" ht="15" hidden="false" customHeight="false" outlineLevel="0" collapsed="false">
      <c r="A2081" s="22" t="n">
        <v>46162</v>
      </c>
      <c r="B2081" s="19" t="s">
        <v>51</v>
      </c>
      <c r="C2081" s="19" t="s">
        <v>70</v>
      </c>
      <c r="D2081" s="19" t="s">
        <v>90</v>
      </c>
      <c r="E2081" s="20" t="n">
        <v>78061</v>
      </c>
      <c r="F2081" s="20" t="n">
        <v>0</v>
      </c>
    </row>
    <row r="2082" customFormat="false" ht="15" hidden="false" customHeight="false" outlineLevel="0" collapsed="false">
      <c r="A2082" s="22" t="n">
        <v>46162</v>
      </c>
      <c r="B2082" s="19" t="s">
        <v>51</v>
      </c>
      <c r="C2082" s="19" t="s">
        <v>70</v>
      </c>
      <c r="D2082" s="19" t="s">
        <v>133</v>
      </c>
      <c r="E2082" s="20" t="n">
        <v>3730</v>
      </c>
      <c r="F2082" s="20" t="n">
        <v>0</v>
      </c>
    </row>
    <row r="2083" customFormat="false" ht="15" hidden="false" customHeight="false" outlineLevel="0" collapsed="false">
      <c r="A2083" s="22" t="n">
        <v>46162</v>
      </c>
      <c r="B2083" s="19" t="s">
        <v>51</v>
      </c>
      <c r="C2083" s="19" t="s">
        <v>14</v>
      </c>
      <c r="D2083" s="19" t="s">
        <v>143</v>
      </c>
      <c r="E2083" s="20" t="n">
        <v>16592</v>
      </c>
      <c r="F2083" s="20" t="n">
        <v>0</v>
      </c>
    </row>
    <row r="2084" customFormat="false" ht="15" hidden="false" customHeight="false" outlineLevel="0" collapsed="false">
      <c r="A2084" s="22" t="n">
        <v>46162</v>
      </c>
      <c r="B2084" s="19" t="s">
        <v>51</v>
      </c>
      <c r="C2084" s="19" t="s">
        <v>70</v>
      </c>
      <c r="D2084" s="19" t="s">
        <v>92</v>
      </c>
      <c r="E2084" s="20" t="n">
        <v>5445</v>
      </c>
      <c r="F2084" s="20" t="n">
        <v>0</v>
      </c>
    </row>
    <row r="2085" customFormat="false" ht="15" hidden="false" customHeight="false" outlineLevel="0" collapsed="false">
      <c r="A2085" s="22" t="n">
        <v>46162</v>
      </c>
      <c r="B2085" s="19" t="s">
        <v>51</v>
      </c>
      <c r="C2085" s="19" t="s">
        <v>12</v>
      </c>
      <c r="D2085" s="19" t="s">
        <v>122</v>
      </c>
      <c r="E2085" s="20" t="n">
        <v>250000</v>
      </c>
      <c r="F2085" s="20" t="n">
        <v>1331910</v>
      </c>
    </row>
    <row r="2086" customFormat="false" ht="15" hidden="false" customHeight="false" outlineLevel="0" collapsed="false">
      <c r="A2086" s="22" t="n">
        <v>46162</v>
      </c>
      <c r="B2086" s="19" t="s">
        <v>51</v>
      </c>
      <c r="C2086" s="19" t="s">
        <v>12</v>
      </c>
      <c r="D2086" s="19" t="s">
        <v>126</v>
      </c>
      <c r="E2086" s="20" t="n">
        <v>240406</v>
      </c>
      <c r="F2086" s="20" t="n">
        <v>1028460</v>
      </c>
    </row>
    <row r="2087" customFormat="false" ht="15" hidden="false" customHeight="false" outlineLevel="0" collapsed="false">
      <c r="A2087" s="22" t="n">
        <v>46162</v>
      </c>
      <c r="B2087" s="19" t="s">
        <v>51</v>
      </c>
      <c r="C2087" s="19" t="s">
        <v>13</v>
      </c>
      <c r="D2087" s="19" t="s">
        <v>127</v>
      </c>
      <c r="E2087" s="20" t="n">
        <v>155281</v>
      </c>
      <c r="F2087" s="20" t="n">
        <v>743330</v>
      </c>
    </row>
    <row r="2088" customFormat="false" ht="15" hidden="false" customHeight="false" outlineLevel="0" collapsed="false">
      <c r="A2088" s="22" t="n">
        <v>46162</v>
      </c>
      <c r="B2088" s="19" t="s">
        <v>51</v>
      </c>
      <c r="C2088" s="19" t="s">
        <v>13</v>
      </c>
      <c r="D2088" s="19" t="s">
        <v>136</v>
      </c>
      <c r="E2088" s="20" t="n">
        <v>523705</v>
      </c>
      <c r="F2088" s="20" t="n">
        <v>2543400</v>
      </c>
    </row>
    <row r="2089" customFormat="false" ht="15" hidden="false" customHeight="false" outlineLevel="0" collapsed="false">
      <c r="A2089" s="22" t="n">
        <v>46163</v>
      </c>
      <c r="B2089" s="19" t="s">
        <v>51</v>
      </c>
      <c r="C2089" s="19" t="s">
        <v>12</v>
      </c>
      <c r="D2089" s="19" t="s">
        <v>138</v>
      </c>
      <c r="E2089" s="20" t="n">
        <v>195368</v>
      </c>
      <c r="F2089" s="20" t="n">
        <v>435000</v>
      </c>
    </row>
    <row r="2090" customFormat="false" ht="15" hidden="false" customHeight="false" outlineLevel="0" collapsed="false">
      <c r="A2090" s="22" t="n">
        <v>46163</v>
      </c>
      <c r="B2090" s="19" t="s">
        <v>51</v>
      </c>
      <c r="C2090" s="19" t="s">
        <v>14</v>
      </c>
      <c r="D2090" s="19" t="s">
        <v>73</v>
      </c>
      <c r="E2090" s="20" t="n">
        <v>13990</v>
      </c>
      <c r="F2090" s="20" t="n">
        <v>0</v>
      </c>
    </row>
    <row r="2091" customFormat="false" ht="15" hidden="false" customHeight="false" outlineLevel="0" collapsed="false">
      <c r="A2091" s="22" t="n">
        <v>46163</v>
      </c>
      <c r="B2091" s="19" t="s">
        <v>51</v>
      </c>
      <c r="C2091" s="19" t="s">
        <v>14</v>
      </c>
      <c r="D2091" s="19" t="s">
        <v>142</v>
      </c>
      <c r="E2091" s="20" t="n">
        <v>29532</v>
      </c>
      <c r="F2091" s="20" t="n">
        <v>138000</v>
      </c>
    </row>
    <row r="2092" customFormat="false" ht="15" hidden="false" customHeight="false" outlineLevel="0" collapsed="false">
      <c r="A2092" s="22" t="n">
        <v>46163</v>
      </c>
      <c r="B2092" s="19" t="s">
        <v>51</v>
      </c>
      <c r="C2092" s="19" t="s">
        <v>16</v>
      </c>
      <c r="D2092" s="19" t="s">
        <v>140</v>
      </c>
      <c r="E2092" s="20" t="n">
        <v>267265</v>
      </c>
      <c r="F2092" s="20" t="n">
        <v>1488250</v>
      </c>
    </row>
    <row r="2093" customFormat="false" ht="15" hidden="false" customHeight="false" outlineLevel="0" collapsed="false">
      <c r="A2093" s="22" t="n">
        <v>46163</v>
      </c>
      <c r="B2093" s="19" t="s">
        <v>51</v>
      </c>
      <c r="C2093" s="19" t="s">
        <v>12</v>
      </c>
      <c r="D2093" s="19" t="s">
        <v>141</v>
      </c>
      <c r="E2093" s="20" t="n">
        <v>299149</v>
      </c>
      <c r="F2093" s="20" t="n">
        <v>1667340</v>
      </c>
    </row>
    <row r="2094" customFormat="false" ht="15" hidden="false" customHeight="false" outlineLevel="0" collapsed="false">
      <c r="A2094" s="22" t="n">
        <v>46163</v>
      </c>
      <c r="B2094" s="19" t="s">
        <v>51</v>
      </c>
      <c r="C2094" s="19" t="s">
        <v>16</v>
      </c>
      <c r="D2094" s="19" t="s">
        <v>139</v>
      </c>
      <c r="E2094" s="20" t="n">
        <v>13922</v>
      </c>
      <c r="F2094" s="20" t="n">
        <v>135000</v>
      </c>
    </row>
    <row r="2095" customFormat="false" ht="15" hidden="false" customHeight="false" outlineLevel="0" collapsed="false">
      <c r="A2095" s="22" t="n">
        <v>46163</v>
      </c>
      <c r="B2095" s="19" t="s">
        <v>51</v>
      </c>
      <c r="C2095" s="19" t="s">
        <v>70</v>
      </c>
      <c r="D2095" s="19" t="s">
        <v>133</v>
      </c>
      <c r="E2095" s="20" t="n">
        <v>45233</v>
      </c>
      <c r="F2095" s="20" t="n">
        <v>99000</v>
      </c>
    </row>
    <row r="2096" customFormat="false" ht="15" hidden="false" customHeight="false" outlineLevel="0" collapsed="false">
      <c r="A2096" s="22" t="n">
        <v>46163</v>
      </c>
      <c r="B2096" s="19" t="s">
        <v>51</v>
      </c>
      <c r="C2096" s="19" t="s">
        <v>70</v>
      </c>
      <c r="D2096" s="19" t="s">
        <v>92</v>
      </c>
      <c r="E2096" s="20" t="n">
        <v>20972</v>
      </c>
      <c r="F2096" s="20" t="n">
        <v>0</v>
      </c>
    </row>
    <row r="2097" customFormat="false" ht="15" hidden="false" customHeight="false" outlineLevel="0" collapsed="false">
      <c r="A2097" s="22" t="n">
        <v>46163</v>
      </c>
      <c r="B2097" s="19" t="s">
        <v>51</v>
      </c>
      <c r="C2097" s="19" t="s">
        <v>12</v>
      </c>
      <c r="D2097" s="19" t="s">
        <v>122</v>
      </c>
      <c r="E2097" s="20" t="n">
        <v>97736</v>
      </c>
      <c r="F2097" s="20" t="n">
        <v>216000</v>
      </c>
    </row>
    <row r="2098" customFormat="false" ht="15" hidden="false" customHeight="false" outlineLevel="0" collapsed="false">
      <c r="A2098" s="22" t="n">
        <v>46163</v>
      </c>
      <c r="B2098" s="19" t="s">
        <v>51</v>
      </c>
      <c r="C2098" s="19" t="s">
        <v>12</v>
      </c>
      <c r="D2098" s="19" t="s">
        <v>126</v>
      </c>
      <c r="E2098" s="20" t="n">
        <v>310993</v>
      </c>
      <c r="F2098" s="20" t="n">
        <v>1488200</v>
      </c>
    </row>
    <row r="2099" customFormat="false" ht="15" hidden="false" customHeight="false" outlineLevel="0" collapsed="false">
      <c r="A2099" s="22" t="n">
        <v>46163</v>
      </c>
      <c r="B2099" s="19" t="s">
        <v>51</v>
      </c>
      <c r="C2099" s="19" t="s">
        <v>13</v>
      </c>
      <c r="D2099" s="19" t="s">
        <v>127</v>
      </c>
      <c r="E2099" s="20" t="n">
        <v>100695</v>
      </c>
      <c r="F2099" s="20" t="n">
        <v>410220</v>
      </c>
    </row>
    <row r="2100" customFormat="false" ht="15" hidden="false" customHeight="false" outlineLevel="0" collapsed="false">
      <c r="A2100" s="22" t="n">
        <v>46163</v>
      </c>
      <c r="B2100" s="19" t="s">
        <v>51</v>
      </c>
      <c r="C2100" s="19" t="s">
        <v>13</v>
      </c>
      <c r="D2100" s="19" t="s">
        <v>136</v>
      </c>
      <c r="E2100" s="20" t="n">
        <v>449547</v>
      </c>
      <c r="F2100" s="20" t="n">
        <v>2825870</v>
      </c>
    </row>
    <row r="2101" customFormat="false" ht="15" hidden="false" customHeight="false" outlineLevel="0" collapsed="false">
      <c r="A2101" s="22" t="n">
        <v>46164</v>
      </c>
      <c r="B2101" s="19" t="s">
        <v>51</v>
      </c>
      <c r="C2101" s="19" t="s">
        <v>14</v>
      </c>
      <c r="D2101" s="19" t="s">
        <v>73</v>
      </c>
      <c r="E2101" s="20" t="n">
        <v>106823</v>
      </c>
      <c r="F2101" s="20" t="n">
        <v>487060</v>
      </c>
    </row>
    <row r="2102" customFormat="false" ht="15" hidden="false" customHeight="false" outlineLevel="0" collapsed="false">
      <c r="A2102" s="22" t="n">
        <v>46164</v>
      </c>
      <c r="B2102" s="19" t="s">
        <v>51</v>
      </c>
      <c r="C2102" s="19" t="s">
        <v>12</v>
      </c>
      <c r="D2102" s="19" t="s">
        <v>138</v>
      </c>
      <c r="E2102" s="20" t="n">
        <v>42360</v>
      </c>
      <c r="F2102" s="20" t="n">
        <v>175000</v>
      </c>
    </row>
    <row r="2103" customFormat="false" ht="15" hidden="false" customHeight="false" outlineLevel="0" collapsed="false">
      <c r="A2103" s="22" t="n">
        <v>46164</v>
      </c>
      <c r="B2103" s="19" t="s">
        <v>51</v>
      </c>
      <c r="C2103" s="19" t="s">
        <v>14</v>
      </c>
      <c r="D2103" s="19" t="s">
        <v>142</v>
      </c>
      <c r="E2103" s="20" t="n">
        <v>2823</v>
      </c>
      <c r="F2103" s="20" t="n">
        <v>0</v>
      </c>
    </row>
    <row r="2104" customFormat="false" ht="15" hidden="false" customHeight="false" outlineLevel="0" collapsed="false">
      <c r="A2104" s="22" t="n">
        <v>46164</v>
      </c>
      <c r="B2104" s="19" t="s">
        <v>51</v>
      </c>
      <c r="C2104" s="19" t="s">
        <v>16</v>
      </c>
      <c r="D2104" s="19" t="s">
        <v>140</v>
      </c>
      <c r="E2104" s="20" t="n">
        <v>375134</v>
      </c>
      <c r="F2104" s="20" t="n">
        <v>2261760</v>
      </c>
    </row>
    <row r="2105" customFormat="false" ht="15" hidden="false" customHeight="false" outlineLevel="0" collapsed="false">
      <c r="A2105" s="22" t="n">
        <v>46164</v>
      </c>
      <c r="B2105" s="19" t="s">
        <v>51</v>
      </c>
      <c r="C2105" s="19" t="s">
        <v>12</v>
      </c>
      <c r="D2105" s="19" t="s">
        <v>141</v>
      </c>
      <c r="E2105" s="20" t="n">
        <v>119088</v>
      </c>
      <c r="F2105" s="20" t="n">
        <v>572300</v>
      </c>
    </row>
    <row r="2106" customFormat="false" ht="15" hidden="false" customHeight="false" outlineLevel="0" collapsed="false">
      <c r="A2106" s="22" t="n">
        <v>46164</v>
      </c>
      <c r="B2106" s="19" t="s">
        <v>51</v>
      </c>
      <c r="C2106" s="19" t="s">
        <v>16</v>
      </c>
      <c r="D2106" s="19" t="s">
        <v>139</v>
      </c>
      <c r="E2106" s="20" t="n">
        <v>41727</v>
      </c>
      <c r="F2106" s="20" t="n">
        <v>132300</v>
      </c>
    </row>
    <row r="2107" customFormat="false" ht="15" hidden="false" customHeight="false" outlineLevel="0" collapsed="false">
      <c r="A2107" s="22" t="n">
        <v>46164</v>
      </c>
      <c r="B2107" s="19" t="s">
        <v>51</v>
      </c>
      <c r="C2107" s="19" t="s">
        <v>70</v>
      </c>
      <c r="D2107" s="19" t="s">
        <v>133</v>
      </c>
      <c r="E2107" s="20" t="n">
        <v>17271</v>
      </c>
      <c r="F2107" s="20" t="n">
        <v>59000</v>
      </c>
    </row>
    <row r="2108" customFormat="false" ht="15" hidden="false" customHeight="false" outlineLevel="0" collapsed="false">
      <c r="A2108" s="22" t="n">
        <v>46164</v>
      </c>
      <c r="B2108" s="19" t="s">
        <v>51</v>
      </c>
      <c r="C2108" s="19" t="s">
        <v>70</v>
      </c>
      <c r="D2108" s="19" t="s">
        <v>92</v>
      </c>
      <c r="E2108" s="20" t="n">
        <v>3527</v>
      </c>
      <c r="F2108" s="20" t="n">
        <v>0</v>
      </c>
    </row>
    <row r="2109" customFormat="false" ht="15" hidden="false" customHeight="false" outlineLevel="0" collapsed="false">
      <c r="A2109" s="22" t="n">
        <v>46164</v>
      </c>
      <c r="B2109" s="19" t="s">
        <v>51</v>
      </c>
      <c r="C2109" s="19" t="s">
        <v>12</v>
      </c>
      <c r="D2109" s="19" t="s">
        <v>122</v>
      </c>
      <c r="E2109" s="20" t="n">
        <v>14946</v>
      </c>
      <c r="F2109" s="20" t="n">
        <v>0</v>
      </c>
    </row>
    <row r="2110" customFormat="false" ht="15" hidden="false" customHeight="false" outlineLevel="0" collapsed="false">
      <c r="A2110" s="22" t="n">
        <v>46164</v>
      </c>
      <c r="B2110" s="19" t="s">
        <v>51</v>
      </c>
      <c r="C2110" s="19" t="s">
        <v>12</v>
      </c>
      <c r="D2110" s="19" t="s">
        <v>126</v>
      </c>
      <c r="E2110" s="20" t="n">
        <v>400000</v>
      </c>
      <c r="F2110" s="20" t="n">
        <v>1808000</v>
      </c>
    </row>
    <row r="2111" customFormat="false" ht="15" hidden="false" customHeight="false" outlineLevel="0" collapsed="false">
      <c r="A2111" s="22" t="n">
        <v>46164</v>
      </c>
      <c r="B2111" s="19" t="s">
        <v>51</v>
      </c>
      <c r="C2111" s="19" t="s">
        <v>13</v>
      </c>
      <c r="D2111" s="19" t="s">
        <v>127</v>
      </c>
      <c r="E2111" s="20" t="n">
        <v>5809</v>
      </c>
      <c r="F2111" s="20" t="n">
        <v>0</v>
      </c>
    </row>
    <row r="2112" customFormat="false" ht="15" hidden="false" customHeight="false" outlineLevel="0" collapsed="false">
      <c r="A2112" s="22" t="n">
        <v>46164</v>
      </c>
      <c r="B2112" s="19" t="s">
        <v>51</v>
      </c>
      <c r="C2112" s="19" t="s">
        <v>13</v>
      </c>
      <c r="D2112" s="19" t="s">
        <v>136</v>
      </c>
      <c r="E2112" s="20" t="n">
        <v>547856</v>
      </c>
      <c r="F2112" s="20" t="n">
        <v>3221740</v>
      </c>
    </row>
    <row r="2113" customFormat="false" ht="15" hidden="false" customHeight="false" outlineLevel="0" collapsed="false">
      <c r="A2113" s="22" t="n">
        <v>46165</v>
      </c>
      <c r="B2113" s="19" t="s">
        <v>51</v>
      </c>
      <c r="C2113" s="19" t="s">
        <v>12</v>
      </c>
      <c r="D2113" s="19" t="s">
        <v>138</v>
      </c>
      <c r="E2113" s="20" t="n">
        <v>69198</v>
      </c>
      <c r="F2113" s="20" t="n">
        <v>326400</v>
      </c>
    </row>
    <row r="2114" customFormat="false" ht="15" hidden="false" customHeight="false" outlineLevel="0" collapsed="false">
      <c r="A2114" s="22" t="n">
        <v>46165</v>
      </c>
      <c r="B2114" s="19" t="s">
        <v>51</v>
      </c>
      <c r="C2114" s="19" t="s">
        <v>14</v>
      </c>
      <c r="D2114" s="19" t="s">
        <v>73</v>
      </c>
      <c r="E2114" s="20" t="n">
        <v>10059</v>
      </c>
      <c r="F2114" s="20" t="n">
        <v>0</v>
      </c>
    </row>
    <row r="2115" customFormat="false" ht="15" hidden="false" customHeight="false" outlineLevel="0" collapsed="false">
      <c r="A2115" s="22" t="n">
        <v>46165</v>
      </c>
      <c r="B2115" s="19" t="s">
        <v>51</v>
      </c>
      <c r="C2115" s="19" t="s">
        <v>14</v>
      </c>
      <c r="D2115" s="19" t="s">
        <v>142</v>
      </c>
      <c r="E2115" s="20" t="n">
        <v>46490</v>
      </c>
      <c r="F2115" s="20" t="n">
        <v>263040</v>
      </c>
    </row>
    <row r="2116" customFormat="false" ht="15" hidden="false" customHeight="false" outlineLevel="0" collapsed="false">
      <c r="A2116" s="22" t="n">
        <v>46165</v>
      </c>
      <c r="B2116" s="19" t="s">
        <v>51</v>
      </c>
      <c r="C2116" s="19" t="s">
        <v>16</v>
      </c>
      <c r="D2116" s="19" t="s">
        <v>140</v>
      </c>
      <c r="E2116" s="20" t="n">
        <v>242583</v>
      </c>
      <c r="F2116" s="20" t="n">
        <v>1392510</v>
      </c>
    </row>
    <row r="2117" customFormat="false" ht="15" hidden="false" customHeight="false" outlineLevel="0" collapsed="false">
      <c r="A2117" s="22" t="n">
        <v>46165</v>
      </c>
      <c r="B2117" s="19" t="s">
        <v>51</v>
      </c>
      <c r="C2117" s="19" t="s">
        <v>12</v>
      </c>
      <c r="D2117" s="19" t="s">
        <v>141</v>
      </c>
      <c r="E2117" s="20" t="n">
        <v>90461</v>
      </c>
      <c r="F2117" s="20" t="n">
        <v>286150</v>
      </c>
    </row>
    <row r="2118" customFormat="false" ht="15" hidden="false" customHeight="false" outlineLevel="0" collapsed="false">
      <c r="A2118" s="22" t="n">
        <v>46165</v>
      </c>
      <c r="B2118" s="19" t="s">
        <v>51</v>
      </c>
      <c r="C2118" s="19" t="s">
        <v>70</v>
      </c>
      <c r="D2118" s="19" t="s">
        <v>133</v>
      </c>
      <c r="E2118" s="20" t="n">
        <v>37555</v>
      </c>
      <c r="F2118" s="20" t="n">
        <v>129560</v>
      </c>
    </row>
    <row r="2119" customFormat="false" ht="15" hidden="false" customHeight="false" outlineLevel="0" collapsed="false">
      <c r="A2119" s="22" t="n">
        <v>46165</v>
      </c>
      <c r="B2119" s="19" t="s">
        <v>51</v>
      </c>
      <c r="C2119" s="19" t="s">
        <v>16</v>
      </c>
      <c r="D2119" s="19" t="s">
        <v>139</v>
      </c>
      <c r="E2119" s="20" t="n">
        <v>16093</v>
      </c>
      <c r="F2119" s="20" t="n">
        <v>0</v>
      </c>
    </row>
    <row r="2120" customFormat="false" ht="15" hidden="false" customHeight="false" outlineLevel="0" collapsed="false">
      <c r="A2120" s="22" t="n">
        <v>46165</v>
      </c>
      <c r="B2120" s="19" t="s">
        <v>51</v>
      </c>
      <c r="C2120" s="19" t="s">
        <v>70</v>
      </c>
      <c r="D2120" s="19" t="s">
        <v>92</v>
      </c>
      <c r="E2120" s="20" t="n">
        <v>63509</v>
      </c>
      <c r="F2120" s="20" t="n">
        <v>115000</v>
      </c>
    </row>
    <row r="2121" customFormat="false" ht="15" hidden="false" customHeight="false" outlineLevel="0" collapsed="false">
      <c r="A2121" s="22" t="n">
        <v>46165</v>
      </c>
      <c r="B2121" s="19" t="s">
        <v>51</v>
      </c>
      <c r="C2121" s="19" t="s">
        <v>70</v>
      </c>
      <c r="D2121" s="19" t="s">
        <v>90</v>
      </c>
      <c r="E2121" s="20" t="n">
        <v>1090</v>
      </c>
      <c r="F2121" s="20" t="n">
        <v>0</v>
      </c>
    </row>
    <row r="2122" customFormat="false" ht="15" hidden="false" customHeight="false" outlineLevel="0" collapsed="false">
      <c r="A2122" s="22" t="n">
        <v>46165</v>
      </c>
      <c r="B2122" s="19" t="s">
        <v>51</v>
      </c>
      <c r="C2122" s="19" t="s">
        <v>12</v>
      </c>
      <c r="D2122" s="19" t="s">
        <v>122</v>
      </c>
      <c r="E2122" s="20" t="n">
        <v>73177</v>
      </c>
      <c r="F2122" s="20" t="n">
        <v>390040</v>
      </c>
    </row>
    <row r="2123" customFormat="false" ht="15" hidden="false" customHeight="false" outlineLevel="0" collapsed="false">
      <c r="A2123" s="22" t="n">
        <v>46165</v>
      </c>
      <c r="B2123" s="19" t="s">
        <v>51</v>
      </c>
      <c r="C2123" s="19" t="s">
        <v>12</v>
      </c>
      <c r="D2123" s="19" t="s">
        <v>126</v>
      </c>
      <c r="E2123" s="20" t="n">
        <v>168751</v>
      </c>
      <c r="F2123" s="20" t="n">
        <v>367640</v>
      </c>
    </row>
    <row r="2124" customFormat="false" ht="15" hidden="false" customHeight="false" outlineLevel="0" collapsed="false">
      <c r="A2124" s="22" t="n">
        <v>46166</v>
      </c>
      <c r="B2124" s="19" t="s">
        <v>51</v>
      </c>
      <c r="C2124" s="19" t="s">
        <v>14</v>
      </c>
      <c r="D2124" s="19" t="s">
        <v>73</v>
      </c>
      <c r="E2124" s="20" t="n">
        <v>107201</v>
      </c>
      <c r="F2124" s="20" t="n">
        <v>508480</v>
      </c>
    </row>
    <row r="2125" customFormat="false" ht="15" hidden="false" customHeight="false" outlineLevel="0" collapsed="false">
      <c r="A2125" s="22" t="n">
        <v>46166</v>
      </c>
      <c r="B2125" s="19" t="s">
        <v>51</v>
      </c>
      <c r="C2125" s="19" t="s">
        <v>12</v>
      </c>
      <c r="D2125" s="19" t="s">
        <v>138</v>
      </c>
      <c r="E2125" s="20" t="n">
        <v>52662</v>
      </c>
      <c r="F2125" s="20" t="n">
        <v>260500</v>
      </c>
    </row>
    <row r="2126" customFormat="false" ht="15" hidden="false" customHeight="false" outlineLevel="0" collapsed="false">
      <c r="A2126" s="22" t="n">
        <v>46166</v>
      </c>
      <c r="B2126" s="19" t="s">
        <v>51</v>
      </c>
      <c r="C2126" s="19" t="s">
        <v>14</v>
      </c>
      <c r="D2126" s="19" t="s">
        <v>142</v>
      </c>
      <c r="E2126" s="20" t="n">
        <v>1128</v>
      </c>
      <c r="F2126" s="20" t="n">
        <v>0</v>
      </c>
    </row>
    <row r="2127" customFormat="false" ht="15" hidden="false" customHeight="false" outlineLevel="0" collapsed="false">
      <c r="A2127" s="22" t="n">
        <v>46166</v>
      </c>
      <c r="B2127" s="19" t="s">
        <v>51</v>
      </c>
      <c r="C2127" s="19" t="s">
        <v>16</v>
      </c>
      <c r="D2127" s="19" t="s">
        <v>140</v>
      </c>
      <c r="E2127" s="20" t="n">
        <v>69097</v>
      </c>
      <c r="F2127" s="20" t="n">
        <v>322040</v>
      </c>
    </row>
    <row r="2128" customFormat="false" ht="15" hidden="false" customHeight="false" outlineLevel="0" collapsed="false">
      <c r="A2128" s="22" t="n">
        <v>46166</v>
      </c>
      <c r="B2128" s="19" t="s">
        <v>51</v>
      </c>
      <c r="C2128" s="19" t="s">
        <v>12</v>
      </c>
      <c r="D2128" s="19" t="s">
        <v>141</v>
      </c>
      <c r="E2128" s="20" t="n">
        <v>136912</v>
      </c>
      <c r="F2128" s="20" t="n">
        <v>646490</v>
      </c>
    </row>
    <row r="2129" customFormat="false" ht="15" hidden="false" customHeight="false" outlineLevel="0" collapsed="false">
      <c r="A2129" s="22" t="n">
        <v>46166</v>
      </c>
      <c r="B2129" s="19" t="s">
        <v>51</v>
      </c>
      <c r="C2129" s="19" t="s">
        <v>70</v>
      </c>
      <c r="D2129" s="19" t="s">
        <v>133</v>
      </c>
      <c r="E2129" s="20" t="n">
        <v>8338</v>
      </c>
      <c r="F2129" s="20" t="n">
        <v>0</v>
      </c>
    </row>
    <row r="2130" customFormat="false" ht="15" hidden="false" customHeight="false" outlineLevel="0" collapsed="false">
      <c r="A2130" s="22" t="n">
        <v>46166</v>
      </c>
      <c r="B2130" s="19" t="s">
        <v>51</v>
      </c>
      <c r="C2130" s="19" t="s">
        <v>16</v>
      </c>
      <c r="D2130" s="19" t="s">
        <v>139</v>
      </c>
      <c r="E2130" s="20" t="n">
        <v>9783</v>
      </c>
      <c r="F2130" s="20" t="n">
        <v>0</v>
      </c>
    </row>
    <row r="2131" customFormat="false" ht="15" hidden="false" customHeight="false" outlineLevel="0" collapsed="false">
      <c r="A2131" s="22" t="n">
        <v>46166</v>
      </c>
      <c r="B2131" s="19" t="s">
        <v>51</v>
      </c>
      <c r="C2131" s="19" t="s">
        <v>70</v>
      </c>
      <c r="D2131" s="19" t="s">
        <v>92</v>
      </c>
      <c r="E2131" s="20" t="n">
        <v>3208</v>
      </c>
      <c r="F2131" s="20" t="n">
        <v>0</v>
      </c>
    </row>
    <row r="2132" customFormat="false" ht="15" hidden="false" customHeight="false" outlineLevel="0" collapsed="false">
      <c r="A2132" s="22" t="n">
        <v>46166</v>
      </c>
      <c r="B2132" s="19" t="s">
        <v>51</v>
      </c>
      <c r="C2132" s="19" t="s">
        <v>12</v>
      </c>
      <c r="D2132" s="19" t="s">
        <v>122</v>
      </c>
      <c r="E2132" s="20" t="n">
        <v>57814</v>
      </c>
      <c r="F2132" s="20" t="n">
        <v>199000</v>
      </c>
    </row>
    <row r="2133" customFormat="false" ht="15" hidden="false" customHeight="false" outlineLevel="0" collapsed="false">
      <c r="A2133" s="22" t="n">
        <v>46166</v>
      </c>
      <c r="B2133" s="19" t="s">
        <v>51</v>
      </c>
      <c r="C2133" s="19" t="s">
        <v>12</v>
      </c>
      <c r="D2133" s="19" t="s">
        <v>126</v>
      </c>
      <c r="E2133" s="20" t="n">
        <v>64236</v>
      </c>
      <c r="F2133" s="20" t="n">
        <v>228804</v>
      </c>
    </row>
    <row r="2134" customFormat="false" ht="15" hidden="false" customHeight="false" outlineLevel="0" collapsed="false">
      <c r="A2134" s="22" t="n">
        <v>46167</v>
      </c>
      <c r="B2134" s="19" t="s">
        <v>51</v>
      </c>
      <c r="C2134" s="19" t="s">
        <v>12</v>
      </c>
      <c r="D2134" s="19" t="s">
        <v>138</v>
      </c>
      <c r="E2134" s="20" t="n">
        <v>49357</v>
      </c>
      <c r="F2134" s="20" t="n">
        <v>175000</v>
      </c>
    </row>
    <row r="2135" customFormat="false" ht="15" hidden="false" customHeight="false" outlineLevel="0" collapsed="false">
      <c r="A2135" s="22" t="n">
        <v>46167</v>
      </c>
      <c r="B2135" s="19" t="s">
        <v>51</v>
      </c>
      <c r="C2135" s="19" t="s">
        <v>14</v>
      </c>
      <c r="D2135" s="19" t="s">
        <v>73</v>
      </c>
      <c r="E2135" s="20" t="n">
        <v>10457</v>
      </c>
      <c r="F2135" s="20" t="n">
        <v>0</v>
      </c>
    </row>
    <row r="2136" customFormat="false" ht="15" hidden="false" customHeight="false" outlineLevel="0" collapsed="false">
      <c r="A2136" s="22" t="n">
        <v>46167</v>
      </c>
      <c r="B2136" s="19" t="s">
        <v>51</v>
      </c>
      <c r="C2136" s="19" t="s">
        <v>14</v>
      </c>
      <c r="D2136" s="19" t="s">
        <v>142</v>
      </c>
      <c r="E2136" s="20" t="n">
        <v>627</v>
      </c>
      <c r="F2136" s="20" t="n">
        <v>0</v>
      </c>
    </row>
    <row r="2137" customFormat="false" ht="15" hidden="false" customHeight="false" outlineLevel="0" collapsed="false">
      <c r="A2137" s="22" t="n">
        <v>46167</v>
      </c>
      <c r="B2137" s="19" t="s">
        <v>51</v>
      </c>
      <c r="C2137" s="19" t="s">
        <v>16</v>
      </c>
      <c r="D2137" s="19" t="s">
        <v>140</v>
      </c>
      <c r="E2137" s="20" t="n">
        <v>190783</v>
      </c>
      <c r="F2137" s="20" t="n">
        <v>965210</v>
      </c>
    </row>
    <row r="2138" customFormat="false" ht="15" hidden="false" customHeight="false" outlineLevel="0" collapsed="false">
      <c r="A2138" s="22" t="n">
        <v>46167</v>
      </c>
      <c r="B2138" s="19" t="s">
        <v>51</v>
      </c>
      <c r="C2138" s="19" t="s">
        <v>12</v>
      </c>
      <c r="D2138" s="19" t="s">
        <v>141</v>
      </c>
      <c r="E2138" s="20" t="n">
        <v>557580</v>
      </c>
      <c r="F2138" s="20" t="n">
        <v>2898940</v>
      </c>
    </row>
    <row r="2139" customFormat="false" ht="15" hidden="false" customHeight="false" outlineLevel="0" collapsed="false">
      <c r="A2139" s="22" t="n">
        <v>46167</v>
      </c>
      <c r="B2139" s="19" t="s">
        <v>51</v>
      </c>
      <c r="C2139" s="19" t="s">
        <v>70</v>
      </c>
      <c r="D2139" s="19" t="s">
        <v>133</v>
      </c>
      <c r="E2139" s="20" t="n">
        <v>47146</v>
      </c>
      <c r="F2139" s="20" t="n">
        <v>158000</v>
      </c>
    </row>
    <row r="2140" customFormat="false" ht="15" hidden="false" customHeight="false" outlineLevel="0" collapsed="false">
      <c r="A2140" s="22" t="n">
        <v>46167</v>
      </c>
      <c r="B2140" s="19" t="s">
        <v>51</v>
      </c>
      <c r="C2140" s="19" t="s">
        <v>16</v>
      </c>
      <c r="D2140" s="19" t="s">
        <v>139</v>
      </c>
      <c r="E2140" s="20" t="n">
        <v>10955</v>
      </c>
      <c r="F2140" s="20" t="n">
        <v>0</v>
      </c>
    </row>
    <row r="2141" customFormat="false" ht="15" hidden="false" customHeight="false" outlineLevel="0" collapsed="false">
      <c r="A2141" s="22" t="n">
        <v>46167</v>
      </c>
      <c r="B2141" s="19" t="s">
        <v>51</v>
      </c>
      <c r="C2141" s="19" t="s">
        <v>14</v>
      </c>
      <c r="D2141" s="19" t="s">
        <v>143</v>
      </c>
      <c r="E2141" s="20" t="n">
        <v>4665</v>
      </c>
      <c r="F2141" s="20" t="n">
        <v>0</v>
      </c>
    </row>
    <row r="2142" customFormat="false" ht="15" hidden="false" customHeight="false" outlineLevel="0" collapsed="false">
      <c r="A2142" s="22" t="n">
        <v>46167</v>
      </c>
      <c r="B2142" s="19" t="s">
        <v>51</v>
      </c>
      <c r="C2142" s="19" t="s">
        <v>70</v>
      </c>
      <c r="D2142" s="19" t="s">
        <v>92</v>
      </c>
      <c r="E2142" s="20" t="n">
        <v>3611</v>
      </c>
      <c r="F2142" s="20" t="n">
        <v>0</v>
      </c>
    </row>
    <row r="2143" customFormat="false" ht="15" hidden="false" customHeight="false" outlineLevel="0" collapsed="false">
      <c r="A2143" s="22" t="n">
        <v>46167</v>
      </c>
      <c r="B2143" s="19" t="s">
        <v>51</v>
      </c>
      <c r="C2143" s="19" t="s">
        <v>12</v>
      </c>
      <c r="D2143" s="19" t="s">
        <v>122</v>
      </c>
      <c r="E2143" s="20" t="n">
        <v>250000</v>
      </c>
      <c r="F2143" s="20" t="n">
        <v>1345280</v>
      </c>
    </row>
    <row r="2144" customFormat="false" ht="15" hidden="false" customHeight="false" outlineLevel="0" collapsed="false">
      <c r="A2144" s="22" t="n">
        <v>46167</v>
      </c>
      <c r="B2144" s="19" t="s">
        <v>51</v>
      </c>
      <c r="C2144" s="19" t="s">
        <v>12</v>
      </c>
      <c r="D2144" s="19" t="s">
        <v>126</v>
      </c>
      <c r="E2144" s="20" t="n">
        <v>218593</v>
      </c>
      <c r="F2144" s="20" t="n">
        <v>870560</v>
      </c>
    </row>
    <row r="2145" customFormat="false" ht="15" hidden="false" customHeight="false" outlineLevel="0" collapsed="false">
      <c r="A2145" s="22" t="n">
        <v>46168</v>
      </c>
      <c r="B2145" s="19" t="s">
        <v>51</v>
      </c>
      <c r="C2145" s="19" t="s">
        <v>14</v>
      </c>
      <c r="D2145" s="19" t="s">
        <v>73</v>
      </c>
      <c r="E2145" s="20" t="n">
        <v>72165</v>
      </c>
      <c r="F2145" s="20" t="n">
        <v>108000</v>
      </c>
    </row>
    <row r="2146" customFormat="false" ht="15" hidden="false" customHeight="false" outlineLevel="0" collapsed="false">
      <c r="A2146" s="22" t="n">
        <v>46168</v>
      </c>
      <c r="B2146" s="19" t="s">
        <v>51</v>
      </c>
      <c r="C2146" s="19" t="s">
        <v>12</v>
      </c>
      <c r="D2146" s="19" t="s">
        <v>138</v>
      </c>
      <c r="E2146" s="20" t="n">
        <v>135362</v>
      </c>
      <c r="F2146" s="20" t="n">
        <v>649950</v>
      </c>
    </row>
    <row r="2147" customFormat="false" ht="15" hidden="false" customHeight="false" outlineLevel="0" collapsed="false">
      <c r="A2147" s="22" t="n">
        <v>46168</v>
      </c>
      <c r="B2147" s="19" t="s">
        <v>51</v>
      </c>
      <c r="C2147" s="19" t="s">
        <v>14</v>
      </c>
      <c r="D2147" s="19" t="s">
        <v>142</v>
      </c>
      <c r="E2147" s="20" t="n">
        <v>12861</v>
      </c>
      <c r="F2147" s="20" t="n">
        <v>69000</v>
      </c>
    </row>
    <row r="2148" customFormat="false" ht="15" hidden="false" customHeight="false" outlineLevel="0" collapsed="false">
      <c r="A2148" s="22" t="n">
        <v>46168</v>
      </c>
      <c r="B2148" s="19" t="s">
        <v>51</v>
      </c>
      <c r="C2148" s="19" t="s">
        <v>16</v>
      </c>
      <c r="D2148" s="19" t="s">
        <v>140</v>
      </c>
      <c r="E2148" s="20" t="n">
        <v>107791</v>
      </c>
      <c r="F2148" s="20" t="n">
        <v>559760</v>
      </c>
    </row>
    <row r="2149" customFormat="false" ht="15" hidden="false" customHeight="false" outlineLevel="0" collapsed="false">
      <c r="A2149" s="22" t="n">
        <v>46168</v>
      </c>
      <c r="B2149" s="19" t="s">
        <v>51</v>
      </c>
      <c r="C2149" s="19" t="s">
        <v>12</v>
      </c>
      <c r="D2149" s="19" t="s">
        <v>141</v>
      </c>
      <c r="E2149" s="20" t="n">
        <v>151671</v>
      </c>
      <c r="F2149" s="20" t="n">
        <v>1044600</v>
      </c>
    </row>
    <row r="2150" customFormat="false" ht="15" hidden="false" customHeight="false" outlineLevel="0" collapsed="false">
      <c r="A2150" s="22" t="n">
        <v>46168</v>
      </c>
      <c r="B2150" s="19" t="s">
        <v>51</v>
      </c>
      <c r="C2150" s="19" t="s">
        <v>70</v>
      </c>
      <c r="D2150" s="19" t="s">
        <v>133</v>
      </c>
      <c r="E2150" s="20" t="n">
        <v>63286</v>
      </c>
      <c r="F2150" s="20" t="n">
        <v>177940</v>
      </c>
    </row>
    <row r="2151" customFormat="false" ht="15" hidden="false" customHeight="false" outlineLevel="0" collapsed="false">
      <c r="A2151" s="22" t="n">
        <v>46168</v>
      </c>
      <c r="B2151" s="19" t="s">
        <v>51</v>
      </c>
      <c r="C2151" s="19" t="s">
        <v>70</v>
      </c>
      <c r="D2151" s="19" t="s">
        <v>92</v>
      </c>
      <c r="E2151" s="20" t="n">
        <v>10513</v>
      </c>
      <c r="F2151" s="20" t="n">
        <v>209300</v>
      </c>
    </row>
    <row r="2152" customFormat="false" ht="15" hidden="false" customHeight="false" outlineLevel="0" collapsed="false">
      <c r="A2152" s="22" t="n">
        <v>46168</v>
      </c>
      <c r="B2152" s="19" t="s">
        <v>51</v>
      </c>
      <c r="C2152" s="19" t="s">
        <v>70</v>
      </c>
      <c r="D2152" s="19" t="s">
        <v>90</v>
      </c>
      <c r="E2152" s="20" t="n">
        <v>5547</v>
      </c>
      <c r="F2152" s="20" t="n">
        <v>0</v>
      </c>
    </row>
    <row r="2153" customFormat="false" ht="15" hidden="false" customHeight="false" outlineLevel="0" collapsed="false">
      <c r="A2153" s="22" t="n">
        <v>46168</v>
      </c>
      <c r="B2153" s="19" t="s">
        <v>51</v>
      </c>
      <c r="C2153" s="19" t="s">
        <v>16</v>
      </c>
      <c r="D2153" s="19" t="s">
        <v>139</v>
      </c>
      <c r="E2153" s="20" t="n">
        <v>2647</v>
      </c>
      <c r="F2153" s="20" t="n">
        <v>0</v>
      </c>
    </row>
    <row r="2154" customFormat="false" ht="15" hidden="false" customHeight="false" outlineLevel="0" collapsed="false">
      <c r="A2154" s="22" t="n">
        <v>46168</v>
      </c>
      <c r="B2154" s="19" t="s">
        <v>51</v>
      </c>
      <c r="C2154" s="19" t="s">
        <v>14</v>
      </c>
      <c r="D2154" s="19" t="s">
        <v>143</v>
      </c>
      <c r="E2154" s="20" t="n">
        <v>35032</v>
      </c>
      <c r="F2154" s="20" t="n">
        <v>233640</v>
      </c>
    </row>
    <row r="2155" customFormat="false" ht="15" hidden="false" customHeight="false" outlineLevel="0" collapsed="false">
      <c r="A2155" s="22" t="n">
        <v>46168</v>
      </c>
      <c r="B2155" s="19" t="s">
        <v>51</v>
      </c>
      <c r="C2155" s="19" t="s">
        <v>12</v>
      </c>
      <c r="D2155" s="19" t="s">
        <v>122</v>
      </c>
      <c r="E2155" s="20" t="n">
        <v>56451</v>
      </c>
      <c r="F2155" s="20" t="n">
        <v>199000</v>
      </c>
    </row>
    <row r="2156" customFormat="false" ht="15" hidden="false" customHeight="false" outlineLevel="0" collapsed="false">
      <c r="A2156" s="22" t="n">
        <v>46168</v>
      </c>
      <c r="B2156" s="19" t="s">
        <v>51</v>
      </c>
      <c r="C2156" s="19" t="s">
        <v>12</v>
      </c>
      <c r="D2156" s="19" t="s">
        <v>126</v>
      </c>
      <c r="E2156" s="20" t="n">
        <v>400000</v>
      </c>
      <c r="F2156" s="20" t="n">
        <v>1940150</v>
      </c>
    </row>
    <row r="2157" customFormat="false" ht="15" hidden="false" customHeight="false" outlineLevel="0" collapsed="false">
      <c r="A2157" s="22" t="n">
        <v>46169</v>
      </c>
      <c r="B2157" s="19" t="s">
        <v>51</v>
      </c>
      <c r="C2157" s="19" t="s">
        <v>14</v>
      </c>
      <c r="D2157" s="19" t="s">
        <v>73</v>
      </c>
      <c r="E2157" s="20" t="n">
        <v>69800</v>
      </c>
      <c r="F2157" s="20" t="n">
        <v>366720</v>
      </c>
    </row>
    <row r="2158" customFormat="false" ht="15" hidden="false" customHeight="false" outlineLevel="0" collapsed="false">
      <c r="A2158" s="22" t="n">
        <v>46169</v>
      </c>
      <c r="B2158" s="19" t="s">
        <v>51</v>
      </c>
      <c r="C2158" s="19" t="s">
        <v>14</v>
      </c>
      <c r="D2158" s="19" t="s">
        <v>142</v>
      </c>
      <c r="E2158" s="20" t="n">
        <v>92393</v>
      </c>
      <c r="F2158" s="20" t="n">
        <v>497280</v>
      </c>
    </row>
    <row r="2159" customFormat="false" ht="15" hidden="false" customHeight="false" outlineLevel="0" collapsed="false">
      <c r="A2159" s="22" t="n">
        <v>46169</v>
      </c>
      <c r="B2159" s="19" t="s">
        <v>51</v>
      </c>
      <c r="C2159" s="19" t="s">
        <v>12</v>
      </c>
      <c r="D2159" s="19" t="s">
        <v>138</v>
      </c>
      <c r="E2159" s="20" t="n">
        <v>37959</v>
      </c>
      <c r="F2159" s="20" t="n">
        <v>175000</v>
      </c>
    </row>
    <row r="2160" customFormat="false" ht="15" hidden="false" customHeight="false" outlineLevel="0" collapsed="false">
      <c r="A2160" s="22" t="n">
        <v>46169</v>
      </c>
      <c r="B2160" s="19" t="s">
        <v>51</v>
      </c>
      <c r="C2160" s="19" t="s">
        <v>16</v>
      </c>
      <c r="D2160" s="19" t="s">
        <v>140</v>
      </c>
      <c r="E2160" s="20" t="n">
        <v>500000</v>
      </c>
      <c r="F2160" s="20" t="n">
        <v>3008260</v>
      </c>
    </row>
    <row r="2161" customFormat="false" ht="15" hidden="false" customHeight="false" outlineLevel="0" collapsed="false">
      <c r="A2161" s="22" t="n">
        <v>46169</v>
      </c>
      <c r="B2161" s="19" t="s">
        <v>51</v>
      </c>
      <c r="C2161" s="19" t="s">
        <v>12</v>
      </c>
      <c r="D2161" s="19" t="s">
        <v>141</v>
      </c>
      <c r="E2161" s="20" t="n">
        <v>246149</v>
      </c>
      <c r="F2161" s="20" t="n">
        <v>1194650</v>
      </c>
    </row>
    <row r="2162" customFormat="false" ht="15" hidden="false" customHeight="false" outlineLevel="0" collapsed="false">
      <c r="A2162" s="22" t="n">
        <v>46169</v>
      </c>
      <c r="B2162" s="19" t="s">
        <v>51</v>
      </c>
      <c r="C2162" s="19" t="s">
        <v>70</v>
      </c>
      <c r="D2162" s="19" t="s">
        <v>133</v>
      </c>
      <c r="E2162" s="20" t="n">
        <v>19703</v>
      </c>
      <c r="F2162" s="20" t="n">
        <v>0</v>
      </c>
    </row>
    <row r="2163" customFormat="false" ht="15" hidden="false" customHeight="false" outlineLevel="0" collapsed="false">
      <c r="A2163" s="22" t="n">
        <v>46169</v>
      </c>
      <c r="B2163" s="19" t="s">
        <v>51</v>
      </c>
      <c r="C2163" s="19" t="s">
        <v>70</v>
      </c>
      <c r="D2163" s="19" t="s">
        <v>90</v>
      </c>
      <c r="E2163" s="20" t="n">
        <v>27623</v>
      </c>
      <c r="F2163" s="20" t="n">
        <v>94300</v>
      </c>
    </row>
    <row r="2164" customFormat="false" ht="15" hidden="false" customHeight="false" outlineLevel="0" collapsed="false">
      <c r="A2164" s="22" t="n">
        <v>46169</v>
      </c>
      <c r="B2164" s="19" t="s">
        <v>51</v>
      </c>
      <c r="C2164" s="19" t="s">
        <v>70</v>
      </c>
      <c r="D2164" s="19" t="s">
        <v>92</v>
      </c>
      <c r="E2164" s="20" t="n">
        <v>563</v>
      </c>
      <c r="F2164" s="20" t="n">
        <v>188600</v>
      </c>
    </row>
    <row r="2165" customFormat="false" ht="15" hidden="false" customHeight="false" outlineLevel="0" collapsed="false">
      <c r="A2165" s="22" t="n">
        <v>46169</v>
      </c>
      <c r="B2165" s="19" t="s">
        <v>51</v>
      </c>
      <c r="C2165" s="19" t="s">
        <v>12</v>
      </c>
      <c r="D2165" s="19" t="s">
        <v>122</v>
      </c>
      <c r="E2165" s="20" t="n">
        <v>33032</v>
      </c>
      <c r="F2165" s="20" t="n">
        <v>0</v>
      </c>
    </row>
    <row r="2166" customFormat="false" ht="15" hidden="false" customHeight="false" outlineLevel="0" collapsed="false">
      <c r="A2166" s="22" t="n">
        <v>46169</v>
      </c>
      <c r="B2166" s="19" t="s">
        <v>51</v>
      </c>
      <c r="C2166" s="19" t="s">
        <v>13</v>
      </c>
      <c r="D2166" s="19" t="s">
        <v>127</v>
      </c>
      <c r="E2166" s="20" t="n">
        <v>534551</v>
      </c>
      <c r="F2166" s="20" t="n">
        <v>2589100</v>
      </c>
    </row>
    <row r="2167" customFormat="false" ht="15" hidden="false" customHeight="false" outlineLevel="0" collapsed="false">
      <c r="A2167" s="22" t="n">
        <v>46170</v>
      </c>
      <c r="B2167" s="19" t="s">
        <v>51</v>
      </c>
      <c r="C2167" s="19" t="s">
        <v>14</v>
      </c>
      <c r="D2167" s="19" t="s">
        <v>73</v>
      </c>
      <c r="E2167" s="20" t="n">
        <v>167208</v>
      </c>
      <c r="F2167" s="20" t="n">
        <v>802640</v>
      </c>
    </row>
    <row r="2168" customFormat="false" ht="15" hidden="false" customHeight="false" outlineLevel="0" collapsed="false">
      <c r="A2168" s="22" t="n">
        <v>46170</v>
      </c>
      <c r="B2168" s="19" t="s">
        <v>51</v>
      </c>
      <c r="C2168" s="19" t="s">
        <v>12</v>
      </c>
      <c r="D2168" s="19" t="s">
        <v>138</v>
      </c>
      <c r="E2168" s="20" t="n">
        <v>46689</v>
      </c>
      <c r="F2168" s="20" t="n">
        <v>195020</v>
      </c>
    </row>
    <row r="2169" customFormat="false" ht="15" hidden="false" customHeight="false" outlineLevel="0" collapsed="false">
      <c r="A2169" s="22" t="n">
        <v>46170</v>
      </c>
      <c r="B2169" s="19" t="s">
        <v>51</v>
      </c>
      <c r="C2169" s="19" t="s">
        <v>14</v>
      </c>
      <c r="D2169" s="19" t="s">
        <v>142</v>
      </c>
      <c r="E2169" s="20" t="n">
        <v>3250</v>
      </c>
      <c r="F2169" s="20" t="n">
        <v>0</v>
      </c>
    </row>
    <row r="2170" customFormat="false" ht="15" hidden="false" customHeight="false" outlineLevel="0" collapsed="false">
      <c r="A2170" s="22" t="n">
        <v>46170</v>
      </c>
      <c r="B2170" s="19" t="s">
        <v>51</v>
      </c>
      <c r="C2170" s="19" t="s">
        <v>16</v>
      </c>
      <c r="D2170" s="19" t="s">
        <v>140</v>
      </c>
      <c r="E2170" s="20" t="n">
        <v>248447</v>
      </c>
      <c r="F2170" s="20" t="n">
        <v>1176130</v>
      </c>
    </row>
    <row r="2171" customFormat="false" ht="15" hidden="false" customHeight="false" outlineLevel="0" collapsed="false">
      <c r="A2171" s="22" t="n">
        <v>46170</v>
      </c>
      <c r="B2171" s="19" t="s">
        <v>51</v>
      </c>
      <c r="C2171" s="19" t="s">
        <v>12</v>
      </c>
      <c r="D2171" s="19" t="s">
        <v>141</v>
      </c>
      <c r="E2171" s="20" t="n">
        <v>295338</v>
      </c>
      <c r="F2171" s="20" t="n">
        <v>1336150</v>
      </c>
    </row>
    <row r="2172" customFormat="false" ht="15" hidden="false" customHeight="false" outlineLevel="0" collapsed="false">
      <c r="A2172" s="22" t="n">
        <v>46170</v>
      </c>
      <c r="B2172" s="19" t="s">
        <v>51</v>
      </c>
      <c r="C2172" s="19" t="s">
        <v>16</v>
      </c>
      <c r="D2172" s="19" t="s">
        <v>139</v>
      </c>
      <c r="E2172" s="20" t="n">
        <v>178453</v>
      </c>
      <c r="F2172" s="20" t="n">
        <v>1347344</v>
      </c>
    </row>
    <row r="2173" customFormat="false" ht="15" hidden="false" customHeight="false" outlineLevel="0" collapsed="false">
      <c r="A2173" s="22" t="n">
        <v>46170</v>
      </c>
      <c r="B2173" s="19" t="s">
        <v>51</v>
      </c>
      <c r="C2173" s="19" t="s">
        <v>70</v>
      </c>
      <c r="D2173" s="19" t="s">
        <v>133</v>
      </c>
      <c r="E2173" s="20" t="n">
        <v>86513</v>
      </c>
      <c r="F2173" s="20" t="n">
        <v>355880</v>
      </c>
    </row>
    <row r="2174" customFormat="false" ht="15" hidden="false" customHeight="false" outlineLevel="0" collapsed="false">
      <c r="A2174" s="22" t="n">
        <v>46170</v>
      </c>
      <c r="B2174" s="19" t="s">
        <v>51</v>
      </c>
      <c r="C2174" s="19" t="s">
        <v>70</v>
      </c>
      <c r="D2174" s="19" t="s">
        <v>92</v>
      </c>
      <c r="E2174" s="20" t="n">
        <v>6211</v>
      </c>
      <c r="F2174" s="20" t="n">
        <v>0</v>
      </c>
    </row>
    <row r="2175" customFormat="false" ht="15" hidden="false" customHeight="false" outlineLevel="0" collapsed="false">
      <c r="A2175" s="22" t="n">
        <v>46170</v>
      </c>
      <c r="B2175" s="19" t="s">
        <v>51</v>
      </c>
      <c r="C2175" s="19" t="s">
        <v>70</v>
      </c>
      <c r="D2175" s="19" t="s">
        <v>90</v>
      </c>
      <c r="E2175" s="20" t="n">
        <v>8230</v>
      </c>
      <c r="F2175" s="20" t="n">
        <v>0</v>
      </c>
    </row>
    <row r="2176" customFormat="false" ht="15" hidden="false" customHeight="false" outlineLevel="0" collapsed="false">
      <c r="A2176" s="22" t="n">
        <v>46170</v>
      </c>
      <c r="B2176" s="19" t="s">
        <v>51</v>
      </c>
      <c r="C2176" s="19" t="s">
        <v>12</v>
      </c>
      <c r="D2176" s="19" t="s">
        <v>122</v>
      </c>
      <c r="E2176" s="20" t="n">
        <v>162896</v>
      </c>
      <c r="F2176" s="20" t="n">
        <v>792020</v>
      </c>
    </row>
    <row r="2177" customFormat="false" ht="15" hidden="false" customHeight="false" outlineLevel="0" collapsed="false">
      <c r="A2177" s="22" t="n">
        <v>46170</v>
      </c>
      <c r="B2177" s="19" t="s">
        <v>51</v>
      </c>
      <c r="C2177" s="19" t="s">
        <v>12</v>
      </c>
      <c r="D2177" s="19" t="s">
        <v>126</v>
      </c>
      <c r="E2177" s="20" t="n">
        <v>166535</v>
      </c>
      <c r="F2177" s="20" t="n">
        <v>752596</v>
      </c>
    </row>
    <row r="2178" customFormat="false" ht="15" hidden="false" customHeight="false" outlineLevel="0" collapsed="false">
      <c r="A2178" s="22" t="n">
        <v>46171</v>
      </c>
      <c r="B2178" s="19" t="s">
        <v>51</v>
      </c>
      <c r="C2178" s="19" t="s">
        <v>12</v>
      </c>
      <c r="D2178" s="19" t="s">
        <v>138</v>
      </c>
      <c r="E2178" s="20" t="n">
        <v>111642</v>
      </c>
      <c r="F2178" s="20" t="n">
        <v>543950</v>
      </c>
    </row>
    <row r="2179" customFormat="false" ht="15" hidden="false" customHeight="false" outlineLevel="0" collapsed="false">
      <c r="A2179" s="22" t="n">
        <v>46171</v>
      </c>
      <c r="B2179" s="19" t="s">
        <v>51</v>
      </c>
      <c r="C2179" s="19" t="s">
        <v>14</v>
      </c>
      <c r="D2179" s="19" t="s">
        <v>73</v>
      </c>
      <c r="E2179" s="20" t="n">
        <v>1919</v>
      </c>
      <c r="F2179" s="20" t="n">
        <v>0</v>
      </c>
    </row>
    <row r="2180" customFormat="false" ht="15" hidden="false" customHeight="false" outlineLevel="0" collapsed="false">
      <c r="A2180" s="22" t="n">
        <v>46171</v>
      </c>
      <c r="B2180" s="19" t="s">
        <v>51</v>
      </c>
      <c r="C2180" s="19" t="s">
        <v>14</v>
      </c>
      <c r="D2180" s="19" t="s">
        <v>142</v>
      </c>
      <c r="E2180" s="20" t="n">
        <v>938</v>
      </c>
      <c r="F2180" s="20" t="n">
        <v>0</v>
      </c>
    </row>
    <row r="2181" customFormat="false" ht="15" hidden="false" customHeight="false" outlineLevel="0" collapsed="false">
      <c r="A2181" s="22" t="n">
        <v>46171</v>
      </c>
      <c r="B2181" s="19" t="s">
        <v>51</v>
      </c>
      <c r="C2181" s="19" t="s">
        <v>16</v>
      </c>
      <c r="D2181" s="19" t="s">
        <v>140</v>
      </c>
      <c r="E2181" s="20" t="n">
        <v>133757</v>
      </c>
      <c r="F2181" s="20" t="n">
        <v>727580</v>
      </c>
    </row>
    <row r="2182" customFormat="false" ht="15" hidden="false" customHeight="false" outlineLevel="0" collapsed="false">
      <c r="A2182" s="22" t="n">
        <v>46171</v>
      </c>
      <c r="B2182" s="19" t="s">
        <v>51</v>
      </c>
      <c r="C2182" s="19" t="s">
        <v>12</v>
      </c>
      <c r="D2182" s="19" t="s">
        <v>141</v>
      </c>
      <c r="E2182" s="20" t="n">
        <v>441109</v>
      </c>
      <c r="F2182" s="20" t="n">
        <v>2281900</v>
      </c>
    </row>
    <row r="2183" customFormat="false" ht="15" hidden="false" customHeight="false" outlineLevel="0" collapsed="false">
      <c r="A2183" s="22" t="n">
        <v>46171</v>
      </c>
      <c r="B2183" s="19" t="s">
        <v>51</v>
      </c>
      <c r="C2183" s="19" t="s">
        <v>16</v>
      </c>
      <c r="D2183" s="19" t="s">
        <v>139</v>
      </c>
      <c r="E2183" s="20" t="n">
        <v>243852</v>
      </c>
      <c r="F2183" s="20" t="n">
        <v>1381114</v>
      </c>
    </row>
    <row r="2184" customFormat="false" ht="15" hidden="false" customHeight="false" outlineLevel="0" collapsed="false">
      <c r="A2184" s="22" t="n">
        <v>46171</v>
      </c>
      <c r="B2184" s="19" t="s">
        <v>51</v>
      </c>
      <c r="C2184" s="19" t="s">
        <v>70</v>
      </c>
      <c r="D2184" s="19" t="s">
        <v>92</v>
      </c>
      <c r="E2184" s="20" t="n">
        <v>9784</v>
      </c>
      <c r="F2184" s="20" t="n">
        <v>0</v>
      </c>
    </row>
    <row r="2185" customFormat="false" ht="15" hidden="false" customHeight="false" outlineLevel="0" collapsed="false">
      <c r="A2185" s="22" t="n">
        <v>46171</v>
      </c>
      <c r="B2185" s="19" t="s">
        <v>51</v>
      </c>
      <c r="C2185" s="19" t="s">
        <v>70</v>
      </c>
      <c r="D2185" s="19" t="s">
        <v>133</v>
      </c>
      <c r="E2185" s="20" t="n">
        <v>7375</v>
      </c>
      <c r="F2185" s="20" t="n">
        <v>0</v>
      </c>
    </row>
    <row r="2186" customFormat="false" ht="15" hidden="false" customHeight="false" outlineLevel="0" collapsed="false">
      <c r="A2186" s="22" t="n">
        <v>46171</v>
      </c>
      <c r="B2186" s="19" t="s">
        <v>51</v>
      </c>
      <c r="C2186" s="19" t="s">
        <v>70</v>
      </c>
      <c r="D2186" s="19" t="s">
        <v>90</v>
      </c>
      <c r="E2186" s="20" t="n">
        <v>8041</v>
      </c>
      <c r="F2186" s="20" t="n">
        <v>0</v>
      </c>
    </row>
    <row r="2187" customFormat="false" ht="15" hidden="false" customHeight="false" outlineLevel="0" collapsed="false">
      <c r="A2187" s="22" t="n">
        <v>46171</v>
      </c>
      <c r="B2187" s="19" t="s">
        <v>51</v>
      </c>
      <c r="C2187" s="19" t="s">
        <v>12</v>
      </c>
      <c r="D2187" s="19" t="s">
        <v>122</v>
      </c>
      <c r="E2187" s="20" t="n">
        <v>243243</v>
      </c>
      <c r="F2187" s="20" t="n">
        <v>1186040</v>
      </c>
    </row>
    <row r="2188" customFormat="false" ht="15" hidden="false" customHeight="false" outlineLevel="0" collapsed="false">
      <c r="A2188" s="22" t="n">
        <v>46171</v>
      </c>
      <c r="B2188" s="19" t="s">
        <v>51</v>
      </c>
      <c r="C2188" s="19" t="s">
        <v>12</v>
      </c>
      <c r="D2188" s="19" t="s">
        <v>126</v>
      </c>
      <c r="E2188" s="20" t="n">
        <v>63370</v>
      </c>
      <c r="F2188" s="20" t="n">
        <v>172796</v>
      </c>
    </row>
    <row r="2189" customFormat="false" ht="15" hidden="false" customHeight="false" outlineLevel="0" collapsed="false">
      <c r="A2189" s="22" t="n">
        <v>46171</v>
      </c>
      <c r="B2189" s="19" t="s">
        <v>51</v>
      </c>
      <c r="C2189" s="19" t="s">
        <v>13</v>
      </c>
      <c r="D2189" s="19" t="s">
        <v>127</v>
      </c>
      <c r="E2189" s="20" t="n">
        <v>64488</v>
      </c>
      <c r="F2189" s="20" t="n">
        <v>296940</v>
      </c>
    </row>
    <row r="2190" customFormat="false" ht="15" hidden="false" customHeight="false" outlineLevel="0" collapsed="false">
      <c r="A2190" s="22" t="n">
        <v>46171</v>
      </c>
      <c r="B2190" s="19" t="s">
        <v>51</v>
      </c>
      <c r="C2190" s="19" t="s">
        <v>13</v>
      </c>
      <c r="D2190" s="19" t="s">
        <v>136</v>
      </c>
      <c r="E2190" s="20" t="n">
        <v>1000000</v>
      </c>
      <c r="F2190" s="20" t="n">
        <v>7008620</v>
      </c>
    </row>
    <row r="2191" customFormat="false" ht="15" hidden="false" customHeight="false" outlineLevel="0" collapsed="false">
      <c r="A2191" s="22" t="n">
        <v>46172</v>
      </c>
      <c r="B2191" s="19" t="s">
        <v>51</v>
      </c>
      <c r="C2191" s="19" t="s">
        <v>14</v>
      </c>
      <c r="D2191" s="19" t="s">
        <v>73</v>
      </c>
      <c r="E2191" s="20" t="n">
        <v>14192</v>
      </c>
      <c r="F2191" s="20" t="n">
        <v>69000</v>
      </c>
    </row>
    <row r="2192" customFormat="false" ht="15" hidden="false" customHeight="false" outlineLevel="0" collapsed="false">
      <c r="A2192" s="22" t="n">
        <v>46172</v>
      </c>
      <c r="B2192" s="19" t="s">
        <v>51</v>
      </c>
      <c r="C2192" s="19" t="s">
        <v>12</v>
      </c>
      <c r="D2192" s="19" t="s">
        <v>138</v>
      </c>
      <c r="E2192" s="20" t="n">
        <v>6053</v>
      </c>
      <c r="F2192" s="20" t="n">
        <v>0</v>
      </c>
    </row>
    <row r="2193" customFormat="false" ht="15" hidden="false" customHeight="false" outlineLevel="0" collapsed="false">
      <c r="A2193" s="22" t="n">
        <v>46172</v>
      </c>
      <c r="B2193" s="19" t="s">
        <v>51</v>
      </c>
      <c r="C2193" s="19" t="s">
        <v>11</v>
      </c>
      <c r="D2193" s="19" t="s">
        <v>144</v>
      </c>
      <c r="E2193" s="20" t="n">
        <v>2926</v>
      </c>
      <c r="F2193" s="20" t="n">
        <v>0</v>
      </c>
    </row>
    <row r="2194" customFormat="false" ht="15" hidden="false" customHeight="false" outlineLevel="0" collapsed="false">
      <c r="A2194" s="22" t="n">
        <v>46172</v>
      </c>
      <c r="B2194" s="19" t="s">
        <v>51</v>
      </c>
      <c r="C2194" s="19" t="s">
        <v>11</v>
      </c>
      <c r="D2194" s="19" t="s">
        <v>145</v>
      </c>
      <c r="E2194" s="20" t="n">
        <v>1406</v>
      </c>
      <c r="F2194" s="20" t="n">
        <v>0</v>
      </c>
    </row>
    <row r="2195" customFormat="false" ht="15" hidden="false" customHeight="false" outlineLevel="0" collapsed="false">
      <c r="A2195" s="22" t="n">
        <v>46172</v>
      </c>
      <c r="B2195" s="19" t="s">
        <v>51</v>
      </c>
      <c r="C2195" s="19" t="s">
        <v>14</v>
      </c>
      <c r="D2195" s="19" t="s">
        <v>142</v>
      </c>
      <c r="E2195" s="20" t="n">
        <v>1205</v>
      </c>
      <c r="F2195" s="20" t="n">
        <v>0</v>
      </c>
    </row>
    <row r="2196" customFormat="false" ht="15" hidden="false" customHeight="false" outlineLevel="0" collapsed="false">
      <c r="A2196" s="22" t="n">
        <v>46172</v>
      </c>
      <c r="B2196" s="19" t="s">
        <v>51</v>
      </c>
      <c r="C2196" s="19" t="s">
        <v>16</v>
      </c>
      <c r="D2196" s="19" t="s">
        <v>140</v>
      </c>
      <c r="E2196" s="20" t="n">
        <v>310585</v>
      </c>
      <c r="F2196" s="20" t="n">
        <v>1759935</v>
      </c>
    </row>
    <row r="2197" customFormat="false" ht="15" hidden="false" customHeight="false" outlineLevel="0" collapsed="false">
      <c r="A2197" s="22" t="n">
        <v>46172</v>
      </c>
      <c r="B2197" s="19" t="s">
        <v>51</v>
      </c>
      <c r="C2197" s="19" t="s">
        <v>12</v>
      </c>
      <c r="D2197" s="19" t="s">
        <v>141</v>
      </c>
      <c r="E2197" s="20" t="n">
        <v>418604</v>
      </c>
      <c r="F2197" s="20" t="n">
        <v>2264776</v>
      </c>
    </row>
    <row r="2198" customFormat="false" ht="15" hidden="false" customHeight="false" outlineLevel="0" collapsed="false">
      <c r="A2198" s="22" t="n">
        <v>46172</v>
      </c>
      <c r="B2198" s="19" t="s">
        <v>51</v>
      </c>
      <c r="C2198" s="19" t="s">
        <v>70</v>
      </c>
      <c r="D2198" s="19" t="s">
        <v>133</v>
      </c>
      <c r="E2198" s="20" t="n">
        <v>201077</v>
      </c>
      <c r="F2198" s="20" t="n">
        <v>683560</v>
      </c>
    </row>
    <row r="2199" customFormat="false" ht="15" hidden="false" customHeight="false" outlineLevel="0" collapsed="false">
      <c r="A2199" s="22" t="n">
        <v>46172</v>
      </c>
      <c r="B2199" s="19" t="s">
        <v>51</v>
      </c>
      <c r="C2199" s="19" t="s">
        <v>16</v>
      </c>
      <c r="D2199" s="19" t="s">
        <v>139</v>
      </c>
      <c r="E2199" s="20" t="n">
        <v>242027</v>
      </c>
      <c r="F2199" s="20" t="n">
        <v>1802022</v>
      </c>
    </row>
    <row r="2200" customFormat="false" ht="15" hidden="false" customHeight="false" outlineLevel="0" collapsed="false">
      <c r="A2200" s="22" t="n">
        <v>46172</v>
      </c>
      <c r="B2200" s="19" t="s">
        <v>51</v>
      </c>
      <c r="C2200" s="19" t="s">
        <v>70</v>
      </c>
      <c r="D2200" s="19" t="s">
        <v>90</v>
      </c>
      <c r="E2200" s="20" t="n">
        <v>35855</v>
      </c>
      <c r="F2200" s="20" t="n">
        <v>115000</v>
      </c>
    </row>
    <row r="2201" customFormat="false" ht="15" hidden="false" customHeight="false" outlineLevel="0" collapsed="false">
      <c r="A2201" s="22" t="n">
        <v>46172</v>
      </c>
      <c r="B2201" s="19" t="s">
        <v>51</v>
      </c>
      <c r="C2201" s="19" t="s">
        <v>70</v>
      </c>
      <c r="D2201" s="19" t="s">
        <v>92</v>
      </c>
      <c r="E2201" s="20" t="n">
        <v>2878</v>
      </c>
      <c r="F2201" s="20" t="n">
        <v>0</v>
      </c>
    </row>
    <row r="2202" customFormat="false" ht="15" hidden="false" customHeight="false" outlineLevel="0" collapsed="false">
      <c r="A2202" s="22" t="n">
        <v>46172</v>
      </c>
      <c r="B2202" s="19" t="s">
        <v>51</v>
      </c>
      <c r="C2202" s="19" t="s">
        <v>12</v>
      </c>
      <c r="D2202" s="19" t="s">
        <v>122</v>
      </c>
      <c r="E2202" s="20" t="n">
        <v>188192</v>
      </c>
      <c r="F2202" s="20" t="n">
        <v>981265</v>
      </c>
    </row>
    <row r="2203" customFormat="false" ht="15" hidden="false" customHeight="false" outlineLevel="0" collapsed="false">
      <c r="A2203" s="22" t="n">
        <v>46173</v>
      </c>
      <c r="B2203" s="19" t="s">
        <v>51</v>
      </c>
      <c r="C2203" s="19" t="s">
        <v>14</v>
      </c>
      <c r="D2203" s="19" t="s">
        <v>73</v>
      </c>
      <c r="E2203" s="20" t="n">
        <v>23831</v>
      </c>
      <c r="F2203" s="20" t="n">
        <v>0</v>
      </c>
    </row>
    <row r="2204" customFormat="false" ht="15" hidden="false" customHeight="false" outlineLevel="0" collapsed="false">
      <c r="A2204" s="22" t="n">
        <v>46173</v>
      </c>
      <c r="B2204" s="19" t="s">
        <v>51</v>
      </c>
      <c r="C2204" s="19" t="s">
        <v>11</v>
      </c>
      <c r="D2204" s="19" t="s">
        <v>144</v>
      </c>
      <c r="E2204" s="20" t="n">
        <v>1526</v>
      </c>
      <c r="F2204" s="20" t="n">
        <v>0</v>
      </c>
    </row>
    <row r="2205" customFormat="false" ht="15" hidden="false" customHeight="false" outlineLevel="0" collapsed="false">
      <c r="A2205" s="22" t="n">
        <v>46173</v>
      </c>
      <c r="B2205" s="19" t="s">
        <v>51</v>
      </c>
      <c r="C2205" s="19" t="s">
        <v>11</v>
      </c>
      <c r="D2205" s="19" t="s">
        <v>145</v>
      </c>
      <c r="E2205" s="20" t="n">
        <v>2407</v>
      </c>
      <c r="F2205" s="20" t="n">
        <v>0</v>
      </c>
    </row>
    <row r="2206" customFormat="false" ht="15" hidden="false" customHeight="false" outlineLevel="0" collapsed="false">
      <c r="A2206" s="22" t="n">
        <v>46173</v>
      </c>
      <c r="B2206" s="19" t="s">
        <v>51</v>
      </c>
      <c r="C2206" s="19" t="s">
        <v>12</v>
      </c>
      <c r="D2206" s="19" t="s">
        <v>138</v>
      </c>
      <c r="E2206" s="20" t="n">
        <v>11517</v>
      </c>
      <c r="F2206" s="20" t="n">
        <v>0</v>
      </c>
    </row>
    <row r="2207" customFormat="false" ht="15" hidden="false" customHeight="false" outlineLevel="0" collapsed="false">
      <c r="A2207" s="22" t="n">
        <v>46173</v>
      </c>
      <c r="B2207" s="19" t="s">
        <v>51</v>
      </c>
      <c r="C2207" s="19" t="s">
        <v>14</v>
      </c>
      <c r="D2207" s="19" t="s">
        <v>142</v>
      </c>
      <c r="E2207" s="20" t="n">
        <v>397</v>
      </c>
      <c r="F2207" s="20" t="n">
        <v>0</v>
      </c>
    </row>
    <row r="2208" customFormat="false" ht="15" hidden="false" customHeight="false" outlineLevel="0" collapsed="false">
      <c r="A2208" s="22" t="n">
        <v>46173</v>
      </c>
      <c r="B2208" s="19" t="s">
        <v>51</v>
      </c>
      <c r="C2208" s="19" t="s">
        <v>16</v>
      </c>
      <c r="D2208" s="19" t="s">
        <v>140</v>
      </c>
      <c r="E2208" s="20" t="n">
        <v>139220</v>
      </c>
      <c r="F2208" s="20" t="n">
        <v>612000</v>
      </c>
    </row>
    <row r="2209" customFormat="false" ht="15" hidden="false" customHeight="false" outlineLevel="0" collapsed="false">
      <c r="A2209" s="22" t="n">
        <v>46173</v>
      </c>
      <c r="B2209" s="19" t="s">
        <v>51</v>
      </c>
      <c r="C2209" s="19" t="s">
        <v>16</v>
      </c>
      <c r="D2209" s="19" t="s">
        <v>139</v>
      </c>
      <c r="E2209" s="20" t="n">
        <v>250000</v>
      </c>
      <c r="F2209" s="20" t="n">
        <v>1674450</v>
      </c>
    </row>
    <row r="2210" customFormat="false" ht="15" hidden="false" customHeight="false" outlineLevel="0" collapsed="false">
      <c r="A2210" s="22" t="n">
        <v>46173</v>
      </c>
      <c r="B2210" s="19" t="s">
        <v>51</v>
      </c>
      <c r="C2210" s="19" t="s">
        <v>12</v>
      </c>
      <c r="D2210" s="19" t="s">
        <v>141</v>
      </c>
      <c r="E2210" s="20" t="n">
        <v>292285</v>
      </c>
      <c r="F2210" s="20" t="n">
        <v>1298950</v>
      </c>
    </row>
    <row r="2211" customFormat="false" ht="15" hidden="false" customHeight="false" outlineLevel="0" collapsed="false">
      <c r="A2211" s="22" t="n">
        <v>46173</v>
      </c>
      <c r="B2211" s="19" t="s">
        <v>51</v>
      </c>
      <c r="C2211" s="19" t="s">
        <v>70</v>
      </c>
      <c r="D2211" s="19" t="s">
        <v>133</v>
      </c>
      <c r="E2211" s="20" t="n">
        <v>79675</v>
      </c>
      <c r="F2211" s="20" t="n">
        <v>162360</v>
      </c>
    </row>
    <row r="2212" customFormat="false" ht="15" hidden="false" customHeight="false" outlineLevel="0" collapsed="false">
      <c r="A2212" s="22" t="n">
        <v>46173</v>
      </c>
      <c r="B2212" s="19" t="s">
        <v>51</v>
      </c>
      <c r="C2212" s="19" t="s">
        <v>70</v>
      </c>
      <c r="D2212" s="19" t="s">
        <v>92</v>
      </c>
      <c r="E2212" s="20" t="n">
        <v>13804</v>
      </c>
      <c r="F2212" s="20" t="n">
        <v>0</v>
      </c>
    </row>
    <row r="2213" customFormat="false" ht="15" hidden="false" customHeight="false" outlineLevel="0" collapsed="false">
      <c r="A2213" s="22" t="n">
        <v>46173</v>
      </c>
      <c r="B2213" s="19" t="s">
        <v>51</v>
      </c>
      <c r="C2213" s="19" t="s">
        <v>70</v>
      </c>
      <c r="D2213" s="19" t="s">
        <v>90</v>
      </c>
      <c r="E2213" s="20" t="n">
        <v>11503</v>
      </c>
      <c r="F2213" s="20" t="n">
        <v>0</v>
      </c>
    </row>
    <row r="2214" customFormat="false" ht="15" hidden="false" customHeight="false" outlineLevel="0" collapsed="false">
      <c r="A2214" s="22" t="n">
        <v>46173</v>
      </c>
      <c r="B2214" s="19" t="s">
        <v>51</v>
      </c>
      <c r="C2214" s="19" t="s">
        <v>14</v>
      </c>
      <c r="D2214" s="19" t="s">
        <v>143</v>
      </c>
      <c r="E2214" s="20" t="n">
        <v>1</v>
      </c>
      <c r="F2214" s="20" t="n">
        <v>0</v>
      </c>
    </row>
    <row r="2215" customFormat="false" ht="15" hidden="false" customHeight="false" outlineLevel="0" collapsed="false">
      <c r="A2215" s="22" t="n">
        <v>46173</v>
      </c>
      <c r="B2215" s="19" t="s">
        <v>51</v>
      </c>
      <c r="C2215" s="19" t="s">
        <v>12</v>
      </c>
      <c r="D2215" s="19" t="s">
        <v>122</v>
      </c>
      <c r="E2215" s="20" t="n">
        <v>29961</v>
      </c>
      <c r="F2215" s="20" t="n">
        <v>0</v>
      </c>
    </row>
    <row r="2216" customFormat="false" ht="15" hidden="false" customHeight="false" outlineLevel="0" collapsed="false">
      <c r="A2216" s="22" t="n">
        <v>46174</v>
      </c>
      <c r="B2216" s="19" t="s">
        <v>51</v>
      </c>
      <c r="C2216" s="19" t="s">
        <v>14</v>
      </c>
      <c r="D2216" s="19" t="s">
        <v>73</v>
      </c>
      <c r="E2216" s="20" t="n">
        <v>61933</v>
      </c>
      <c r="F2216" s="20" t="n">
        <v>239040</v>
      </c>
    </row>
    <row r="2217" customFormat="false" ht="15" hidden="false" customHeight="false" outlineLevel="0" collapsed="false">
      <c r="A2217" s="22" t="n">
        <v>46174</v>
      </c>
      <c r="B2217" s="19" t="s">
        <v>51</v>
      </c>
      <c r="C2217" s="19" t="s">
        <v>12</v>
      </c>
      <c r="D2217" s="19" t="s">
        <v>138</v>
      </c>
      <c r="E2217" s="20" t="n">
        <v>42621</v>
      </c>
      <c r="F2217" s="20" t="n">
        <v>69000</v>
      </c>
    </row>
    <row r="2218" customFormat="false" ht="15" hidden="false" customHeight="false" outlineLevel="0" collapsed="false">
      <c r="A2218" s="22" t="n">
        <v>46174</v>
      </c>
      <c r="B2218" s="19" t="s">
        <v>51</v>
      </c>
      <c r="C2218" s="19" t="s">
        <v>11</v>
      </c>
      <c r="D2218" s="19" t="s">
        <v>145</v>
      </c>
      <c r="E2218" s="20" t="n">
        <v>39319</v>
      </c>
      <c r="F2218" s="20" t="n">
        <v>0</v>
      </c>
    </row>
    <row r="2219" customFormat="false" ht="15" hidden="false" customHeight="false" outlineLevel="0" collapsed="false">
      <c r="A2219" s="22" t="n">
        <v>46174</v>
      </c>
      <c r="B2219" s="19" t="s">
        <v>51</v>
      </c>
      <c r="C2219" s="19" t="s">
        <v>11</v>
      </c>
      <c r="D2219" s="19" t="s">
        <v>144</v>
      </c>
      <c r="E2219" s="20" t="n">
        <v>39192</v>
      </c>
      <c r="F2219" s="20" t="n">
        <v>0</v>
      </c>
    </row>
    <row r="2220" customFormat="false" ht="15" hidden="false" customHeight="false" outlineLevel="0" collapsed="false">
      <c r="A2220" s="22" t="n">
        <v>46174</v>
      </c>
      <c r="B2220" s="19" t="s">
        <v>51</v>
      </c>
      <c r="C2220" s="19" t="s">
        <v>14</v>
      </c>
      <c r="D2220" s="19" t="s">
        <v>142</v>
      </c>
      <c r="E2220" s="20" t="n">
        <v>455</v>
      </c>
      <c r="F2220" s="20" t="n">
        <v>0</v>
      </c>
    </row>
    <row r="2221" customFormat="false" ht="15" hidden="false" customHeight="false" outlineLevel="0" collapsed="false">
      <c r="A2221" s="22" t="n">
        <v>46174</v>
      </c>
      <c r="B2221" s="19" t="s">
        <v>51</v>
      </c>
      <c r="C2221" s="19" t="s">
        <v>12</v>
      </c>
      <c r="D2221" s="19" t="s">
        <v>141</v>
      </c>
      <c r="E2221" s="20" t="n">
        <v>512782</v>
      </c>
      <c r="F2221" s="20" t="n">
        <v>2874090</v>
      </c>
    </row>
    <row r="2222" customFormat="false" ht="15" hidden="false" customHeight="false" outlineLevel="0" collapsed="false">
      <c r="A2222" s="22" t="n">
        <v>46174</v>
      </c>
      <c r="B2222" s="19" t="s">
        <v>51</v>
      </c>
      <c r="C2222" s="19" t="s">
        <v>16</v>
      </c>
      <c r="D2222" s="19" t="s">
        <v>140</v>
      </c>
      <c r="E2222" s="20" t="n">
        <v>50696</v>
      </c>
      <c r="F2222" s="20" t="n">
        <v>318400</v>
      </c>
    </row>
    <row r="2223" customFormat="false" ht="15" hidden="false" customHeight="false" outlineLevel="0" collapsed="false">
      <c r="A2223" s="22" t="n">
        <v>46174</v>
      </c>
      <c r="B2223" s="19" t="s">
        <v>51</v>
      </c>
      <c r="C2223" s="19" t="s">
        <v>16</v>
      </c>
      <c r="D2223" s="19" t="s">
        <v>139</v>
      </c>
      <c r="E2223" s="20" t="n">
        <v>176567</v>
      </c>
      <c r="F2223" s="20" t="n">
        <v>185000</v>
      </c>
    </row>
    <row r="2224" customFormat="false" ht="15" hidden="false" customHeight="false" outlineLevel="0" collapsed="false">
      <c r="A2224" s="22" t="n">
        <v>46174</v>
      </c>
      <c r="B2224" s="19" t="s">
        <v>51</v>
      </c>
      <c r="C2224" s="19" t="s">
        <v>70</v>
      </c>
      <c r="D2224" s="19" t="s">
        <v>133</v>
      </c>
      <c r="E2224" s="20" t="n">
        <v>7693</v>
      </c>
      <c r="F2224" s="20" t="n">
        <v>0</v>
      </c>
    </row>
    <row r="2225" customFormat="false" ht="15" hidden="false" customHeight="false" outlineLevel="0" collapsed="false">
      <c r="A2225" s="22" t="n">
        <v>46174</v>
      </c>
      <c r="B2225" s="19" t="s">
        <v>51</v>
      </c>
      <c r="C2225" s="19" t="s">
        <v>70</v>
      </c>
      <c r="D2225" s="19" t="s">
        <v>92</v>
      </c>
      <c r="E2225" s="20" t="n">
        <v>32965</v>
      </c>
      <c r="F2225" s="20" t="n">
        <v>115000</v>
      </c>
    </row>
    <row r="2226" customFormat="false" ht="15" hidden="false" customHeight="false" outlineLevel="0" collapsed="false">
      <c r="A2226" s="22" t="n">
        <v>46174</v>
      </c>
      <c r="B2226" s="19" t="s">
        <v>51</v>
      </c>
      <c r="C2226" s="19" t="s">
        <v>70</v>
      </c>
      <c r="D2226" s="19" t="s">
        <v>90</v>
      </c>
      <c r="E2226" s="20" t="n">
        <v>13056</v>
      </c>
      <c r="F2226" s="20" t="n">
        <v>0</v>
      </c>
    </row>
    <row r="2227" customFormat="false" ht="15" hidden="false" customHeight="false" outlineLevel="0" collapsed="false">
      <c r="A2227" s="22" t="n">
        <v>46174</v>
      </c>
      <c r="B2227" s="19" t="s">
        <v>51</v>
      </c>
      <c r="C2227" s="19" t="s">
        <v>14</v>
      </c>
      <c r="D2227" s="19" t="s">
        <v>143</v>
      </c>
      <c r="E2227" s="20" t="n">
        <v>4547</v>
      </c>
      <c r="F2227" s="20" t="n">
        <v>0</v>
      </c>
    </row>
    <row r="2228" customFormat="false" ht="15" hidden="false" customHeight="false" outlineLevel="0" collapsed="false">
      <c r="A2228" s="22" t="n">
        <v>46174</v>
      </c>
      <c r="B2228" s="19" t="s">
        <v>51</v>
      </c>
      <c r="C2228" s="19" t="s">
        <v>12</v>
      </c>
      <c r="D2228" s="19" t="s">
        <v>122</v>
      </c>
      <c r="E2228" s="20" t="n">
        <v>36944</v>
      </c>
      <c r="F2228" s="20" t="n">
        <v>0</v>
      </c>
    </row>
    <row r="2229" customFormat="false" ht="15" hidden="false" customHeight="false" outlineLevel="0" collapsed="false">
      <c r="A2229" s="22" t="n">
        <v>46175</v>
      </c>
      <c r="B2229" s="19" t="s">
        <v>51</v>
      </c>
      <c r="C2229" s="19" t="s">
        <v>12</v>
      </c>
      <c r="D2229" s="19" t="s">
        <v>138</v>
      </c>
      <c r="E2229" s="20" t="n">
        <v>70458</v>
      </c>
      <c r="F2229" s="20" t="n">
        <v>340500</v>
      </c>
    </row>
    <row r="2230" customFormat="false" ht="15" hidden="false" customHeight="false" outlineLevel="0" collapsed="false">
      <c r="A2230" s="22" t="n">
        <v>46175</v>
      </c>
      <c r="B2230" s="19" t="s">
        <v>51</v>
      </c>
      <c r="C2230" s="19" t="s">
        <v>14</v>
      </c>
      <c r="D2230" s="19" t="s">
        <v>73</v>
      </c>
      <c r="E2230" s="20" t="n">
        <v>97257</v>
      </c>
      <c r="F2230" s="20" t="n">
        <v>405540</v>
      </c>
    </row>
    <row r="2231" customFormat="false" ht="15" hidden="false" customHeight="false" outlineLevel="0" collapsed="false">
      <c r="A2231" s="22" t="n">
        <v>46175</v>
      </c>
      <c r="B2231" s="19" t="s">
        <v>51</v>
      </c>
      <c r="C2231" s="19" t="s">
        <v>11</v>
      </c>
      <c r="D2231" s="19" t="s">
        <v>145</v>
      </c>
      <c r="E2231" s="20" t="n">
        <v>61732</v>
      </c>
      <c r="F2231" s="20" t="n">
        <v>0</v>
      </c>
    </row>
    <row r="2232" customFormat="false" ht="15" hidden="false" customHeight="false" outlineLevel="0" collapsed="false">
      <c r="A2232" s="22" t="n">
        <v>46175</v>
      </c>
      <c r="B2232" s="19" t="s">
        <v>51</v>
      </c>
      <c r="C2232" s="19" t="s">
        <v>11</v>
      </c>
      <c r="D2232" s="19" t="s">
        <v>144</v>
      </c>
      <c r="E2232" s="20" t="n">
        <v>41771</v>
      </c>
      <c r="F2232" s="20" t="n">
        <v>0</v>
      </c>
    </row>
    <row r="2233" customFormat="false" ht="15" hidden="false" customHeight="false" outlineLevel="0" collapsed="false">
      <c r="A2233" s="22" t="n">
        <v>46175</v>
      </c>
      <c r="B2233" s="19" t="s">
        <v>51</v>
      </c>
      <c r="C2233" s="19" t="s">
        <v>14</v>
      </c>
      <c r="D2233" s="19" t="s">
        <v>142</v>
      </c>
      <c r="E2233" s="20" t="n">
        <v>1160</v>
      </c>
      <c r="F2233" s="20" t="n">
        <v>0</v>
      </c>
    </row>
    <row r="2234" customFormat="false" ht="15" hidden="false" customHeight="false" outlineLevel="0" collapsed="false">
      <c r="A2234" s="22" t="n">
        <v>46175</v>
      </c>
      <c r="B2234" s="19" t="s">
        <v>51</v>
      </c>
      <c r="C2234" s="19" t="s">
        <v>16</v>
      </c>
      <c r="D2234" s="19" t="s">
        <v>140</v>
      </c>
      <c r="E2234" s="20" t="n">
        <v>196378</v>
      </c>
      <c r="F2234" s="20" t="n">
        <v>1241466</v>
      </c>
    </row>
    <row r="2235" customFormat="false" ht="15" hidden="false" customHeight="false" outlineLevel="0" collapsed="false">
      <c r="A2235" s="22" t="n">
        <v>46175</v>
      </c>
      <c r="B2235" s="19" t="s">
        <v>51</v>
      </c>
      <c r="C2235" s="19" t="s">
        <v>12</v>
      </c>
      <c r="D2235" s="19" t="s">
        <v>141</v>
      </c>
      <c r="E2235" s="20" t="n">
        <v>124351</v>
      </c>
      <c r="F2235" s="20" t="n">
        <v>315250</v>
      </c>
    </row>
    <row r="2236" customFormat="false" ht="15" hidden="false" customHeight="false" outlineLevel="0" collapsed="false">
      <c r="A2236" s="22" t="n">
        <v>46175</v>
      </c>
      <c r="B2236" s="19" t="s">
        <v>51</v>
      </c>
      <c r="C2236" s="19" t="s">
        <v>70</v>
      </c>
      <c r="D2236" s="19" t="s">
        <v>133</v>
      </c>
      <c r="E2236" s="20" t="n">
        <v>27764</v>
      </c>
      <c r="F2236" s="20" t="n">
        <v>94300</v>
      </c>
    </row>
    <row r="2237" customFormat="false" ht="15" hidden="false" customHeight="false" outlineLevel="0" collapsed="false">
      <c r="A2237" s="22" t="n">
        <v>46175</v>
      </c>
      <c r="B2237" s="19" t="s">
        <v>51</v>
      </c>
      <c r="C2237" s="19" t="s">
        <v>16</v>
      </c>
      <c r="D2237" s="19" t="s">
        <v>139</v>
      </c>
      <c r="E2237" s="20" t="n">
        <v>17468</v>
      </c>
      <c r="F2237" s="20" t="n">
        <v>0</v>
      </c>
    </row>
    <row r="2238" customFormat="false" ht="15" hidden="false" customHeight="false" outlineLevel="0" collapsed="false">
      <c r="A2238" s="22" t="n">
        <v>46175</v>
      </c>
      <c r="B2238" s="19" t="s">
        <v>51</v>
      </c>
      <c r="C2238" s="19" t="s">
        <v>70</v>
      </c>
      <c r="D2238" s="19" t="s">
        <v>92</v>
      </c>
      <c r="E2238" s="20" t="n">
        <v>5623</v>
      </c>
      <c r="F2238" s="20" t="n">
        <v>0</v>
      </c>
    </row>
    <row r="2239" customFormat="false" ht="15" hidden="false" customHeight="false" outlineLevel="0" collapsed="false">
      <c r="A2239" s="22" t="n">
        <v>46175</v>
      </c>
      <c r="B2239" s="19" t="s">
        <v>51</v>
      </c>
      <c r="C2239" s="19" t="s">
        <v>70</v>
      </c>
      <c r="D2239" s="19" t="s">
        <v>90</v>
      </c>
      <c r="E2239" s="20" t="n">
        <v>5999</v>
      </c>
      <c r="F2239" s="20" t="n">
        <v>0</v>
      </c>
    </row>
    <row r="2240" customFormat="false" ht="15" hidden="false" customHeight="false" outlineLevel="0" collapsed="false">
      <c r="A2240" s="22" t="n">
        <v>46175</v>
      </c>
      <c r="B2240" s="19" t="s">
        <v>51</v>
      </c>
      <c r="C2240" s="19" t="s">
        <v>12</v>
      </c>
      <c r="D2240" s="19" t="s">
        <v>122</v>
      </c>
      <c r="E2240" s="20" t="n">
        <v>130308</v>
      </c>
      <c r="F2240" s="20" t="n">
        <v>987040</v>
      </c>
    </row>
    <row r="2241" customFormat="false" ht="15" hidden="false" customHeight="false" outlineLevel="0" collapsed="false">
      <c r="A2241" s="22" t="n">
        <v>46176</v>
      </c>
      <c r="B2241" s="19" t="s">
        <v>51</v>
      </c>
      <c r="C2241" s="19" t="s">
        <v>12</v>
      </c>
      <c r="D2241" s="19" t="s">
        <v>138</v>
      </c>
      <c r="E2241" s="20" t="n">
        <v>54670</v>
      </c>
      <c r="F2241" s="20" t="n">
        <v>207000</v>
      </c>
    </row>
    <row r="2242" customFormat="false" ht="15" hidden="false" customHeight="false" outlineLevel="0" collapsed="false">
      <c r="A2242" s="22" t="n">
        <v>46176</v>
      </c>
      <c r="B2242" s="19" t="s">
        <v>51</v>
      </c>
      <c r="C2242" s="19" t="s">
        <v>14</v>
      </c>
      <c r="D2242" s="19" t="s">
        <v>73</v>
      </c>
      <c r="E2242" s="20" t="n">
        <v>139880</v>
      </c>
      <c r="F2242" s="20" t="n">
        <v>647690</v>
      </c>
    </row>
    <row r="2243" customFormat="false" ht="15" hidden="false" customHeight="false" outlineLevel="0" collapsed="false">
      <c r="A2243" s="22" t="n">
        <v>46176</v>
      </c>
      <c r="B2243" s="19" t="s">
        <v>51</v>
      </c>
      <c r="C2243" s="19" t="s">
        <v>11</v>
      </c>
      <c r="D2243" s="19" t="s">
        <v>145</v>
      </c>
      <c r="E2243" s="20" t="n">
        <v>45812</v>
      </c>
      <c r="F2243" s="20" t="n">
        <v>295000</v>
      </c>
    </row>
    <row r="2244" customFormat="false" ht="15" hidden="false" customHeight="false" outlineLevel="0" collapsed="false">
      <c r="A2244" s="22" t="n">
        <v>46176</v>
      </c>
      <c r="B2244" s="19" t="s">
        <v>51</v>
      </c>
      <c r="C2244" s="19" t="s">
        <v>14</v>
      </c>
      <c r="D2244" s="19" t="s">
        <v>142</v>
      </c>
      <c r="E2244" s="20" t="n">
        <v>40923</v>
      </c>
      <c r="F2244" s="20" t="n">
        <v>207000</v>
      </c>
    </row>
    <row r="2245" customFormat="false" ht="15" hidden="false" customHeight="false" outlineLevel="0" collapsed="false">
      <c r="A2245" s="22" t="n">
        <v>46176</v>
      </c>
      <c r="B2245" s="19" t="s">
        <v>51</v>
      </c>
      <c r="C2245" s="19" t="s">
        <v>11</v>
      </c>
      <c r="D2245" s="19" t="s">
        <v>144</v>
      </c>
      <c r="E2245" s="20" t="n">
        <v>59330</v>
      </c>
      <c r="F2245" s="20" t="n">
        <v>0</v>
      </c>
    </row>
    <row r="2246" customFormat="false" ht="15" hidden="false" customHeight="false" outlineLevel="0" collapsed="false">
      <c r="A2246" s="22" t="n">
        <v>46176</v>
      </c>
      <c r="B2246" s="19" t="s">
        <v>51</v>
      </c>
      <c r="C2246" s="19" t="s">
        <v>16</v>
      </c>
      <c r="D2246" s="19" t="s">
        <v>140</v>
      </c>
      <c r="E2246" s="20" t="n">
        <v>528415</v>
      </c>
      <c r="F2246" s="20" t="n">
        <v>3490050</v>
      </c>
    </row>
    <row r="2247" customFormat="false" ht="15" hidden="false" customHeight="false" outlineLevel="0" collapsed="false">
      <c r="A2247" s="22" t="n">
        <v>46176</v>
      </c>
      <c r="B2247" s="19" t="s">
        <v>51</v>
      </c>
      <c r="C2247" s="19" t="s">
        <v>12</v>
      </c>
      <c r="D2247" s="19" t="s">
        <v>141</v>
      </c>
      <c r="E2247" s="20" t="n">
        <v>76522</v>
      </c>
      <c r="F2247" s="20" t="n">
        <v>286150</v>
      </c>
    </row>
    <row r="2248" customFormat="false" ht="15" hidden="false" customHeight="false" outlineLevel="0" collapsed="false">
      <c r="A2248" s="22" t="n">
        <v>46176</v>
      </c>
      <c r="B2248" s="19" t="s">
        <v>51</v>
      </c>
      <c r="C2248" s="19" t="s">
        <v>16</v>
      </c>
      <c r="D2248" s="19" t="s">
        <v>139</v>
      </c>
      <c r="E2248" s="20" t="n">
        <v>3181</v>
      </c>
      <c r="F2248" s="20" t="n">
        <v>0</v>
      </c>
    </row>
    <row r="2249" customFormat="false" ht="15" hidden="false" customHeight="false" outlineLevel="0" collapsed="false">
      <c r="A2249" s="22" t="n">
        <v>46176</v>
      </c>
      <c r="B2249" s="19" t="s">
        <v>51</v>
      </c>
      <c r="C2249" s="19" t="s">
        <v>70</v>
      </c>
      <c r="D2249" s="19" t="s">
        <v>133</v>
      </c>
      <c r="E2249" s="20" t="n">
        <v>4276</v>
      </c>
      <c r="F2249" s="20" t="n">
        <v>0</v>
      </c>
    </row>
    <row r="2250" customFormat="false" ht="15" hidden="false" customHeight="false" outlineLevel="0" collapsed="false">
      <c r="A2250" s="22" t="n">
        <v>46176</v>
      </c>
      <c r="B2250" s="19" t="s">
        <v>51</v>
      </c>
      <c r="C2250" s="19" t="s">
        <v>14</v>
      </c>
      <c r="D2250" s="19" t="s">
        <v>143</v>
      </c>
      <c r="E2250" s="20" t="n">
        <v>6706</v>
      </c>
      <c r="F2250" s="20" t="n">
        <v>0</v>
      </c>
    </row>
    <row r="2251" customFormat="false" ht="15" hidden="false" customHeight="false" outlineLevel="0" collapsed="false">
      <c r="A2251" s="22" t="n">
        <v>46176</v>
      </c>
      <c r="B2251" s="19" t="s">
        <v>51</v>
      </c>
      <c r="C2251" s="19" t="s">
        <v>70</v>
      </c>
      <c r="D2251" s="19" t="s">
        <v>90</v>
      </c>
      <c r="E2251" s="20" t="n">
        <v>2043</v>
      </c>
      <c r="F2251" s="20" t="n">
        <v>0</v>
      </c>
    </row>
    <row r="2252" customFormat="false" ht="15" hidden="false" customHeight="false" outlineLevel="0" collapsed="false">
      <c r="A2252" s="22" t="n">
        <v>46177</v>
      </c>
      <c r="B2252" s="19" t="s">
        <v>51</v>
      </c>
      <c r="C2252" s="19" t="s">
        <v>12</v>
      </c>
      <c r="D2252" s="19" t="s">
        <v>138</v>
      </c>
      <c r="E2252" s="20" t="n">
        <v>112714</v>
      </c>
      <c r="F2252" s="20" t="n">
        <v>581150</v>
      </c>
    </row>
    <row r="2253" customFormat="false" ht="15" hidden="false" customHeight="false" outlineLevel="0" collapsed="false">
      <c r="A2253" s="22" t="n">
        <v>46177</v>
      </c>
      <c r="B2253" s="19" t="s">
        <v>51</v>
      </c>
      <c r="C2253" s="19" t="s">
        <v>14</v>
      </c>
      <c r="D2253" s="19" t="s">
        <v>73</v>
      </c>
      <c r="E2253" s="20" t="n">
        <v>9412</v>
      </c>
      <c r="F2253" s="20" t="n">
        <v>0</v>
      </c>
    </row>
    <row r="2254" customFormat="false" ht="15" hidden="false" customHeight="false" outlineLevel="0" collapsed="false">
      <c r="A2254" s="22" t="n">
        <v>46177</v>
      </c>
      <c r="B2254" s="19" t="s">
        <v>51</v>
      </c>
      <c r="C2254" s="19" t="s">
        <v>11</v>
      </c>
      <c r="D2254" s="19" t="s">
        <v>144</v>
      </c>
      <c r="E2254" s="20" t="n">
        <v>17411</v>
      </c>
      <c r="F2254" s="20" t="n">
        <v>0</v>
      </c>
    </row>
    <row r="2255" customFormat="false" ht="15" hidden="false" customHeight="false" outlineLevel="0" collapsed="false">
      <c r="A2255" s="22" t="n">
        <v>46177</v>
      </c>
      <c r="B2255" s="19" t="s">
        <v>51</v>
      </c>
      <c r="C2255" s="19" t="s">
        <v>11</v>
      </c>
      <c r="D2255" s="19" t="s">
        <v>145</v>
      </c>
      <c r="E2255" s="20" t="n">
        <v>4774</v>
      </c>
      <c r="F2255" s="20" t="n">
        <v>0</v>
      </c>
    </row>
    <row r="2256" customFormat="false" ht="15" hidden="false" customHeight="false" outlineLevel="0" collapsed="false">
      <c r="A2256" s="22" t="n">
        <v>46177</v>
      </c>
      <c r="B2256" s="19" t="s">
        <v>51</v>
      </c>
      <c r="C2256" s="19" t="s">
        <v>16</v>
      </c>
      <c r="D2256" s="19" t="s">
        <v>140</v>
      </c>
      <c r="E2256" s="20" t="n">
        <v>325128</v>
      </c>
      <c r="F2256" s="20" t="n">
        <v>1660550</v>
      </c>
    </row>
    <row r="2257" customFormat="false" ht="15" hidden="false" customHeight="false" outlineLevel="0" collapsed="false">
      <c r="A2257" s="22" t="n">
        <v>46177</v>
      </c>
      <c r="B2257" s="19" t="s">
        <v>51</v>
      </c>
      <c r="C2257" s="19" t="s">
        <v>12</v>
      </c>
      <c r="D2257" s="19" t="s">
        <v>141</v>
      </c>
      <c r="E2257" s="20" t="n">
        <v>74848</v>
      </c>
      <c r="F2257" s="20" t="n">
        <v>764750</v>
      </c>
    </row>
    <row r="2258" customFormat="false" ht="15" hidden="false" customHeight="false" outlineLevel="0" collapsed="false">
      <c r="A2258" s="22" t="n">
        <v>46177</v>
      </c>
      <c r="B2258" s="19" t="s">
        <v>51</v>
      </c>
      <c r="C2258" s="19" t="s">
        <v>16</v>
      </c>
      <c r="D2258" s="19" t="s">
        <v>139</v>
      </c>
      <c r="E2258" s="20" t="n">
        <v>39982</v>
      </c>
      <c r="F2258" s="20" t="n">
        <v>154840</v>
      </c>
    </row>
    <row r="2259" customFormat="false" ht="15" hidden="false" customHeight="false" outlineLevel="0" collapsed="false">
      <c r="A2259" s="22" t="n">
        <v>46177</v>
      </c>
      <c r="B2259" s="19" t="s">
        <v>51</v>
      </c>
      <c r="C2259" s="19" t="s">
        <v>70</v>
      </c>
      <c r="D2259" s="19" t="s">
        <v>133</v>
      </c>
      <c r="E2259" s="20" t="n">
        <v>542</v>
      </c>
      <c r="F2259" s="20" t="n">
        <v>0</v>
      </c>
    </row>
    <row r="2260" customFormat="false" ht="15" hidden="false" customHeight="false" outlineLevel="0" collapsed="false">
      <c r="A2260" s="22" t="n">
        <v>46177</v>
      </c>
      <c r="B2260" s="19" t="s">
        <v>51</v>
      </c>
      <c r="C2260" s="19" t="s">
        <v>14</v>
      </c>
      <c r="D2260" s="19" t="s">
        <v>143</v>
      </c>
      <c r="E2260" s="20" t="n">
        <v>11058</v>
      </c>
      <c r="F2260" s="20" t="n">
        <v>69000</v>
      </c>
    </row>
    <row r="2261" customFormat="false" ht="15" hidden="false" customHeight="false" outlineLevel="0" collapsed="false">
      <c r="A2261" s="22" t="n">
        <v>46177</v>
      </c>
      <c r="B2261" s="19" t="s">
        <v>51</v>
      </c>
      <c r="C2261" s="19" t="s">
        <v>70</v>
      </c>
      <c r="D2261" s="19" t="s">
        <v>92</v>
      </c>
      <c r="E2261" s="20" t="n">
        <v>1</v>
      </c>
      <c r="F2261" s="20" t="n">
        <v>0</v>
      </c>
    </row>
    <row r="2262" customFormat="false" ht="15" hidden="false" customHeight="false" outlineLevel="0" collapsed="false">
      <c r="A2262" s="22" t="n">
        <v>46177</v>
      </c>
      <c r="B2262" s="19" t="s">
        <v>51</v>
      </c>
      <c r="C2262" s="19" t="s">
        <v>12</v>
      </c>
      <c r="D2262" s="19" t="s">
        <v>122</v>
      </c>
      <c r="E2262" s="20" t="n">
        <v>85604</v>
      </c>
      <c r="F2262" s="20" t="n">
        <v>392030</v>
      </c>
    </row>
    <row r="2263" customFormat="false" ht="15" hidden="false" customHeight="false" outlineLevel="0" collapsed="false">
      <c r="A2263" s="22" t="n">
        <v>46177</v>
      </c>
      <c r="B2263" s="19" t="s">
        <v>51</v>
      </c>
      <c r="C2263" s="19" t="s">
        <v>13</v>
      </c>
      <c r="D2263" s="19" t="s">
        <v>146</v>
      </c>
      <c r="E2263" s="20" t="n">
        <v>350000</v>
      </c>
      <c r="F2263" s="20" t="n">
        <v>3075690</v>
      </c>
    </row>
    <row r="2264" customFormat="false" ht="15" hidden="false" customHeight="false" outlineLevel="0" collapsed="false">
      <c r="A2264" s="22" t="n">
        <v>46177</v>
      </c>
      <c r="B2264" s="19" t="s">
        <v>51</v>
      </c>
      <c r="C2264" s="19" t="s">
        <v>12</v>
      </c>
      <c r="D2264" s="19" t="s">
        <v>126</v>
      </c>
      <c r="E2264" s="20" t="n">
        <v>36818</v>
      </c>
      <c r="F2264" s="20" t="n">
        <v>138050</v>
      </c>
    </row>
    <row r="2265" customFormat="false" ht="15" hidden="false" customHeight="false" outlineLevel="0" collapsed="false">
      <c r="A2265" s="22" t="n">
        <v>46178</v>
      </c>
      <c r="B2265" s="19" t="s">
        <v>51</v>
      </c>
      <c r="C2265" s="19" t="s">
        <v>12</v>
      </c>
      <c r="D2265" s="19" t="s">
        <v>138</v>
      </c>
      <c r="E2265" s="20" t="n">
        <v>62123</v>
      </c>
      <c r="F2265" s="20" t="n">
        <v>307720</v>
      </c>
    </row>
    <row r="2266" customFormat="false" ht="15" hidden="false" customHeight="false" outlineLevel="0" collapsed="false">
      <c r="A2266" s="22" t="n">
        <v>46178</v>
      </c>
      <c r="B2266" s="19" t="s">
        <v>51</v>
      </c>
      <c r="C2266" s="19" t="s">
        <v>14</v>
      </c>
      <c r="D2266" s="19" t="s">
        <v>73</v>
      </c>
      <c r="E2266" s="20" t="n">
        <v>71795</v>
      </c>
      <c r="F2266" s="20" t="n">
        <v>332440</v>
      </c>
    </row>
    <row r="2267" customFormat="false" ht="15" hidden="false" customHeight="false" outlineLevel="0" collapsed="false">
      <c r="A2267" s="22" t="n">
        <v>46178</v>
      </c>
      <c r="B2267" s="19" t="s">
        <v>51</v>
      </c>
      <c r="C2267" s="19" t="s">
        <v>11</v>
      </c>
      <c r="D2267" s="19" t="s">
        <v>145</v>
      </c>
      <c r="E2267" s="20" t="n">
        <v>25</v>
      </c>
      <c r="F2267" s="20" t="n">
        <v>0</v>
      </c>
    </row>
    <row r="2268" customFormat="false" ht="15" hidden="false" customHeight="false" outlineLevel="0" collapsed="false">
      <c r="A2268" s="22" t="n">
        <v>46178</v>
      </c>
      <c r="B2268" s="19" t="s">
        <v>51</v>
      </c>
      <c r="C2268" s="19" t="s">
        <v>16</v>
      </c>
      <c r="D2268" s="19" t="s">
        <v>140</v>
      </c>
      <c r="E2268" s="20" t="n">
        <v>91187</v>
      </c>
      <c r="F2268" s="20" t="n">
        <v>338820</v>
      </c>
    </row>
    <row r="2269" customFormat="false" ht="15" hidden="false" customHeight="false" outlineLevel="0" collapsed="false">
      <c r="A2269" s="22" t="n">
        <v>46178</v>
      </c>
      <c r="B2269" s="19" t="s">
        <v>51</v>
      </c>
      <c r="C2269" s="19" t="s">
        <v>12</v>
      </c>
      <c r="D2269" s="19" t="s">
        <v>141</v>
      </c>
      <c r="E2269" s="20" t="n">
        <v>265419</v>
      </c>
      <c r="F2269" s="20" t="n">
        <v>1339109</v>
      </c>
    </row>
    <row r="2270" customFormat="false" ht="15" hidden="false" customHeight="false" outlineLevel="0" collapsed="false">
      <c r="A2270" s="22" t="n">
        <v>46178</v>
      </c>
      <c r="B2270" s="19" t="s">
        <v>51</v>
      </c>
      <c r="C2270" s="19" t="s">
        <v>16</v>
      </c>
      <c r="D2270" s="19" t="s">
        <v>139</v>
      </c>
      <c r="E2270" s="20" t="n">
        <v>21954</v>
      </c>
      <c r="F2270" s="20" t="n">
        <v>0</v>
      </c>
    </row>
    <row r="2271" customFormat="false" ht="15" hidden="false" customHeight="false" outlineLevel="0" collapsed="false">
      <c r="A2271" s="22" t="n">
        <v>46178</v>
      </c>
      <c r="B2271" s="19" t="s">
        <v>51</v>
      </c>
      <c r="C2271" s="19" t="s">
        <v>14</v>
      </c>
      <c r="D2271" s="19" t="s">
        <v>143</v>
      </c>
      <c r="E2271" s="20" t="n">
        <v>3679</v>
      </c>
      <c r="F2271" s="20" t="n">
        <v>0</v>
      </c>
    </row>
    <row r="2272" customFormat="false" ht="15" hidden="false" customHeight="false" outlineLevel="0" collapsed="false">
      <c r="A2272" s="22" t="n">
        <v>46178</v>
      </c>
      <c r="B2272" s="19" t="s">
        <v>51</v>
      </c>
      <c r="C2272" s="19" t="s">
        <v>12</v>
      </c>
      <c r="D2272" s="19" t="s">
        <v>122</v>
      </c>
      <c r="E2272" s="20" t="n">
        <v>69371</v>
      </c>
      <c r="F2272" s="20" t="n">
        <v>199000</v>
      </c>
    </row>
    <row r="2273" customFormat="false" ht="15" hidden="false" customHeight="false" outlineLevel="0" collapsed="false">
      <c r="A2273" s="22" t="n">
        <v>46178</v>
      </c>
      <c r="B2273" s="19" t="s">
        <v>51</v>
      </c>
      <c r="C2273" s="19" t="s">
        <v>13</v>
      </c>
      <c r="D2273" s="19" t="s">
        <v>146</v>
      </c>
      <c r="E2273" s="20" t="n">
        <v>286813</v>
      </c>
      <c r="F2273" s="20" t="n">
        <v>1233591</v>
      </c>
    </row>
    <row r="2274" customFormat="false" ht="15" hidden="false" customHeight="false" outlineLevel="0" collapsed="false">
      <c r="A2274" s="22" t="n">
        <v>46179</v>
      </c>
      <c r="B2274" s="19" t="s">
        <v>51</v>
      </c>
      <c r="C2274" s="19" t="s">
        <v>12</v>
      </c>
      <c r="D2274" s="19" t="s">
        <v>138</v>
      </c>
      <c r="E2274" s="20" t="n">
        <v>233196</v>
      </c>
      <c r="F2274" s="20" t="n">
        <v>1907500</v>
      </c>
    </row>
    <row r="2275" customFormat="false" ht="15" hidden="false" customHeight="false" outlineLevel="0" collapsed="false">
      <c r="A2275" s="22" t="n">
        <v>46179</v>
      </c>
      <c r="B2275" s="19" t="s">
        <v>51</v>
      </c>
      <c r="C2275" s="19" t="s">
        <v>14</v>
      </c>
      <c r="D2275" s="19" t="s">
        <v>73</v>
      </c>
      <c r="E2275" s="20" t="n">
        <v>233</v>
      </c>
      <c r="F2275" s="20" t="n">
        <v>0</v>
      </c>
    </row>
    <row r="2276" customFormat="false" ht="15" hidden="false" customHeight="false" outlineLevel="0" collapsed="false">
      <c r="A2276" s="22" t="n">
        <v>46179</v>
      </c>
      <c r="B2276" s="19" t="s">
        <v>51</v>
      </c>
      <c r="C2276" s="19" t="s">
        <v>11</v>
      </c>
      <c r="D2276" s="19" t="s">
        <v>145</v>
      </c>
      <c r="E2276" s="20" t="n">
        <v>4853</v>
      </c>
      <c r="F2276" s="20" t="n">
        <v>514100</v>
      </c>
    </row>
    <row r="2277" customFormat="false" ht="15" hidden="false" customHeight="false" outlineLevel="0" collapsed="false">
      <c r="A2277" s="22" t="n">
        <v>46179</v>
      </c>
      <c r="B2277" s="19" t="s">
        <v>51</v>
      </c>
      <c r="C2277" s="19" t="s">
        <v>14</v>
      </c>
      <c r="D2277" s="19" t="s">
        <v>142</v>
      </c>
      <c r="E2277" s="20" t="n">
        <v>35264</v>
      </c>
      <c r="F2277" s="20" t="n">
        <v>59000</v>
      </c>
    </row>
    <row r="2278" customFormat="false" ht="15" hidden="false" customHeight="false" outlineLevel="0" collapsed="false">
      <c r="A2278" s="22" t="n">
        <v>46179</v>
      </c>
      <c r="B2278" s="19" t="s">
        <v>51</v>
      </c>
      <c r="C2278" s="19" t="s">
        <v>11</v>
      </c>
      <c r="D2278" s="19" t="s">
        <v>144</v>
      </c>
      <c r="E2278" s="20" t="n">
        <v>6186</v>
      </c>
      <c r="F2278" s="20" t="n">
        <v>0</v>
      </c>
    </row>
    <row r="2279" customFormat="false" ht="15" hidden="false" customHeight="false" outlineLevel="0" collapsed="false">
      <c r="A2279" s="22" t="n">
        <v>46179</v>
      </c>
      <c r="B2279" s="19" t="s">
        <v>51</v>
      </c>
      <c r="C2279" s="19" t="s">
        <v>16</v>
      </c>
      <c r="D2279" s="19" t="s">
        <v>140</v>
      </c>
      <c r="E2279" s="20" t="n">
        <v>137998</v>
      </c>
      <c r="F2279" s="20" t="n">
        <v>641640</v>
      </c>
    </row>
    <row r="2280" customFormat="false" ht="15" hidden="false" customHeight="false" outlineLevel="0" collapsed="false">
      <c r="A2280" s="22" t="n">
        <v>46179</v>
      </c>
      <c r="B2280" s="19" t="s">
        <v>51</v>
      </c>
      <c r="C2280" s="19" t="s">
        <v>12</v>
      </c>
      <c r="D2280" s="19" t="s">
        <v>141</v>
      </c>
      <c r="E2280" s="20" t="n">
        <v>439376</v>
      </c>
      <c r="F2280" s="20" t="n">
        <v>2856110</v>
      </c>
    </row>
    <row r="2281" customFormat="false" ht="15" hidden="false" customHeight="false" outlineLevel="0" collapsed="false">
      <c r="A2281" s="22" t="n">
        <v>46179</v>
      </c>
      <c r="B2281" s="19" t="s">
        <v>51</v>
      </c>
      <c r="C2281" s="19" t="s">
        <v>70</v>
      </c>
      <c r="D2281" s="19" t="s">
        <v>133</v>
      </c>
      <c r="E2281" s="20" t="n">
        <v>102147</v>
      </c>
      <c r="F2281" s="20" t="n">
        <v>94300</v>
      </c>
    </row>
    <row r="2282" customFormat="false" ht="15" hidden="false" customHeight="false" outlineLevel="0" collapsed="false">
      <c r="A2282" s="22" t="n">
        <v>46179</v>
      </c>
      <c r="B2282" s="19" t="s">
        <v>51</v>
      </c>
      <c r="C2282" s="19" t="s">
        <v>16</v>
      </c>
      <c r="D2282" s="19" t="s">
        <v>139</v>
      </c>
      <c r="E2282" s="20" t="n">
        <v>152387</v>
      </c>
      <c r="F2282" s="20" t="n">
        <v>525750</v>
      </c>
    </row>
    <row r="2283" customFormat="false" ht="15" hidden="false" customHeight="false" outlineLevel="0" collapsed="false">
      <c r="A2283" s="22" t="n">
        <v>46179</v>
      </c>
      <c r="B2283" s="19" t="s">
        <v>51</v>
      </c>
      <c r="C2283" s="19" t="s">
        <v>14</v>
      </c>
      <c r="D2283" s="19" t="s">
        <v>143</v>
      </c>
      <c r="E2283" s="20" t="n">
        <v>15602</v>
      </c>
      <c r="F2283" s="20" t="n">
        <v>0</v>
      </c>
    </row>
    <row r="2284" customFormat="false" ht="15" hidden="false" customHeight="false" outlineLevel="0" collapsed="false">
      <c r="A2284" s="22" t="n">
        <v>46179</v>
      </c>
      <c r="B2284" s="19" t="s">
        <v>51</v>
      </c>
      <c r="C2284" s="19" t="s">
        <v>70</v>
      </c>
      <c r="D2284" s="19" t="s">
        <v>92</v>
      </c>
      <c r="E2284" s="20" t="n">
        <v>1526</v>
      </c>
      <c r="F2284" s="20" t="n">
        <v>0</v>
      </c>
    </row>
    <row r="2285" customFormat="false" ht="15" hidden="false" customHeight="false" outlineLevel="0" collapsed="false">
      <c r="A2285" s="22" t="n">
        <v>46179</v>
      </c>
      <c r="B2285" s="19" t="s">
        <v>51</v>
      </c>
      <c r="C2285" s="19" t="s">
        <v>12</v>
      </c>
      <c r="D2285" s="19" t="s">
        <v>122</v>
      </c>
      <c r="E2285" s="20" t="n">
        <v>100000</v>
      </c>
      <c r="F2285" s="20" t="n">
        <v>199000</v>
      </c>
    </row>
    <row r="2286" customFormat="false" ht="15" hidden="false" customHeight="false" outlineLevel="0" collapsed="false">
      <c r="A2286" s="22" t="n">
        <v>46179</v>
      </c>
      <c r="B2286" s="19" t="s">
        <v>51</v>
      </c>
      <c r="C2286" s="19" t="s">
        <v>14</v>
      </c>
      <c r="D2286" s="19" t="s">
        <v>147</v>
      </c>
      <c r="E2286" s="20" t="n">
        <v>1374</v>
      </c>
      <c r="F2286" s="20" t="n">
        <v>0</v>
      </c>
    </row>
    <row r="2287" customFormat="false" ht="15" hidden="false" customHeight="false" outlineLevel="0" collapsed="false">
      <c r="A2287" s="22" t="n">
        <v>46179</v>
      </c>
      <c r="B2287" s="19" t="s">
        <v>51</v>
      </c>
      <c r="C2287" s="19" t="s">
        <v>13</v>
      </c>
      <c r="D2287" s="19" t="s">
        <v>148</v>
      </c>
      <c r="E2287" s="20" t="n">
        <v>286029</v>
      </c>
      <c r="F2287" s="20" t="n">
        <v>887100</v>
      </c>
    </row>
    <row r="2288" customFormat="false" ht="15" hidden="false" customHeight="false" outlineLevel="0" collapsed="false">
      <c r="A2288" s="22" t="n">
        <v>46179</v>
      </c>
      <c r="B2288" s="19" t="s">
        <v>51</v>
      </c>
      <c r="C2288" s="19" t="s">
        <v>12</v>
      </c>
      <c r="D2288" s="19" t="s">
        <v>126</v>
      </c>
      <c r="E2288" s="20" t="n">
        <v>200000</v>
      </c>
      <c r="F2288" s="20" t="n">
        <v>579500</v>
      </c>
    </row>
    <row r="2289" customFormat="false" ht="15" hidden="false" customHeight="false" outlineLevel="0" collapsed="false">
      <c r="A2289" s="22" t="n">
        <v>46179</v>
      </c>
      <c r="B2289" s="19" t="s">
        <v>51</v>
      </c>
      <c r="C2289" s="19" t="s">
        <v>13</v>
      </c>
      <c r="D2289" s="19" t="s">
        <v>149</v>
      </c>
      <c r="E2289" s="20" t="n">
        <v>145398</v>
      </c>
      <c r="F2289" s="20" t="n">
        <v>866100</v>
      </c>
    </row>
    <row r="2290" customFormat="false" ht="15" hidden="false" customHeight="false" outlineLevel="0" collapsed="false">
      <c r="A2290" s="22" t="n">
        <v>46179</v>
      </c>
      <c r="B2290" s="19" t="s">
        <v>51</v>
      </c>
      <c r="C2290" s="19" t="s">
        <v>13</v>
      </c>
      <c r="D2290" s="19" t="s">
        <v>150</v>
      </c>
      <c r="E2290" s="20" t="n">
        <v>165094</v>
      </c>
      <c r="F2290" s="20" t="n">
        <v>581100</v>
      </c>
    </row>
    <row r="2291" customFormat="false" ht="15" hidden="false" customHeight="false" outlineLevel="0" collapsed="false">
      <c r="A2291" s="22" t="n">
        <v>46179</v>
      </c>
      <c r="B2291" s="19" t="s">
        <v>51</v>
      </c>
      <c r="C2291" s="19" t="s">
        <v>12</v>
      </c>
      <c r="D2291" s="19" t="s">
        <v>151</v>
      </c>
      <c r="E2291" s="20" t="n">
        <v>25759</v>
      </c>
      <c r="F2291" s="20" t="n">
        <v>0</v>
      </c>
    </row>
    <row r="2292" customFormat="false" ht="15" hidden="false" customHeight="false" outlineLevel="0" collapsed="false">
      <c r="A2292" s="22" t="n">
        <v>46179</v>
      </c>
      <c r="B2292" s="19" t="s">
        <v>51</v>
      </c>
      <c r="C2292" s="19" t="s">
        <v>13</v>
      </c>
      <c r="D2292" s="19" t="s">
        <v>146</v>
      </c>
      <c r="E2292" s="20" t="n">
        <v>186374</v>
      </c>
      <c r="F2292" s="20" t="n">
        <v>991780</v>
      </c>
    </row>
    <row r="2293" customFormat="false" ht="15" hidden="false" customHeight="false" outlineLevel="0" collapsed="false">
      <c r="A2293" s="22" t="n">
        <v>46179</v>
      </c>
      <c r="B2293" s="19" t="s">
        <v>51</v>
      </c>
      <c r="C2293" s="19" t="s">
        <v>12</v>
      </c>
      <c r="D2293" s="19" t="s">
        <v>152</v>
      </c>
      <c r="E2293" s="20" t="n">
        <v>48757</v>
      </c>
      <c r="F2293" s="20" t="n">
        <v>0</v>
      </c>
    </row>
    <row r="2294" customFormat="false" ht="15" hidden="false" customHeight="false" outlineLevel="0" collapsed="false">
      <c r="A2294" s="22" t="n">
        <v>46179</v>
      </c>
      <c r="B2294" s="19" t="s">
        <v>51</v>
      </c>
      <c r="C2294" s="19" t="s">
        <v>13</v>
      </c>
      <c r="D2294" s="19" t="s">
        <v>153</v>
      </c>
      <c r="E2294" s="20" t="n">
        <v>52088</v>
      </c>
      <c r="F2294" s="20" t="n">
        <v>0</v>
      </c>
    </row>
    <row r="2295" customFormat="false" ht="15" hidden="false" customHeight="false" outlineLevel="0" collapsed="false">
      <c r="A2295" s="22" t="n">
        <v>46179</v>
      </c>
      <c r="B2295" s="19" t="s">
        <v>51</v>
      </c>
      <c r="C2295" s="19" t="s">
        <v>13</v>
      </c>
      <c r="D2295" s="19" t="s">
        <v>154</v>
      </c>
      <c r="E2295" s="20" t="n">
        <v>35075</v>
      </c>
      <c r="F2295" s="20" t="n">
        <v>0</v>
      </c>
    </row>
    <row r="2296" customFormat="false" ht="15" hidden="false" customHeight="false" outlineLevel="0" collapsed="false">
      <c r="A2296" s="22" t="n">
        <v>46179</v>
      </c>
      <c r="B2296" s="19" t="s">
        <v>51</v>
      </c>
      <c r="C2296" s="19" t="s">
        <v>12</v>
      </c>
      <c r="D2296" s="19" t="s">
        <v>155</v>
      </c>
      <c r="E2296" s="20" t="n">
        <v>21374</v>
      </c>
      <c r="F2296" s="20" t="n">
        <v>0</v>
      </c>
    </row>
    <row r="2297" customFormat="false" ht="15" hidden="false" customHeight="false" outlineLevel="0" collapsed="false">
      <c r="A2297" s="22" t="n">
        <v>46179</v>
      </c>
      <c r="B2297" s="19" t="s">
        <v>51</v>
      </c>
      <c r="C2297" s="19" t="s">
        <v>12</v>
      </c>
      <c r="D2297" s="19" t="s">
        <v>156</v>
      </c>
      <c r="E2297" s="20" t="n">
        <v>8119</v>
      </c>
      <c r="F2297" s="20" t="n">
        <v>0</v>
      </c>
    </row>
    <row r="2298" customFormat="false" ht="15" hidden="false" customHeight="false" outlineLevel="0" collapsed="false">
      <c r="A2298" s="22" t="n">
        <v>46179</v>
      </c>
      <c r="B2298" s="19" t="s">
        <v>51</v>
      </c>
      <c r="C2298" s="19" t="s">
        <v>13</v>
      </c>
      <c r="D2298" s="19" t="s">
        <v>157</v>
      </c>
      <c r="E2298" s="20" t="n">
        <v>17813</v>
      </c>
      <c r="F2298" s="20" t="n">
        <v>0</v>
      </c>
    </row>
    <row r="2299" customFormat="false" ht="15" hidden="false" customHeight="false" outlineLevel="0" collapsed="false">
      <c r="A2299" s="22" t="n">
        <v>46179</v>
      </c>
      <c r="B2299" s="19" t="s">
        <v>51</v>
      </c>
      <c r="C2299" s="19" t="s">
        <v>12</v>
      </c>
      <c r="D2299" s="19" t="s">
        <v>158</v>
      </c>
      <c r="E2299" s="20" t="n">
        <v>1846</v>
      </c>
      <c r="F2299" s="20" t="n">
        <v>0</v>
      </c>
    </row>
    <row r="2300" customFormat="false" ht="15" hidden="false" customHeight="false" outlineLevel="0" collapsed="false">
      <c r="A2300" s="22" t="n">
        <v>46179</v>
      </c>
      <c r="B2300" s="19" t="s">
        <v>51</v>
      </c>
      <c r="C2300" s="19" t="s">
        <v>12</v>
      </c>
      <c r="D2300" s="19" t="s">
        <v>159</v>
      </c>
      <c r="E2300" s="20" t="n">
        <v>4525</v>
      </c>
      <c r="F2300" s="20" t="n">
        <v>0</v>
      </c>
    </row>
    <row r="2301" customFormat="false" ht="15" hidden="false" customHeight="false" outlineLevel="0" collapsed="false">
      <c r="A2301" s="22" t="n">
        <v>46179</v>
      </c>
      <c r="B2301" s="19" t="s">
        <v>51</v>
      </c>
      <c r="C2301" s="19" t="s">
        <v>13</v>
      </c>
      <c r="D2301" s="19" t="s">
        <v>160</v>
      </c>
      <c r="E2301" s="20" t="n">
        <v>41</v>
      </c>
      <c r="F2301" s="20" t="n">
        <v>0</v>
      </c>
    </row>
    <row r="2302" customFormat="false" ht="15" hidden="false" customHeight="false" outlineLevel="0" collapsed="false">
      <c r="A2302" s="22" t="n">
        <v>46180</v>
      </c>
      <c r="B2302" s="19" t="s">
        <v>51</v>
      </c>
      <c r="C2302" s="19" t="s">
        <v>12</v>
      </c>
      <c r="D2302" s="19" t="s">
        <v>138</v>
      </c>
      <c r="E2302" s="20" t="n">
        <v>184924</v>
      </c>
      <c r="F2302" s="20" t="n">
        <v>626100</v>
      </c>
    </row>
    <row r="2303" customFormat="false" ht="15" hidden="false" customHeight="false" outlineLevel="0" collapsed="false">
      <c r="A2303" s="22" t="n">
        <v>46180</v>
      </c>
      <c r="B2303" s="19" t="s">
        <v>51</v>
      </c>
      <c r="C2303" s="19" t="s">
        <v>14</v>
      </c>
      <c r="D2303" s="19" t="s">
        <v>73</v>
      </c>
      <c r="E2303" s="20" t="n">
        <v>48089</v>
      </c>
      <c r="F2303" s="20" t="n">
        <v>225420</v>
      </c>
    </row>
    <row r="2304" customFormat="false" ht="15" hidden="false" customHeight="false" outlineLevel="0" collapsed="false">
      <c r="A2304" s="22" t="n">
        <v>46180</v>
      </c>
      <c r="B2304" s="19" t="s">
        <v>51</v>
      </c>
      <c r="C2304" s="19" t="s">
        <v>14</v>
      </c>
      <c r="D2304" s="19" t="s">
        <v>142</v>
      </c>
      <c r="E2304" s="20" t="n">
        <v>10918</v>
      </c>
      <c r="F2304" s="20" t="n">
        <v>79000</v>
      </c>
    </row>
    <row r="2305" customFormat="false" ht="15" hidden="false" customHeight="false" outlineLevel="0" collapsed="false">
      <c r="A2305" s="22" t="n">
        <v>46180</v>
      </c>
      <c r="B2305" s="19" t="s">
        <v>51</v>
      </c>
      <c r="C2305" s="19" t="s">
        <v>11</v>
      </c>
      <c r="D2305" s="19" t="s">
        <v>145</v>
      </c>
      <c r="E2305" s="20" t="n">
        <v>42</v>
      </c>
      <c r="F2305" s="20" t="n">
        <v>0</v>
      </c>
    </row>
    <row r="2306" customFormat="false" ht="15" hidden="false" customHeight="false" outlineLevel="0" collapsed="false">
      <c r="A2306" s="22" t="n">
        <v>46180</v>
      </c>
      <c r="B2306" s="19" t="s">
        <v>51</v>
      </c>
      <c r="C2306" s="19" t="s">
        <v>11</v>
      </c>
      <c r="D2306" s="19" t="s">
        <v>144</v>
      </c>
      <c r="E2306" s="20" t="n">
        <v>18631</v>
      </c>
      <c r="F2306" s="20" t="n">
        <v>0</v>
      </c>
    </row>
    <row r="2307" customFormat="false" ht="15" hidden="false" customHeight="false" outlineLevel="0" collapsed="false">
      <c r="A2307" s="22" t="n">
        <v>46180</v>
      </c>
      <c r="B2307" s="19" t="s">
        <v>51</v>
      </c>
      <c r="C2307" s="19" t="s">
        <v>16</v>
      </c>
      <c r="D2307" s="19" t="s">
        <v>139</v>
      </c>
      <c r="E2307" s="20" t="n">
        <v>77618</v>
      </c>
      <c r="F2307" s="20" t="n">
        <v>390000</v>
      </c>
    </row>
    <row r="2308" customFormat="false" ht="15" hidden="false" customHeight="false" outlineLevel="0" collapsed="false">
      <c r="A2308" s="22" t="n">
        <v>46180</v>
      </c>
      <c r="B2308" s="19" t="s">
        <v>51</v>
      </c>
      <c r="C2308" s="19" t="s">
        <v>14</v>
      </c>
      <c r="D2308" s="19" t="s">
        <v>143</v>
      </c>
      <c r="E2308" s="20" t="n">
        <v>328</v>
      </c>
      <c r="F2308" s="20" t="n">
        <v>34000</v>
      </c>
    </row>
    <row r="2309" customFormat="false" ht="15" hidden="false" customHeight="false" outlineLevel="0" collapsed="false">
      <c r="A2309" s="22" t="n">
        <v>46180</v>
      </c>
      <c r="B2309" s="19" t="s">
        <v>51</v>
      </c>
      <c r="C2309" s="19" t="s">
        <v>12</v>
      </c>
      <c r="D2309" s="19" t="s">
        <v>122</v>
      </c>
      <c r="E2309" s="20" t="n">
        <v>67997</v>
      </c>
      <c r="F2309" s="20" t="n">
        <v>199000</v>
      </c>
    </row>
    <row r="2310" customFormat="false" ht="15" hidden="false" customHeight="false" outlineLevel="0" collapsed="false">
      <c r="A2310" s="22" t="n">
        <v>46180</v>
      </c>
      <c r="B2310" s="19" t="s">
        <v>51</v>
      </c>
      <c r="C2310" s="19" t="s">
        <v>14</v>
      </c>
      <c r="D2310" s="19" t="s">
        <v>147</v>
      </c>
      <c r="E2310" s="20" t="n">
        <v>164108</v>
      </c>
      <c r="F2310" s="20" t="n">
        <v>690260</v>
      </c>
    </row>
    <row r="2311" customFormat="false" ht="15" hidden="false" customHeight="false" outlineLevel="0" collapsed="false">
      <c r="A2311" s="22" t="n">
        <v>46180</v>
      </c>
      <c r="B2311" s="19" t="s">
        <v>51</v>
      </c>
      <c r="C2311" s="19" t="s">
        <v>12</v>
      </c>
      <c r="D2311" s="19" t="s">
        <v>151</v>
      </c>
      <c r="E2311" s="20" t="n">
        <v>225201</v>
      </c>
      <c r="F2311" s="20" t="n">
        <v>1108000</v>
      </c>
    </row>
    <row r="2312" customFormat="false" ht="15" hidden="false" customHeight="false" outlineLevel="0" collapsed="false">
      <c r="A2312" s="22" t="n">
        <v>46180</v>
      </c>
      <c r="B2312" s="19" t="s">
        <v>51</v>
      </c>
      <c r="C2312" s="19" t="s">
        <v>12</v>
      </c>
      <c r="D2312" s="19" t="s">
        <v>152</v>
      </c>
      <c r="E2312" s="20" t="n">
        <v>145470</v>
      </c>
      <c r="F2312" s="20" t="n">
        <v>445360</v>
      </c>
    </row>
    <row r="2313" customFormat="false" ht="15" hidden="false" customHeight="false" outlineLevel="0" collapsed="false">
      <c r="A2313" s="22" t="n">
        <v>46180</v>
      </c>
      <c r="B2313" s="19" t="s">
        <v>51</v>
      </c>
      <c r="C2313" s="19" t="s">
        <v>13</v>
      </c>
      <c r="D2313" s="19" t="s">
        <v>161</v>
      </c>
      <c r="E2313" s="20" t="n">
        <v>300000</v>
      </c>
      <c r="F2313" s="20" t="n">
        <v>1472320</v>
      </c>
    </row>
    <row r="2314" customFormat="false" ht="15" hidden="false" customHeight="false" outlineLevel="0" collapsed="false">
      <c r="A2314" s="22" t="n">
        <v>46180</v>
      </c>
      <c r="B2314" s="19" t="s">
        <v>51</v>
      </c>
      <c r="C2314" s="19" t="s">
        <v>12</v>
      </c>
      <c r="D2314" s="19" t="s">
        <v>162</v>
      </c>
      <c r="E2314" s="20" t="n">
        <v>69510</v>
      </c>
      <c r="F2314" s="20" t="n">
        <v>207200</v>
      </c>
    </row>
    <row r="2315" customFormat="false" ht="15" hidden="false" customHeight="false" outlineLevel="0" collapsed="false">
      <c r="A2315" s="22" t="n">
        <v>46180</v>
      </c>
      <c r="B2315" s="19" t="s">
        <v>51</v>
      </c>
      <c r="C2315" s="19" t="s">
        <v>13</v>
      </c>
      <c r="D2315" s="19" t="s">
        <v>160</v>
      </c>
      <c r="E2315" s="20" t="n">
        <v>28892</v>
      </c>
      <c r="F2315" s="20" t="n">
        <v>0</v>
      </c>
    </row>
    <row r="2316" customFormat="false" ht="15" hidden="false" customHeight="false" outlineLevel="0" collapsed="false">
      <c r="A2316" s="22" t="n">
        <v>46180</v>
      </c>
      <c r="B2316" s="19" t="s">
        <v>51</v>
      </c>
      <c r="C2316" s="19" t="s">
        <v>12</v>
      </c>
      <c r="D2316" s="19" t="s">
        <v>158</v>
      </c>
      <c r="E2316" s="20" t="n">
        <v>58649</v>
      </c>
      <c r="F2316" s="20" t="n">
        <v>0</v>
      </c>
    </row>
    <row r="2317" customFormat="false" ht="15" hidden="false" customHeight="false" outlineLevel="0" collapsed="false">
      <c r="A2317" s="22" t="n">
        <v>46180</v>
      </c>
      <c r="B2317" s="19" t="s">
        <v>51</v>
      </c>
      <c r="C2317" s="19" t="s">
        <v>12</v>
      </c>
      <c r="D2317" s="19" t="s">
        <v>156</v>
      </c>
      <c r="E2317" s="20" t="n">
        <v>44910</v>
      </c>
      <c r="F2317" s="20" t="n">
        <v>195000</v>
      </c>
    </row>
    <row r="2318" customFormat="false" ht="15" hidden="false" customHeight="false" outlineLevel="0" collapsed="false">
      <c r="A2318" s="22" t="n">
        <v>46180</v>
      </c>
      <c r="B2318" s="19" t="s">
        <v>51</v>
      </c>
      <c r="C2318" s="19" t="s">
        <v>12</v>
      </c>
      <c r="D2318" s="19" t="s">
        <v>159</v>
      </c>
      <c r="E2318" s="20" t="n">
        <v>29724</v>
      </c>
      <c r="F2318" s="20" t="n">
        <v>44000</v>
      </c>
    </row>
    <row r="2319" customFormat="false" ht="15" hidden="false" customHeight="false" outlineLevel="0" collapsed="false">
      <c r="A2319" s="22" t="n">
        <v>46180</v>
      </c>
      <c r="B2319" s="19" t="s">
        <v>51</v>
      </c>
      <c r="C2319" s="19" t="s">
        <v>13</v>
      </c>
      <c r="D2319" s="19" t="s">
        <v>157</v>
      </c>
      <c r="E2319" s="20" t="n">
        <v>61655</v>
      </c>
      <c r="F2319" s="20" t="n">
        <v>0</v>
      </c>
    </row>
    <row r="2320" customFormat="false" ht="15" hidden="false" customHeight="false" outlineLevel="0" collapsed="false">
      <c r="A2320" s="22" t="n">
        <v>46180</v>
      </c>
      <c r="B2320" s="19" t="s">
        <v>51</v>
      </c>
      <c r="C2320" s="19" t="s">
        <v>12</v>
      </c>
      <c r="D2320" s="19" t="s">
        <v>155</v>
      </c>
      <c r="E2320" s="20" t="n">
        <v>94671</v>
      </c>
      <c r="F2320" s="20" t="n">
        <v>325000</v>
      </c>
    </row>
    <row r="2321" customFormat="false" ht="15" hidden="false" customHeight="false" outlineLevel="0" collapsed="false">
      <c r="A2321" s="22" t="n">
        <v>46180</v>
      </c>
      <c r="B2321" s="19" t="s">
        <v>51</v>
      </c>
      <c r="C2321" s="19" t="s">
        <v>12</v>
      </c>
      <c r="D2321" s="19" t="s">
        <v>126</v>
      </c>
      <c r="E2321" s="20" t="n">
        <v>200000</v>
      </c>
      <c r="F2321" s="20" t="n">
        <v>135000</v>
      </c>
    </row>
    <row r="2322" customFormat="false" ht="15" hidden="false" customHeight="false" outlineLevel="0" collapsed="false">
      <c r="A2322" s="22" t="n">
        <v>46181</v>
      </c>
      <c r="B2322" s="19" t="s">
        <v>51</v>
      </c>
      <c r="C2322" s="19" t="s">
        <v>12</v>
      </c>
      <c r="D2322" s="19" t="s">
        <v>138</v>
      </c>
      <c r="E2322" s="20" t="n">
        <v>25266</v>
      </c>
      <c r="F2322" s="20" t="n">
        <v>0</v>
      </c>
    </row>
    <row r="2323" customFormat="false" ht="15" hidden="false" customHeight="false" outlineLevel="0" collapsed="false">
      <c r="A2323" s="22" t="n">
        <v>46181</v>
      </c>
      <c r="B2323" s="19" t="s">
        <v>51</v>
      </c>
      <c r="C2323" s="19" t="s">
        <v>11</v>
      </c>
      <c r="D2323" s="19" t="s">
        <v>145</v>
      </c>
      <c r="E2323" s="20" t="n">
        <v>139414</v>
      </c>
      <c r="F2323" s="20" t="n">
        <v>849700</v>
      </c>
    </row>
    <row r="2324" customFormat="false" ht="15" hidden="false" customHeight="false" outlineLevel="0" collapsed="false">
      <c r="A2324" s="22" t="n">
        <v>46181</v>
      </c>
      <c r="B2324" s="19" t="s">
        <v>51</v>
      </c>
      <c r="C2324" s="19" t="s">
        <v>14</v>
      </c>
      <c r="D2324" s="19" t="s">
        <v>73</v>
      </c>
      <c r="E2324" s="20" t="n">
        <v>33554</v>
      </c>
      <c r="F2324" s="20" t="n">
        <v>148000</v>
      </c>
    </row>
    <row r="2325" customFormat="false" ht="15" hidden="false" customHeight="false" outlineLevel="0" collapsed="false">
      <c r="A2325" s="22" t="n">
        <v>46181</v>
      </c>
      <c r="B2325" s="19" t="s">
        <v>51</v>
      </c>
      <c r="C2325" s="19" t="s">
        <v>14</v>
      </c>
      <c r="D2325" s="19" t="s">
        <v>142</v>
      </c>
      <c r="E2325" s="20" t="n">
        <v>34109</v>
      </c>
      <c r="F2325" s="20" t="n">
        <v>321300</v>
      </c>
    </row>
    <row r="2326" customFormat="false" ht="15" hidden="false" customHeight="false" outlineLevel="0" collapsed="false">
      <c r="A2326" s="22" t="n">
        <v>46181</v>
      </c>
      <c r="B2326" s="19" t="s">
        <v>51</v>
      </c>
      <c r="C2326" s="19" t="s">
        <v>11</v>
      </c>
      <c r="D2326" s="19" t="s">
        <v>144</v>
      </c>
      <c r="E2326" s="20" t="n">
        <v>2735</v>
      </c>
      <c r="F2326" s="20" t="n">
        <v>0</v>
      </c>
    </row>
    <row r="2327" customFormat="false" ht="15" hidden="false" customHeight="false" outlineLevel="0" collapsed="false">
      <c r="A2327" s="22" t="n">
        <v>46181</v>
      </c>
      <c r="B2327" s="19" t="s">
        <v>51</v>
      </c>
      <c r="C2327" s="19" t="s">
        <v>16</v>
      </c>
      <c r="D2327" s="19" t="s">
        <v>139</v>
      </c>
      <c r="E2327" s="20" t="n">
        <v>60883</v>
      </c>
      <c r="F2327" s="20" t="n">
        <v>338100</v>
      </c>
    </row>
    <row r="2328" customFormat="false" ht="15" hidden="false" customHeight="false" outlineLevel="0" collapsed="false">
      <c r="A2328" s="22" t="n">
        <v>46181</v>
      </c>
      <c r="B2328" s="19" t="s">
        <v>51</v>
      </c>
      <c r="C2328" s="19" t="s">
        <v>14</v>
      </c>
      <c r="D2328" s="19" t="s">
        <v>143</v>
      </c>
      <c r="E2328" s="20" t="n">
        <v>1278</v>
      </c>
      <c r="F2328" s="20" t="n">
        <v>0</v>
      </c>
    </row>
    <row r="2329" customFormat="false" ht="15" hidden="false" customHeight="false" outlineLevel="0" collapsed="false">
      <c r="A2329" s="22" t="n">
        <v>46181</v>
      </c>
      <c r="B2329" s="19" t="s">
        <v>51</v>
      </c>
      <c r="C2329" s="19" t="s">
        <v>12</v>
      </c>
      <c r="D2329" s="19" t="s">
        <v>122</v>
      </c>
      <c r="E2329" s="20" t="n">
        <v>124748</v>
      </c>
      <c r="F2329" s="20" t="n">
        <v>597000</v>
      </c>
    </row>
    <row r="2330" customFormat="false" ht="15" hidden="false" customHeight="false" outlineLevel="0" collapsed="false">
      <c r="A2330" s="22" t="n">
        <v>46181</v>
      </c>
      <c r="B2330" s="19" t="s">
        <v>51</v>
      </c>
      <c r="C2330" s="19" t="s">
        <v>14</v>
      </c>
      <c r="D2330" s="19" t="s">
        <v>147</v>
      </c>
      <c r="E2330" s="20" t="n">
        <v>54005</v>
      </c>
      <c r="F2330" s="20" t="n">
        <v>106820</v>
      </c>
    </row>
    <row r="2331" customFormat="false" ht="15" hidden="false" customHeight="false" outlineLevel="0" collapsed="false">
      <c r="A2331" s="22" t="n">
        <v>46181</v>
      </c>
      <c r="B2331" s="19" t="s">
        <v>51</v>
      </c>
      <c r="C2331" s="19" t="s">
        <v>12</v>
      </c>
      <c r="D2331" s="19" t="s">
        <v>152</v>
      </c>
      <c r="E2331" s="20" t="n">
        <v>161101</v>
      </c>
      <c r="F2331" s="20" t="n">
        <v>637000</v>
      </c>
    </row>
    <row r="2332" customFormat="false" ht="15" hidden="false" customHeight="false" outlineLevel="0" collapsed="false">
      <c r="A2332" s="22" t="n">
        <v>46181</v>
      </c>
      <c r="B2332" s="19" t="s">
        <v>51</v>
      </c>
      <c r="C2332" s="19" t="s">
        <v>12</v>
      </c>
      <c r="D2332" s="19" t="s">
        <v>151</v>
      </c>
      <c r="E2332" s="20" t="n">
        <v>42590</v>
      </c>
      <c r="F2332" s="20" t="n">
        <v>0</v>
      </c>
    </row>
    <row r="2333" customFormat="false" ht="15" hidden="false" customHeight="false" outlineLevel="0" collapsed="false">
      <c r="A2333" s="22" t="n">
        <v>46181</v>
      </c>
      <c r="B2333" s="19" t="s">
        <v>51</v>
      </c>
      <c r="C2333" s="19" t="s">
        <v>13</v>
      </c>
      <c r="D2333" s="19" t="s">
        <v>161</v>
      </c>
      <c r="E2333" s="20" t="n">
        <v>321909</v>
      </c>
      <c r="F2333" s="20" t="n">
        <v>1329640</v>
      </c>
    </row>
    <row r="2334" customFormat="false" ht="15" hidden="false" customHeight="false" outlineLevel="0" collapsed="false">
      <c r="A2334" s="22" t="n">
        <v>46181</v>
      </c>
      <c r="B2334" s="19" t="s">
        <v>51</v>
      </c>
      <c r="C2334" s="19" t="s">
        <v>12</v>
      </c>
      <c r="D2334" s="19" t="s">
        <v>159</v>
      </c>
      <c r="E2334" s="20" t="n">
        <v>189617</v>
      </c>
      <c r="F2334" s="20" t="n">
        <v>1398700</v>
      </c>
    </row>
    <row r="2335" customFormat="false" ht="15" hidden="false" customHeight="false" outlineLevel="0" collapsed="false">
      <c r="A2335" s="22" t="n">
        <v>46181</v>
      </c>
      <c r="B2335" s="19" t="s">
        <v>51</v>
      </c>
      <c r="C2335" s="19" t="s">
        <v>13</v>
      </c>
      <c r="D2335" s="19" t="s">
        <v>160</v>
      </c>
      <c r="E2335" s="20" t="n">
        <v>80884</v>
      </c>
      <c r="F2335" s="20" t="n">
        <v>390000</v>
      </c>
    </row>
    <row r="2336" customFormat="false" ht="15" hidden="false" customHeight="false" outlineLevel="0" collapsed="false">
      <c r="A2336" s="22" t="n">
        <v>46181</v>
      </c>
      <c r="B2336" s="19" t="s">
        <v>51</v>
      </c>
      <c r="C2336" s="19" t="s">
        <v>12</v>
      </c>
      <c r="D2336" s="19" t="s">
        <v>156</v>
      </c>
      <c r="E2336" s="20" t="n">
        <v>198365</v>
      </c>
      <c r="F2336" s="20" t="n">
        <v>1362540</v>
      </c>
    </row>
    <row r="2337" customFormat="false" ht="15" hidden="false" customHeight="false" outlineLevel="0" collapsed="false">
      <c r="A2337" s="22" t="n">
        <v>46181</v>
      </c>
      <c r="B2337" s="19" t="s">
        <v>51</v>
      </c>
      <c r="C2337" s="19" t="s">
        <v>12</v>
      </c>
      <c r="D2337" s="19" t="s">
        <v>162</v>
      </c>
      <c r="E2337" s="20" t="n">
        <v>69301</v>
      </c>
      <c r="F2337" s="20" t="n">
        <v>355000</v>
      </c>
    </row>
    <row r="2338" customFormat="false" ht="15" hidden="false" customHeight="false" outlineLevel="0" collapsed="false">
      <c r="A2338" s="22" t="n">
        <v>46181</v>
      </c>
      <c r="B2338" s="19" t="s">
        <v>51</v>
      </c>
      <c r="C2338" s="19" t="s">
        <v>12</v>
      </c>
      <c r="D2338" s="19" t="s">
        <v>155</v>
      </c>
      <c r="E2338" s="20" t="n">
        <v>35115</v>
      </c>
      <c r="F2338" s="20" t="n">
        <v>0</v>
      </c>
    </row>
    <row r="2339" customFormat="false" ht="15" hidden="false" customHeight="false" outlineLevel="0" collapsed="false">
      <c r="A2339" s="22" t="n">
        <v>46181</v>
      </c>
      <c r="B2339" s="19" t="s">
        <v>51</v>
      </c>
      <c r="C2339" s="19" t="s">
        <v>13</v>
      </c>
      <c r="D2339" s="19" t="s">
        <v>44</v>
      </c>
      <c r="E2339" s="20" t="n">
        <v>68671</v>
      </c>
      <c r="F2339" s="20" t="n">
        <v>0</v>
      </c>
    </row>
    <row r="2340" customFormat="false" ht="15" hidden="false" customHeight="false" outlineLevel="0" collapsed="false">
      <c r="A2340" s="22" t="n">
        <v>46181</v>
      </c>
      <c r="B2340" s="19" t="s">
        <v>51</v>
      </c>
      <c r="C2340" s="19" t="s">
        <v>12</v>
      </c>
      <c r="D2340" s="19" t="s">
        <v>158</v>
      </c>
      <c r="E2340" s="20" t="n">
        <v>43837</v>
      </c>
      <c r="F2340" s="20" t="n">
        <v>0</v>
      </c>
    </row>
    <row r="2341" customFormat="false" ht="15" hidden="false" customHeight="false" outlineLevel="0" collapsed="false">
      <c r="A2341" s="22" t="n">
        <v>46182</v>
      </c>
      <c r="B2341" s="19" t="s">
        <v>51</v>
      </c>
      <c r="C2341" s="19" t="s">
        <v>12</v>
      </c>
      <c r="D2341" s="19" t="s">
        <v>138</v>
      </c>
      <c r="E2341" s="20" t="n">
        <v>144146</v>
      </c>
      <c r="F2341" s="20" t="n">
        <v>766340</v>
      </c>
    </row>
    <row r="2342" customFormat="false" ht="15" hidden="false" customHeight="false" outlineLevel="0" collapsed="false">
      <c r="A2342" s="22" t="n">
        <v>46182</v>
      </c>
      <c r="B2342" s="19" t="s">
        <v>51</v>
      </c>
      <c r="C2342" s="19" t="s">
        <v>11</v>
      </c>
      <c r="D2342" s="19" t="s">
        <v>145</v>
      </c>
      <c r="E2342" s="20" t="n">
        <v>137144</v>
      </c>
      <c r="F2342" s="20" t="n">
        <v>524700</v>
      </c>
    </row>
    <row r="2343" customFormat="false" ht="15" hidden="false" customHeight="false" outlineLevel="0" collapsed="false">
      <c r="A2343" s="22" t="n">
        <v>46182</v>
      </c>
      <c r="B2343" s="19" t="s">
        <v>51</v>
      </c>
      <c r="C2343" s="19" t="s">
        <v>11</v>
      </c>
      <c r="D2343" s="19" t="s">
        <v>144</v>
      </c>
      <c r="E2343" s="20" t="n">
        <v>374</v>
      </c>
      <c r="F2343" s="20" t="n">
        <v>0</v>
      </c>
    </row>
    <row r="2344" customFormat="false" ht="15" hidden="false" customHeight="false" outlineLevel="0" collapsed="false">
      <c r="A2344" s="22" t="n">
        <v>46182</v>
      </c>
      <c r="B2344" s="19" t="s">
        <v>51</v>
      </c>
      <c r="C2344" s="19" t="s">
        <v>14</v>
      </c>
      <c r="D2344" s="19" t="s">
        <v>73</v>
      </c>
      <c r="E2344" s="20" t="n">
        <v>900</v>
      </c>
      <c r="F2344" s="20" t="n">
        <v>0</v>
      </c>
    </row>
    <row r="2345" customFormat="false" ht="15" hidden="false" customHeight="false" outlineLevel="0" collapsed="false">
      <c r="A2345" s="22" t="n">
        <v>46182</v>
      </c>
      <c r="B2345" s="19" t="s">
        <v>51</v>
      </c>
      <c r="C2345" s="19" t="s">
        <v>14</v>
      </c>
      <c r="D2345" s="19" t="s">
        <v>142</v>
      </c>
      <c r="E2345" s="20" t="n">
        <v>7227</v>
      </c>
      <c r="F2345" s="20" t="n">
        <v>0</v>
      </c>
    </row>
    <row r="2346" customFormat="false" ht="15" hidden="false" customHeight="false" outlineLevel="0" collapsed="false">
      <c r="A2346" s="22" t="n">
        <v>46182</v>
      </c>
      <c r="B2346" s="19" t="s">
        <v>51</v>
      </c>
      <c r="C2346" s="19" t="s">
        <v>16</v>
      </c>
      <c r="D2346" s="19" t="s">
        <v>139</v>
      </c>
      <c r="E2346" s="20" t="n">
        <v>14418</v>
      </c>
      <c r="F2346" s="20" t="n">
        <v>0</v>
      </c>
    </row>
    <row r="2347" customFormat="false" ht="15" hidden="false" customHeight="false" outlineLevel="0" collapsed="false">
      <c r="A2347" s="22" t="n">
        <v>46182</v>
      </c>
      <c r="B2347" s="19" t="s">
        <v>51</v>
      </c>
      <c r="C2347" s="19" t="s">
        <v>14</v>
      </c>
      <c r="D2347" s="19" t="s">
        <v>143</v>
      </c>
      <c r="E2347" s="20" t="n">
        <v>2376</v>
      </c>
      <c r="F2347" s="20" t="n">
        <v>0</v>
      </c>
    </row>
    <row r="2348" customFormat="false" ht="15" hidden="false" customHeight="false" outlineLevel="0" collapsed="false">
      <c r="A2348" s="22" t="n">
        <v>46182</v>
      </c>
      <c r="B2348" s="19" t="s">
        <v>51</v>
      </c>
      <c r="C2348" s="19" t="s">
        <v>14</v>
      </c>
      <c r="D2348" s="19" t="s">
        <v>147</v>
      </c>
      <c r="E2348" s="20" t="n">
        <v>174649</v>
      </c>
      <c r="F2348" s="20" t="n">
        <v>729960</v>
      </c>
    </row>
    <row r="2349" customFormat="false" ht="15" hidden="false" customHeight="false" outlineLevel="0" collapsed="false">
      <c r="A2349" s="22" t="n">
        <v>46182</v>
      </c>
      <c r="B2349" s="19" t="s">
        <v>51</v>
      </c>
      <c r="C2349" s="19" t="s">
        <v>12</v>
      </c>
      <c r="D2349" s="19" t="s">
        <v>122</v>
      </c>
      <c r="E2349" s="20" t="n">
        <v>29477</v>
      </c>
      <c r="F2349" s="20" t="n">
        <v>0</v>
      </c>
    </row>
    <row r="2350" customFormat="false" ht="15" hidden="false" customHeight="false" outlineLevel="0" collapsed="false">
      <c r="A2350" s="22" t="n">
        <v>46182</v>
      </c>
      <c r="B2350" s="19" t="s">
        <v>51</v>
      </c>
      <c r="C2350" s="19" t="s">
        <v>13</v>
      </c>
      <c r="D2350" s="19" t="s">
        <v>161</v>
      </c>
      <c r="E2350" s="20" t="n">
        <v>700000</v>
      </c>
      <c r="F2350" s="20" t="n">
        <v>3317730</v>
      </c>
    </row>
    <row r="2351" customFormat="false" ht="15" hidden="false" customHeight="false" outlineLevel="0" collapsed="false">
      <c r="A2351" s="22" t="n">
        <v>46182</v>
      </c>
      <c r="B2351" s="19" t="s">
        <v>51</v>
      </c>
      <c r="C2351" s="19" t="s">
        <v>12</v>
      </c>
      <c r="D2351" s="19" t="s">
        <v>151</v>
      </c>
      <c r="E2351" s="20" t="n">
        <v>78430</v>
      </c>
      <c r="F2351" s="20" t="n">
        <v>388000</v>
      </c>
    </row>
    <row r="2352" customFormat="false" ht="15" hidden="false" customHeight="false" outlineLevel="0" collapsed="false">
      <c r="A2352" s="22" t="n">
        <v>46182</v>
      </c>
      <c r="B2352" s="19" t="s">
        <v>51</v>
      </c>
      <c r="C2352" s="19" t="s">
        <v>12</v>
      </c>
      <c r="D2352" s="19" t="s">
        <v>152</v>
      </c>
      <c r="E2352" s="20" t="n">
        <v>58701</v>
      </c>
      <c r="F2352" s="20" t="n">
        <v>188000</v>
      </c>
    </row>
    <row r="2353" customFormat="false" ht="15" hidden="false" customHeight="false" outlineLevel="0" collapsed="false">
      <c r="A2353" s="22" t="n">
        <v>46182</v>
      </c>
      <c r="B2353" s="19" t="s">
        <v>51</v>
      </c>
      <c r="C2353" s="19" t="s">
        <v>12</v>
      </c>
      <c r="D2353" s="19" t="s">
        <v>156</v>
      </c>
      <c r="E2353" s="20" t="n">
        <v>200000</v>
      </c>
      <c r="F2353" s="20" t="n">
        <v>1242000</v>
      </c>
    </row>
    <row r="2354" customFormat="false" ht="15" hidden="false" customHeight="false" outlineLevel="0" collapsed="false">
      <c r="A2354" s="22" t="n">
        <v>46182</v>
      </c>
      <c r="B2354" s="19" t="s">
        <v>51</v>
      </c>
      <c r="C2354" s="19" t="s">
        <v>12</v>
      </c>
      <c r="D2354" s="19" t="s">
        <v>158</v>
      </c>
      <c r="E2354" s="20" t="n">
        <v>28857</v>
      </c>
      <c r="F2354" s="20" t="n">
        <v>0</v>
      </c>
    </row>
    <row r="2355" customFormat="false" ht="15" hidden="false" customHeight="false" outlineLevel="0" collapsed="false">
      <c r="A2355" s="22" t="n">
        <v>46182</v>
      </c>
      <c r="B2355" s="19" t="s">
        <v>51</v>
      </c>
      <c r="C2355" s="19" t="s">
        <v>12</v>
      </c>
      <c r="D2355" s="19" t="s">
        <v>162</v>
      </c>
      <c r="E2355" s="20" t="n">
        <v>41866</v>
      </c>
      <c r="F2355" s="20" t="n">
        <v>215000</v>
      </c>
    </row>
    <row r="2356" customFormat="false" ht="15" hidden="false" customHeight="false" outlineLevel="0" collapsed="false">
      <c r="A2356" s="22" t="n">
        <v>46182</v>
      </c>
      <c r="B2356" s="19" t="s">
        <v>51</v>
      </c>
      <c r="C2356" s="19" t="s">
        <v>12</v>
      </c>
      <c r="D2356" s="19" t="s">
        <v>159</v>
      </c>
      <c r="E2356" s="20" t="n">
        <v>68796</v>
      </c>
      <c r="F2356" s="20" t="n">
        <v>0</v>
      </c>
    </row>
    <row r="2357" customFormat="false" ht="15" hidden="false" customHeight="false" outlineLevel="0" collapsed="false">
      <c r="A2357" s="22" t="n">
        <v>46182</v>
      </c>
      <c r="B2357" s="19" t="s">
        <v>51</v>
      </c>
      <c r="C2357" s="19" t="s">
        <v>13</v>
      </c>
      <c r="D2357" s="19" t="s">
        <v>44</v>
      </c>
      <c r="E2357" s="20" t="n">
        <v>31573</v>
      </c>
      <c r="F2357" s="20" t="n">
        <v>0</v>
      </c>
    </row>
    <row r="2358" customFormat="false" ht="15" hidden="false" customHeight="false" outlineLevel="0" collapsed="false">
      <c r="A2358" s="22" t="n">
        <v>46182</v>
      </c>
      <c r="B2358" s="19" t="s">
        <v>51</v>
      </c>
      <c r="C2358" s="19" t="s">
        <v>13</v>
      </c>
      <c r="D2358" s="19" t="s">
        <v>160</v>
      </c>
      <c r="E2358" s="20" t="n">
        <v>33448</v>
      </c>
      <c r="F2358" s="20" t="n">
        <v>94300</v>
      </c>
    </row>
    <row r="2359" customFormat="false" ht="15" hidden="false" customHeight="false" outlineLevel="0" collapsed="false">
      <c r="A2359" s="22" t="n">
        <v>46182</v>
      </c>
      <c r="B2359" s="19" t="s">
        <v>51</v>
      </c>
      <c r="C2359" s="19" t="s">
        <v>12</v>
      </c>
      <c r="D2359" s="19" t="s">
        <v>155</v>
      </c>
      <c r="E2359" s="20" t="n">
        <v>51630</v>
      </c>
      <c r="F2359" s="20" t="n">
        <v>0</v>
      </c>
    </row>
    <row r="2360" customFormat="false" ht="15" hidden="false" customHeight="false" outlineLevel="0" collapsed="false">
      <c r="A2360" s="22" t="n">
        <v>46183</v>
      </c>
      <c r="B2360" s="19" t="s">
        <v>51</v>
      </c>
      <c r="C2360" s="19" t="s">
        <v>12</v>
      </c>
      <c r="D2360" s="19" t="s">
        <v>138</v>
      </c>
      <c r="E2360" s="20" t="n">
        <v>350000</v>
      </c>
      <c r="F2360" s="20" t="n">
        <v>1923000</v>
      </c>
    </row>
    <row r="2361" customFormat="false" ht="15" hidden="false" customHeight="false" outlineLevel="0" collapsed="false">
      <c r="A2361" s="22" t="n">
        <v>46183</v>
      </c>
      <c r="B2361" s="19" t="s">
        <v>51</v>
      </c>
      <c r="C2361" s="19" t="s">
        <v>11</v>
      </c>
      <c r="D2361" s="19" t="s">
        <v>145</v>
      </c>
      <c r="E2361" s="20" t="n">
        <v>14837</v>
      </c>
      <c r="F2361" s="20" t="n">
        <v>0</v>
      </c>
    </row>
    <row r="2362" customFormat="false" ht="15" hidden="false" customHeight="false" outlineLevel="0" collapsed="false">
      <c r="A2362" s="22" t="n">
        <v>46183</v>
      </c>
      <c r="B2362" s="19" t="s">
        <v>51</v>
      </c>
      <c r="C2362" s="19" t="s">
        <v>11</v>
      </c>
      <c r="D2362" s="19" t="s">
        <v>144</v>
      </c>
      <c r="E2362" s="20" t="n">
        <v>17527</v>
      </c>
      <c r="F2362" s="20" t="n">
        <v>0</v>
      </c>
    </row>
    <row r="2363" customFormat="false" ht="15" hidden="false" customHeight="false" outlineLevel="0" collapsed="false">
      <c r="A2363" s="22" t="n">
        <v>46183</v>
      </c>
      <c r="B2363" s="19" t="s">
        <v>51</v>
      </c>
      <c r="C2363" s="19" t="s">
        <v>14</v>
      </c>
      <c r="D2363" s="19" t="s">
        <v>73</v>
      </c>
      <c r="E2363" s="20" t="n">
        <v>540</v>
      </c>
      <c r="F2363" s="20" t="n">
        <v>0</v>
      </c>
    </row>
    <row r="2364" customFormat="false" ht="15" hidden="false" customHeight="false" outlineLevel="0" collapsed="false">
      <c r="A2364" s="22" t="n">
        <v>46183</v>
      </c>
      <c r="B2364" s="19" t="s">
        <v>51</v>
      </c>
      <c r="C2364" s="19" t="s">
        <v>14</v>
      </c>
      <c r="D2364" s="19" t="s">
        <v>142</v>
      </c>
      <c r="E2364" s="20" t="n">
        <v>390</v>
      </c>
      <c r="F2364" s="20" t="n">
        <v>0</v>
      </c>
    </row>
    <row r="2365" customFormat="false" ht="15" hidden="false" customHeight="false" outlineLevel="0" collapsed="false">
      <c r="A2365" s="22" t="n">
        <v>46183</v>
      </c>
      <c r="B2365" s="19" t="s">
        <v>51</v>
      </c>
      <c r="C2365" s="19" t="s">
        <v>16</v>
      </c>
      <c r="D2365" s="19" t="s">
        <v>139</v>
      </c>
      <c r="E2365" s="20" t="n">
        <v>9710</v>
      </c>
      <c r="F2365" s="20" t="n">
        <v>0</v>
      </c>
    </row>
    <row r="2366" customFormat="false" ht="15" hidden="false" customHeight="false" outlineLevel="0" collapsed="false">
      <c r="A2366" s="22" t="n">
        <v>46183</v>
      </c>
      <c r="B2366" s="19" t="s">
        <v>51</v>
      </c>
      <c r="C2366" s="19" t="s">
        <v>14</v>
      </c>
      <c r="D2366" s="19" t="s">
        <v>143</v>
      </c>
      <c r="E2366" s="20" t="n">
        <v>733</v>
      </c>
      <c r="F2366" s="20" t="n">
        <v>0</v>
      </c>
    </row>
    <row r="2367" customFormat="false" ht="15" hidden="false" customHeight="false" outlineLevel="0" collapsed="false">
      <c r="A2367" s="22" t="n">
        <v>46183</v>
      </c>
      <c r="B2367" s="19" t="s">
        <v>51</v>
      </c>
      <c r="C2367" s="19" t="s">
        <v>12</v>
      </c>
      <c r="D2367" s="19" t="s">
        <v>122</v>
      </c>
      <c r="E2367" s="20" t="n">
        <v>150000</v>
      </c>
      <c r="F2367" s="20" t="n">
        <v>1001040</v>
      </c>
    </row>
    <row r="2368" customFormat="false" ht="15" hidden="false" customHeight="false" outlineLevel="0" collapsed="false">
      <c r="A2368" s="22" t="n">
        <v>46183</v>
      </c>
      <c r="B2368" s="19" t="s">
        <v>51</v>
      </c>
      <c r="C2368" s="19" t="s">
        <v>14</v>
      </c>
      <c r="D2368" s="19" t="s">
        <v>147</v>
      </c>
      <c r="E2368" s="20" t="n">
        <v>37876</v>
      </c>
      <c r="F2368" s="20" t="n">
        <v>39000</v>
      </c>
    </row>
    <row r="2369" customFormat="false" ht="15" hidden="false" customHeight="false" outlineLevel="0" collapsed="false">
      <c r="A2369" s="22" t="n">
        <v>46183</v>
      </c>
      <c r="B2369" s="19" t="s">
        <v>51</v>
      </c>
      <c r="C2369" s="19" t="s">
        <v>12</v>
      </c>
      <c r="D2369" s="19" t="s">
        <v>162</v>
      </c>
      <c r="E2369" s="20" t="n">
        <v>544995</v>
      </c>
      <c r="F2369" s="20" t="n">
        <v>3207800</v>
      </c>
    </row>
    <row r="2370" customFormat="false" ht="15" hidden="false" customHeight="false" outlineLevel="0" collapsed="false">
      <c r="A2370" s="22" t="n">
        <v>46183</v>
      </c>
      <c r="B2370" s="19" t="s">
        <v>51</v>
      </c>
      <c r="C2370" s="19" t="s">
        <v>13</v>
      </c>
      <c r="D2370" s="19" t="s">
        <v>163</v>
      </c>
      <c r="E2370" s="20" t="n">
        <v>227435</v>
      </c>
      <c r="F2370" s="20" t="n">
        <v>1745020</v>
      </c>
    </row>
    <row r="2371" customFormat="false" ht="15" hidden="false" customHeight="false" outlineLevel="0" collapsed="false">
      <c r="A2371" s="22" t="n">
        <v>46183</v>
      </c>
      <c r="B2371" s="19" t="s">
        <v>51</v>
      </c>
      <c r="C2371" s="19" t="s">
        <v>12</v>
      </c>
      <c r="D2371" s="19" t="s">
        <v>152</v>
      </c>
      <c r="E2371" s="20" t="n">
        <v>47295</v>
      </c>
      <c r="F2371" s="20" t="n">
        <v>207760</v>
      </c>
    </row>
    <row r="2372" customFormat="false" ht="15" hidden="false" customHeight="false" outlineLevel="0" collapsed="false">
      <c r="A2372" s="22" t="n">
        <v>46183</v>
      </c>
      <c r="B2372" s="19" t="s">
        <v>51</v>
      </c>
      <c r="C2372" s="19" t="s">
        <v>12</v>
      </c>
      <c r="D2372" s="19" t="s">
        <v>158</v>
      </c>
      <c r="E2372" s="20" t="n">
        <v>58805</v>
      </c>
      <c r="F2372" s="20" t="n">
        <v>905000</v>
      </c>
    </row>
    <row r="2373" customFormat="false" ht="15" hidden="false" customHeight="false" outlineLevel="0" collapsed="false">
      <c r="A2373" s="22" t="n">
        <v>46183</v>
      </c>
      <c r="B2373" s="19" t="s">
        <v>51</v>
      </c>
      <c r="C2373" s="19" t="s">
        <v>12</v>
      </c>
      <c r="D2373" s="19" t="s">
        <v>151</v>
      </c>
      <c r="E2373" s="20" t="n">
        <v>36188</v>
      </c>
      <c r="F2373" s="20" t="n">
        <v>0</v>
      </c>
    </row>
    <row r="2374" customFormat="false" ht="15" hidden="false" customHeight="false" outlineLevel="0" collapsed="false">
      <c r="A2374" s="22" t="n">
        <v>46183</v>
      </c>
      <c r="B2374" s="19" t="s">
        <v>51</v>
      </c>
      <c r="C2374" s="19" t="s">
        <v>13</v>
      </c>
      <c r="D2374" s="19" t="s">
        <v>161</v>
      </c>
      <c r="E2374" s="20" t="n">
        <v>315461</v>
      </c>
      <c r="F2374" s="20" t="n">
        <v>862300</v>
      </c>
    </row>
    <row r="2375" customFormat="false" ht="15" hidden="false" customHeight="false" outlineLevel="0" collapsed="false">
      <c r="A2375" s="22" t="n">
        <v>46183</v>
      </c>
      <c r="B2375" s="19" t="s">
        <v>51</v>
      </c>
      <c r="C2375" s="19" t="s">
        <v>12</v>
      </c>
      <c r="D2375" s="19" t="s">
        <v>159</v>
      </c>
      <c r="E2375" s="20" t="n">
        <v>72292</v>
      </c>
      <c r="F2375" s="20" t="n">
        <v>0</v>
      </c>
    </row>
    <row r="2376" customFormat="false" ht="15" hidden="false" customHeight="false" outlineLevel="0" collapsed="false">
      <c r="A2376" s="22" t="n">
        <v>46183</v>
      </c>
      <c r="B2376" s="19" t="s">
        <v>51</v>
      </c>
      <c r="C2376" s="19" t="s">
        <v>12</v>
      </c>
      <c r="D2376" s="19" t="s">
        <v>156</v>
      </c>
      <c r="E2376" s="20" t="n">
        <v>103749</v>
      </c>
      <c r="F2376" s="20" t="n">
        <v>230300</v>
      </c>
    </row>
    <row r="2377" customFormat="false" ht="15" hidden="false" customHeight="false" outlineLevel="0" collapsed="false">
      <c r="A2377" s="22" t="n">
        <v>46183</v>
      </c>
      <c r="B2377" s="19" t="s">
        <v>51</v>
      </c>
      <c r="C2377" s="19" t="s">
        <v>13</v>
      </c>
      <c r="D2377" s="19" t="s">
        <v>160</v>
      </c>
      <c r="E2377" s="20" t="n">
        <v>35455</v>
      </c>
      <c r="F2377" s="20" t="n">
        <v>195000</v>
      </c>
    </row>
    <row r="2378" customFormat="false" ht="15" hidden="false" customHeight="false" outlineLevel="0" collapsed="false">
      <c r="A2378" s="22" t="n">
        <v>46183</v>
      </c>
      <c r="B2378" s="19" t="s">
        <v>51</v>
      </c>
      <c r="C2378" s="19" t="s">
        <v>12</v>
      </c>
      <c r="D2378" s="19" t="s">
        <v>155</v>
      </c>
      <c r="E2378" s="20" t="n">
        <v>20637</v>
      </c>
      <c r="F2378" s="20" t="n">
        <v>0</v>
      </c>
    </row>
    <row r="2379" customFormat="false" ht="15" hidden="false" customHeight="false" outlineLevel="0" collapsed="false">
      <c r="A2379" s="22" t="n">
        <v>46183</v>
      </c>
      <c r="B2379" s="19" t="s">
        <v>51</v>
      </c>
      <c r="C2379" s="19" t="s">
        <v>13</v>
      </c>
      <c r="D2379" s="19" t="s">
        <v>44</v>
      </c>
      <c r="E2379" s="20" t="n">
        <v>11000</v>
      </c>
      <c r="F2379" s="20" t="n">
        <v>0</v>
      </c>
    </row>
    <row r="2380" customFormat="false" ht="15" hidden="false" customHeight="false" outlineLevel="0" collapsed="false">
      <c r="A2380" s="22" t="n">
        <v>46184</v>
      </c>
      <c r="B2380" s="19" t="s">
        <v>51</v>
      </c>
      <c r="C2380" s="19" t="s">
        <v>12</v>
      </c>
      <c r="D2380" s="19" t="s">
        <v>138</v>
      </c>
      <c r="E2380" s="20" t="n">
        <v>116861</v>
      </c>
      <c r="F2380" s="20" t="n">
        <v>235000</v>
      </c>
    </row>
    <row r="2381" customFormat="false" ht="15" hidden="false" customHeight="false" outlineLevel="0" collapsed="false">
      <c r="A2381" s="22" t="n">
        <v>46184</v>
      </c>
      <c r="B2381" s="19" t="s">
        <v>51</v>
      </c>
      <c r="C2381" s="19" t="s">
        <v>11</v>
      </c>
      <c r="D2381" s="19" t="s">
        <v>145</v>
      </c>
      <c r="E2381" s="20" t="n">
        <v>105127</v>
      </c>
      <c r="F2381" s="20" t="n">
        <v>524700</v>
      </c>
    </row>
    <row r="2382" customFormat="false" ht="15" hidden="false" customHeight="false" outlineLevel="0" collapsed="false">
      <c r="A2382" s="22" t="n">
        <v>46184</v>
      </c>
      <c r="B2382" s="19" t="s">
        <v>51</v>
      </c>
      <c r="C2382" s="19" t="s">
        <v>14</v>
      </c>
      <c r="D2382" s="19" t="s">
        <v>73</v>
      </c>
      <c r="E2382" s="20" t="n">
        <v>29898</v>
      </c>
      <c r="F2382" s="20" t="n">
        <v>106820</v>
      </c>
    </row>
    <row r="2383" customFormat="false" ht="15" hidden="false" customHeight="false" outlineLevel="0" collapsed="false">
      <c r="A2383" s="22" t="n">
        <v>46184</v>
      </c>
      <c r="B2383" s="19" t="s">
        <v>51</v>
      </c>
      <c r="C2383" s="19" t="s">
        <v>14</v>
      </c>
      <c r="D2383" s="19" t="s">
        <v>142</v>
      </c>
      <c r="E2383" s="20" t="n">
        <v>32635</v>
      </c>
      <c r="F2383" s="20" t="n">
        <v>493292</v>
      </c>
    </row>
    <row r="2384" customFormat="false" ht="15" hidden="false" customHeight="false" outlineLevel="0" collapsed="false">
      <c r="A2384" s="22" t="n">
        <v>46184</v>
      </c>
      <c r="B2384" s="19" t="s">
        <v>51</v>
      </c>
      <c r="C2384" s="19" t="s">
        <v>11</v>
      </c>
      <c r="D2384" s="19" t="s">
        <v>144</v>
      </c>
      <c r="E2384" s="20" t="n">
        <v>22725</v>
      </c>
      <c r="F2384" s="20" t="n">
        <v>0</v>
      </c>
    </row>
    <row r="2385" customFormat="false" ht="15" hidden="false" customHeight="false" outlineLevel="0" collapsed="false">
      <c r="A2385" s="22" t="n">
        <v>46184</v>
      </c>
      <c r="B2385" s="19" t="s">
        <v>51</v>
      </c>
      <c r="C2385" s="19" t="s">
        <v>16</v>
      </c>
      <c r="D2385" s="19" t="s">
        <v>139</v>
      </c>
      <c r="E2385" s="20" t="n">
        <v>105670</v>
      </c>
      <c r="F2385" s="20" t="n">
        <v>540000</v>
      </c>
    </row>
    <row r="2386" customFormat="false" ht="15" hidden="false" customHeight="false" outlineLevel="0" collapsed="false">
      <c r="A2386" s="22" t="n">
        <v>46184</v>
      </c>
      <c r="B2386" s="19" t="s">
        <v>51</v>
      </c>
      <c r="C2386" s="19" t="s">
        <v>14</v>
      </c>
      <c r="D2386" s="19" t="s">
        <v>143</v>
      </c>
      <c r="E2386" s="20" t="n">
        <v>2484</v>
      </c>
      <c r="F2386" s="20" t="n">
        <v>0</v>
      </c>
    </row>
    <row r="2387" customFormat="false" ht="15" hidden="false" customHeight="false" outlineLevel="0" collapsed="false">
      <c r="A2387" s="22" t="n">
        <v>46184</v>
      </c>
      <c r="B2387" s="19" t="s">
        <v>51</v>
      </c>
      <c r="C2387" s="19" t="s">
        <v>12</v>
      </c>
      <c r="D2387" s="19" t="s">
        <v>122</v>
      </c>
      <c r="E2387" s="20" t="n">
        <v>150000</v>
      </c>
      <c r="F2387" s="20" t="n">
        <v>806020</v>
      </c>
    </row>
    <row r="2388" customFormat="false" ht="15" hidden="false" customHeight="false" outlineLevel="0" collapsed="false">
      <c r="A2388" s="22" t="n">
        <v>46184</v>
      </c>
      <c r="B2388" s="19" t="s">
        <v>51</v>
      </c>
      <c r="C2388" s="19" t="s">
        <v>14</v>
      </c>
      <c r="D2388" s="19" t="s">
        <v>147</v>
      </c>
      <c r="E2388" s="20" t="n">
        <v>139204</v>
      </c>
      <c r="F2388" s="20" t="n">
        <v>584460</v>
      </c>
    </row>
    <row r="2389" customFormat="false" ht="15" hidden="false" customHeight="false" outlineLevel="0" collapsed="false">
      <c r="A2389" s="22" t="n">
        <v>46184</v>
      </c>
      <c r="B2389" s="19" t="s">
        <v>51</v>
      </c>
      <c r="C2389" s="19" t="s">
        <v>12</v>
      </c>
      <c r="D2389" s="19" t="s">
        <v>151</v>
      </c>
      <c r="E2389" s="20" t="n">
        <v>400000</v>
      </c>
      <c r="F2389" s="20" t="n">
        <v>2410680</v>
      </c>
    </row>
    <row r="2390" customFormat="false" ht="15" hidden="false" customHeight="false" outlineLevel="0" collapsed="false">
      <c r="A2390" s="22" t="n">
        <v>46184</v>
      </c>
      <c r="B2390" s="19" t="s">
        <v>51</v>
      </c>
      <c r="C2390" s="19" t="s">
        <v>13</v>
      </c>
      <c r="D2390" s="19" t="s">
        <v>163</v>
      </c>
      <c r="E2390" s="20" t="n">
        <v>400000</v>
      </c>
      <c r="F2390" s="20" t="n">
        <v>2455208</v>
      </c>
    </row>
    <row r="2391" customFormat="false" ht="15" hidden="false" customHeight="false" outlineLevel="0" collapsed="false">
      <c r="A2391" s="22" t="n">
        <v>46184</v>
      </c>
      <c r="B2391" s="19" t="s">
        <v>51</v>
      </c>
      <c r="C2391" s="19" t="s">
        <v>12</v>
      </c>
      <c r="D2391" s="19" t="s">
        <v>162</v>
      </c>
      <c r="E2391" s="20" t="n">
        <v>399639</v>
      </c>
      <c r="F2391" s="20" t="n">
        <v>1125500</v>
      </c>
    </row>
    <row r="2392" customFormat="false" ht="15" hidden="false" customHeight="false" outlineLevel="0" collapsed="false">
      <c r="A2392" s="22" t="n">
        <v>46184</v>
      </c>
      <c r="B2392" s="19" t="s">
        <v>51</v>
      </c>
      <c r="C2392" s="19" t="s">
        <v>12</v>
      </c>
      <c r="D2392" s="19" t="s">
        <v>152</v>
      </c>
      <c r="E2392" s="20" t="n">
        <v>54891</v>
      </c>
      <c r="F2392" s="20" t="n">
        <v>207760</v>
      </c>
    </row>
    <row r="2393" customFormat="false" ht="15" hidden="false" customHeight="false" outlineLevel="0" collapsed="false">
      <c r="A2393" s="22" t="n">
        <v>46184</v>
      </c>
      <c r="B2393" s="19" t="s">
        <v>51</v>
      </c>
      <c r="C2393" s="19" t="s">
        <v>12</v>
      </c>
      <c r="D2393" s="19" t="s">
        <v>158</v>
      </c>
      <c r="E2393" s="20" t="n">
        <v>44819</v>
      </c>
      <c r="F2393" s="20" t="n">
        <v>0</v>
      </c>
    </row>
    <row r="2394" customFormat="false" ht="15" hidden="false" customHeight="false" outlineLevel="0" collapsed="false">
      <c r="A2394" s="22" t="n">
        <v>46184</v>
      </c>
      <c r="B2394" s="19" t="s">
        <v>51</v>
      </c>
      <c r="C2394" s="19" t="s">
        <v>12</v>
      </c>
      <c r="D2394" s="19" t="s">
        <v>159</v>
      </c>
      <c r="E2394" s="20" t="n">
        <v>68325</v>
      </c>
      <c r="F2394" s="20" t="n">
        <v>552720</v>
      </c>
    </row>
    <row r="2395" customFormat="false" ht="15" hidden="false" customHeight="false" outlineLevel="0" collapsed="false">
      <c r="A2395" s="22" t="n">
        <v>46184</v>
      </c>
      <c r="B2395" s="19" t="s">
        <v>51</v>
      </c>
      <c r="C2395" s="19" t="s">
        <v>12</v>
      </c>
      <c r="D2395" s="19" t="s">
        <v>156</v>
      </c>
      <c r="E2395" s="20" t="n">
        <v>47155</v>
      </c>
      <c r="F2395" s="20" t="n">
        <v>195000</v>
      </c>
    </row>
    <row r="2396" customFormat="false" ht="15" hidden="false" customHeight="false" outlineLevel="0" collapsed="false">
      <c r="A2396" s="22" t="n">
        <v>46184</v>
      </c>
      <c r="B2396" s="19" t="s">
        <v>51</v>
      </c>
      <c r="C2396" s="19" t="s">
        <v>13</v>
      </c>
      <c r="D2396" s="19" t="s">
        <v>160</v>
      </c>
      <c r="E2396" s="20" t="n">
        <v>28478</v>
      </c>
      <c r="F2396" s="20" t="n">
        <v>0</v>
      </c>
    </row>
    <row r="2397" customFormat="false" ht="15" hidden="false" customHeight="false" outlineLevel="0" collapsed="false">
      <c r="A2397" s="22" t="n">
        <v>46185</v>
      </c>
      <c r="B2397" s="19" t="s">
        <v>51</v>
      </c>
      <c r="C2397" s="19" t="s">
        <v>12</v>
      </c>
      <c r="D2397" s="19" t="s">
        <v>138</v>
      </c>
      <c r="E2397" s="20" t="n">
        <v>116262</v>
      </c>
      <c r="F2397" s="20" t="n">
        <v>582100</v>
      </c>
    </row>
    <row r="2398" customFormat="false" ht="15" hidden="false" customHeight="false" outlineLevel="0" collapsed="false">
      <c r="A2398" s="22" t="n">
        <v>46185</v>
      </c>
      <c r="B2398" s="19" t="s">
        <v>51</v>
      </c>
      <c r="C2398" s="19" t="s">
        <v>14</v>
      </c>
      <c r="D2398" s="19" t="s">
        <v>142</v>
      </c>
      <c r="E2398" s="20" t="n">
        <v>24569</v>
      </c>
      <c r="F2398" s="20" t="n">
        <v>0</v>
      </c>
    </row>
    <row r="2399" customFormat="false" ht="15" hidden="false" customHeight="false" outlineLevel="0" collapsed="false">
      <c r="A2399" s="22" t="n">
        <v>46185</v>
      </c>
      <c r="B2399" s="19" t="s">
        <v>51</v>
      </c>
      <c r="C2399" s="19" t="s">
        <v>11</v>
      </c>
      <c r="D2399" s="19" t="s">
        <v>145</v>
      </c>
      <c r="E2399" s="20" t="n">
        <v>15866</v>
      </c>
      <c r="F2399" s="20" t="n">
        <v>0</v>
      </c>
    </row>
    <row r="2400" customFormat="false" ht="15" hidden="false" customHeight="false" outlineLevel="0" collapsed="false">
      <c r="A2400" s="22" t="n">
        <v>46185</v>
      </c>
      <c r="B2400" s="19" t="s">
        <v>51</v>
      </c>
      <c r="C2400" s="19" t="s">
        <v>11</v>
      </c>
      <c r="D2400" s="19" t="s">
        <v>144</v>
      </c>
      <c r="E2400" s="20" t="n">
        <v>11897</v>
      </c>
      <c r="F2400" s="20" t="n">
        <v>0</v>
      </c>
    </row>
    <row r="2401" customFormat="false" ht="15" hidden="false" customHeight="false" outlineLevel="0" collapsed="false">
      <c r="A2401" s="22" t="n">
        <v>46185</v>
      </c>
      <c r="B2401" s="19" t="s">
        <v>51</v>
      </c>
      <c r="C2401" s="19" t="s">
        <v>14</v>
      </c>
      <c r="D2401" s="19" t="s">
        <v>73</v>
      </c>
      <c r="E2401" s="20" t="n">
        <v>2529</v>
      </c>
      <c r="F2401" s="20" t="n">
        <v>0</v>
      </c>
    </row>
    <row r="2402" customFormat="false" ht="15" hidden="false" customHeight="false" outlineLevel="0" collapsed="false">
      <c r="A2402" s="22" t="n">
        <v>46185</v>
      </c>
      <c r="B2402" s="19" t="s">
        <v>51</v>
      </c>
      <c r="C2402" s="19" t="s">
        <v>16</v>
      </c>
      <c r="D2402" s="19" t="s">
        <v>139</v>
      </c>
      <c r="E2402" s="20" t="n">
        <v>17982</v>
      </c>
      <c r="F2402" s="20" t="n">
        <v>0</v>
      </c>
    </row>
    <row r="2403" customFormat="false" ht="15" hidden="false" customHeight="false" outlineLevel="0" collapsed="false">
      <c r="A2403" s="22" t="n">
        <v>46185</v>
      </c>
      <c r="B2403" s="19" t="s">
        <v>51</v>
      </c>
      <c r="C2403" s="19" t="s">
        <v>14</v>
      </c>
      <c r="D2403" s="19" t="s">
        <v>143</v>
      </c>
      <c r="E2403" s="20" t="n">
        <v>14548</v>
      </c>
      <c r="F2403" s="20" t="n">
        <v>109000</v>
      </c>
    </row>
    <row r="2404" customFormat="false" ht="15" hidden="false" customHeight="false" outlineLevel="0" collapsed="false">
      <c r="A2404" s="22" t="n">
        <v>46185</v>
      </c>
      <c r="B2404" s="19" t="s">
        <v>51</v>
      </c>
      <c r="C2404" s="19" t="s">
        <v>12</v>
      </c>
      <c r="D2404" s="19" t="s">
        <v>122</v>
      </c>
      <c r="E2404" s="20" t="n">
        <v>114896</v>
      </c>
      <c r="F2404" s="20" t="n">
        <v>398000</v>
      </c>
    </row>
    <row r="2405" customFormat="false" ht="15" hidden="false" customHeight="false" outlineLevel="0" collapsed="false">
      <c r="A2405" s="22" t="n">
        <v>46185</v>
      </c>
      <c r="B2405" s="19" t="s">
        <v>51</v>
      </c>
      <c r="C2405" s="19" t="s">
        <v>14</v>
      </c>
      <c r="D2405" s="19" t="s">
        <v>147</v>
      </c>
      <c r="E2405" s="20" t="n">
        <v>226305</v>
      </c>
      <c r="F2405" s="20" t="n">
        <v>1038500</v>
      </c>
    </row>
    <row r="2406" customFormat="false" ht="15" hidden="false" customHeight="false" outlineLevel="0" collapsed="false">
      <c r="A2406" s="22" t="n">
        <v>46185</v>
      </c>
      <c r="B2406" s="19" t="s">
        <v>51</v>
      </c>
      <c r="C2406" s="19" t="s">
        <v>12</v>
      </c>
      <c r="D2406" s="19" t="s">
        <v>151</v>
      </c>
      <c r="E2406" s="20" t="n">
        <v>206000</v>
      </c>
      <c r="F2406" s="20" t="n">
        <v>389000</v>
      </c>
    </row>
    <row r="2407" customFormat="false" ht="15" hidden="false" customHeight="false" outlineLevel="0" collapsed="false">
      <c r="A2407" s="22" t="n">
        <v>46185</v>
      </c>
      <c r="B2407" s="19" t="s">
        <v>51</v>
      </c>
      <c r="C2407" s="19" t="s">
        <v>13</v>
      </c>
      <c r="D2407" s="19" t="s">
        <v>163</v>
      </c>
      <c r="E2407" s="20" t="n">
        <v>603581</v>
      </c>
      <c r="F2407" s="20" t="n">
        <v>3063500</v>
      </c>
    </row>
    <row r="2408" customFormat="false" ht="15" hidden="false" customHeight="false" outlineLevel="0" collapsed="false">
      <c r="A2408" s="22" t="n">
        <v>46185</v>
      </c>
      <c r="B2408" s="19" t="s">
        <v>51</v>
      </c>
      <c r="C2408" s="19" t="s">
        <v>12</v>
      </c>
      <c r="D2408" s="19" t="s">
        <v>158</v>
      </c>
      <c r="E2408" s="20" t="n">
        <v>63086</v>
      </c>
      <c r="F2408" s="20" t="n">
        <v>142000</v>
      </c>
    </row>
    <row r="2409" customFormat="false" ht="15" hidden="false" customHeight="false" outlineLevel="0" collapsed="false">
      <c r="A2409" s="22" t="n">
        <v>46185</v>
      </c>
      <c r="B2409" s="19" t="s">
        <v>51</v>
      </c>
      <c r="C2409" s="19" t="s">
        <v>12</v>
      </c>
      <c r="D2409" s="19" t="s">
        <v>156</v>
      </c>
      <c r="E2409" s="20" t="n">
        <v>119134</v>
      </c>
      <c r="F2409" s="20" t="n">
        <v>607600</v>
      </c>
    </row>
    <row r="2410" customFormat="false" ht="15" hidden="false" customHeight="false" outlineLevel="0" collapsed="false">
      <c r="A2410" s="22" t="n">
        <v>46185</v>
      </c>
      <c r="B2410" s="19" t="s">
        <v>51</v>
      </c>
      <c r="C2410" s="19" t="s">
        <v>12</v>
      </c>
      <c r="D2410" s="19" t="s">
        <v>162</v>
      </c>
      <c r="E2410" s="20" t="n">
        <v>44868</v>
      </c>
      <c r="F2410" s="20" t="n">
        <v>130000</v>
      </c>
    </row>
    <row r="2411" customFormat="false" ht="15" hidden="false" customHeight="false" outlineLevel="0" collapsed="false">
      <c r="A2411" s="22" t="n">
        <v>46185</v>
      </c>
      <c r="B2411" s="19" t="s">
        <v>51</v>
      </c>
      <c r="C2411" s="19" t="s">
        <v>12</v>
      </c>
      <c r="D2411" s="19" t="s">
        <v>159</v>
      </c>
      <c r="E2411" s="20" t="n">
        <v>44672</v>
      </c>
      <c r="F2411" s="20" t="n">
        <v>212000</v>
      </c>
    </row>
    <row r="2412" customFormat="false" ht="15" hidden="false" customHeight="false" outlineLevel="0" collapsed="false">
      <c r="A2412" s="22" t="n">
        <v>46185</v>
      </c>
      <c r="B2412" s="19" t="s">
        <v>51</v>
      </c>
      <c r="C2412" s="19" t="s">
        <v>12</v>
      </c>
      <c r="D2412" s="19" t="s">
        <v>152</v>
      </c>
      <c r="E2412" s="20" t="n">
        <v>11320</v>
      </c>
      <c r="F2412" s="20" t="n">
        <v>213640</v>
      </c>
    </row>
    <row r="2413" customFormat="false" ht="15" hidden="false" customHeight="false" outlineLevel="0" collapsed="false">
      <c r="A2413" s="22" t="n">
        <v>46185</v>
      </c>
      <c r="B2413" s="19" t="s">
        <v>51</v>
      </c>
      <c r="C2413" s="19" t="s">
        <v>13</v>
      </c>
      <c r="D2413" s="19" t="s">
        <v>160</v>
      </c>
      <c r="E2413" s="20" t="n">
        <v>20203</v>
      </c>
      <c r="F2413" s="20" t="n">
        <v>0</v>
      </c>
    </row>
    <row r="2414" customFormat="false" ht="15" hidden="false" customHeight="false" outlineLevel="0" collapsed="false">
      <c r="A2414" s="22" t="n">
        <v>46186</v>
      </c>
      <c r="B2414" s="19" t="s">
        <v>51</v>
      </c>
      <c r="C2414" s="19" t="s">
        <v>12</v>
      </c>
      <c r="D2414" s="19" t="s">
        <v>138</v>
      </c>
      <c r="E2414" s="20" t="n">
        <v>111085</v>
      </c>
      <c r="F2414" s="20" t="n">
        <v>611700</v>
      </c>
    </row>
    <row r="2415" customFormat="false" ht="15" hidden="false" customHeight="false" outlineLevel="0" collapsed="false">
      <c r="A2415" s="22" t="n">
        <v>46186</v>
      </c>
      <c r="B2415" s="19" t="s">
        <v>51</v>
      </c>
      <c r="C2415" s="19" t="s">
        <v>11</v>
      </c>
      <c r="D2415" s="19" t="s">
        <v>144</v>
      </c>
      <c r="E2415" s="20" t="n">
        <v>16724</v>
      </c>
      <c r="F2415" s="20" t="n">
        <v>0</v>
      </c>
    </row>
    <row r="2416" customFormat="false" ht="15" hidden="false" customHeight="false" outlineLevel="0" collapsed="false">
      <c r="A2416" s="22" t="n">
        <v>46186</v>
      </c>
      <c r="B2416" s="19" t="s">
        <v>51</v>
      </c>
      <c r="C2416" s="19" t="s">
        <v>11</v>
      </c>
      <c r="D2416" s="19" t="s">
        <v>145</v>
      </c>
      <c r="E2416" s="20" t="n">
        <v>10690</v>
      </c>
      <c r="F2416" s="20" t="n">
        <v>0</v>
      </c>
    </row>
    <row r="2417" customFormat="false" ht="15" hidden="false" customHeight="false" outlineLevel="0" collapsed="false">
      <c r="A2417" s="22" t="n">
        <v>46186</v>
      </c>
      <c r="B2417" s="19" t="s">
        <v>51</v>
      </c>
      <c r="C2417" s="19" t="s">
        <v>14</v>
      </c>
      <c r="D2417" s="19" t="s">
        <v>142</v>
      </c>
      <c r="E2417" s="20" t="n">
        <v>4497</v>
      </c>
      <c r="F2417" s="20" t="n">
        <v>0</v>
      </c>
    </row>
    <row r="2418" customFormat="false" ht="15" hidden="false" customHeight="false" outlineLevel="0" collapsed="false">
      <c r="A2418" s="22" t="n">
        <v>46186</v>
      </c>
      <c r="B2418" s="19" t="s">
        <v>51</v>
      </c>
      <c r="C2418" s="19" t="s">
        <v>14</v>
      </c>
      <c r="D2418" s="19" t="s">
        <v>73</v>
      </c>
      <c r="E2418" s="20" t="n">
        <v>1572</v>
      </c>
      <c r="F2418" s="20" t="n">
        <v>0</v>
      </c>
    </row>
    <row r="2419" customFormat="false" ht="15" hidden="false" customHeight="false" outlineLevel="0" collapsed="false">
      <c r="A2419" s="22" t="n">
        <v>46186</v>
      </c>
      <c r="B2419" s="19" t="s">
        <v>51</v>
      </c>
      <c r="C2419" s="19" t="s">
        <v>16</v>
      </c>
      <c r="D2419" s="19" t="s">
        <v>139</v>
      </c>
      <c r="E2419" s="20" t="n">
        <v>3851</v>
      </c>
      <c r="F2419" s="20" t="n">
        <v>0</v>
      </c>
    </row>
    <row r="2420" customFormat="false" ht="15" hidden="false" customHeight="false" outlineLevel="0" collapsed="false">
      <c r="A2420" s="22" t="n">
        <v>46186</v>
      </c>
      <c r="B2420" s="19" t="s">
        <v>51</v>
      </c>
      <c r="C2420" s="19" t="s">
        <v>14</v>
      </c>
      <c r="D2420" s="19" t="s">
        <v>143</v>
      </c>
      <c r="E2420" s="20" t="n">
        <v>268</v>
      </c>
      <c r="F2420" s="20" t="n">
        <v>0</v>
      </c>
    </row>
    <row r="2421" customFormat="false" ht="15" hidden="false" customHeight="false" outlineLevel="0" collapsed="false">
      <c r="A2421" s="22" t="n">
        <v>46186</v>
      </c>
      <c r="B2421" s="19" t="s">
        <v>51</v>
      </c>
      <c r="C2421" s="19" t="s">
        <v>12</v>
      </c>
      <c r="D2421" s="19" t="s">
        <v>122</v>
      </c>
      <c r="E2421" s="20" t="n">
        <v>42836</v>
      </c>
      <c r="F2421" s="20" t="n">
        <v>0</v>
      </c>
    </row>
    <row r="2422" customFormat="false" ht="15" hidden="false" customHeight="false" outlineLevel="0" collapsed="false">
      <c r="A2422" s="22" t="n">
        <v>46186</v>
      </c>
      <c r="B2422" s="19" t="s">
        <v>51</v>
      </c>
      <c r="C2422" s="19" t="s">
        <v>14</v>
      </c>
      <c r="D2422" s="19" t="s">
        <v>147</v>
      </c>
      <c r="E2422" s="20" t="n">
        <v>38002</v>
      </c>
      <c r="F2422" s="20" t="n">
        <v>252640</v>
      </c>
    </row>
    <row r="2423" customFormat="false" ht="15" hidden="false" customHeight="false" outlineLevel="0" collapsed="false">
      <c r="A2423" s="22" t="n">
        <v>46186</v>
      </c>
      <c r="B2423" s="19" t="s">
        <v>51</v>
      </c>
      <c r="C2423" s="19" t="s">
        <v>13</v>
      </c>
      <c r="D2423" s="19" t="s">
        <v>163</v>
      </c>
      <c r="E2423" s="20" t="n">
        <v>529966</v>
      </c>
      <c r="F2423" s="20" t="n">
        <v>2982620</v>
      </c>
    </row>
    <row r="2424" customFormat="false" ht="15" hidden="false" customHeight="false" outlineLevel="0" collapsed="false">
      <c r="A2424" s="22" t="n">
        <v>46186</v>
      </c>
      <c r="B2424" s="19" t="s">
        <v>51</v>
      </c>
      <c r="C2424" s="19" t="s">
        <v>12</v>
      </c>
      <c r="D2424" s="19" t="s">
        <v>151</v>
      </c>
      <c r="E2424" s="20" t="n">
        <v>42748</v>
      </c>
      <c r="F2424" s="20" t="n">
        <v>0</v>
      </c>
    </row>
    <row r="2425" customFormat="false" ht="15" hidden="false" customHeight="false" outlineLevel="0" collapsed="false">
      <c r="A2425" s="22" t="n">
        <v>46186</v>
      </c>
      <c r="B2425" s="19" t="s">
        <v>51</v>
      </c>
      <c r="C2425" s="19" t="s">
        <v>12</v>
      </c>
      <c r="D2425" s="19" t="s">
        <v>159</v>
      </c>
      <c r="E2425" s="20" t="n">
        <v>132891</v>
      </c>
      <c r="F2425" s="20" t="n">
        <v>623000</v>
      </c>
    </row>
    <row r="2426" customFormat="false" ht="15" hidden="false" customHeight="false" outlineLevel="0" collapsed="false">
      <c r="A2426" s="22" t="n">
        <v>46186</v>
      </c>
      <c r="B2426" s="19" t="s">
        <v>51</v>
      </c>
      <c r="C2426" s="19" t="s">
        <v>12</v>
      </c>
      <c r="D2426" s="19" t="s">
        <v>162</v>
      </c>
      <c r="E2426" s="20" t="n">
        <v>107103</v>
      </c>
      <c r="F2426" s="20" t="n">
        <v>560800</v>
      </c>
    </row>
    <row r="2427" customFormat="false" ht="15" hidden="false" customHeight="false" outlineLevel="0" collapsed="false">
      <c r="A2427" s="22" t="n">
        <v>46186</v>
      </c>
      <c r="B2427" s="19" t="s">
        <v>51</v>
      </c>
      <c r="C2427" s="19" t="s">
        <v>12</v>
      </c>
      <c r="D2427" s="19" t="s">
        <v>158</v>
      </c>
      <c r="E2427" s="20" t="n">
        <v>59995</v>
      </c>
      <c r="F2427" s="20" t="n">
        <v>390040</v>
      </c>
    </row>
    <row r="2428" customFormat="false" ht="15" hidden="false" customHeight="false" outlineLevel="0" collapsed="false">
      <c r="A2428" s="22" t="n">
        <v>46186</v>
      </c>
      <c r="B2428" s="19" t="s">
        <v>51</v>
      </c>
      <c r="C2428" s="19" t="s">
        <v>12</v>
      </c>
      <c r="D2428" s="19" t="s">
        <v>156</v>
      </c>
      <c r="E2428" s="20" t="n">
        <v>105724</v>
      </c>
      <c r="F2428" s="20" t="n">
        <v>480200</v>
      </c>
    </row>
    <row r="2429" customFormat="false" ht="15" hidden="false" customHeight="false" outlineLevel="0" collapsed="false">
      <c r="A2429" s="22" t="n">
        <v>46186</v>
      </c>
      <c r="B2429" s="19" t="s">
        <v>51</v>
      </c>
      <c r="C2429" s="19" t="s">
        <v>13</v>
      </c>
      <c r="D2429" s="19" t="s">
        <v>160</v>
      </c>
      <c r="E2429" s="20" t="n">
        <v>52404</v>
      </c>
      <c r="F2429" s="20" t="n">
        <v>675000</v>
      </c>
    </row>
    <row r="2430" customFormat="false" ht="15" hidden="false" customHeight="false" outlineLevel="0" collapsed="false">
      <c r="A2430" s="22" t="n">
        <v>46187</v>
      </c>
      <c r="B2430" s="19" t="s">
        <v>51</v>
      </c>
      <c r="C2430" s="19" t="s">
        <v>12</v>
      </c>
      <c r="D2430" s="19" t="s">
        <v>138</v>
      </c>
      <c r="E2430" s="20" t="n">
        <v>458886</v>
      </c>
      <c r="F2430" s="20" t="n">
        <v>2405040</v>
      </c>
    </row>
    <row r="2431" customFormat="false" ht="15" hidden="false" customHeight="false" outlineLevel="0" collapsed="false">
      <c r="A2431" s="22" t="n">
        <v>46187</v>
      </c>
      <c r="B2431" s="19" t="s">
        <v>51</v>
      </c>
      <c r="C2431" s="19" t="s">
        <v>11</v>
      </c>
      <c r="D2431" s="19" t="s">
        <v>145</v>
      </c>
      <c r="E2431" s="20" t="n">
        <v>58037</v>
      </c>
      <c r="F2431" s="20" t="n">
        <v>295000</v>
      </c>
    </row>
    <row r="2432" customFormat="false" ht="15" hidden="false" customHeight="false" outlineLevel="0" collapsed="false">
      <c r="A2432" s="22" t="n">
        <v>46187</v>
      </c>
      <c r="B2432" s="19" t="s">
        <v>51</v>
      </c>
      <c r="C2432" s="19" t="s">
        <v>11</v>
      </c>
      <c r="D2432" s="19" t="s">
        <v>144</v>
      </c>
      <c r="E2432" s="20" t="n">
        <v>14616</v>
      </c>
      <c r="F2432" s="20" t="n">
        <v>0</v>
      </c>
    </row>
    <row r="2433" customFormat="false" ht="15" hidden="false" customHeight="false" outlineLevel="0" collapsed="false">
      <c r="A2433" s="22" t="n">
        <v>46187</v>
      </c>
      <c r="B2433" s="19" t="s">
        <v>51</v>
      </c>
      <c r="C2433" s="19" t="s">
        <v>14</v>
      </c>
      <c r="D2433" s="19" t="s">
        <v>142</v>
      </c>
      <c r="E2433" s="20" t="n">
        <v>3848</v>
      </c>
      <c r="F2433" s="20" t="n">
        <v>0</v>
      </c>
    </row>
    <row r="2434" customFormat="false" ht="15" hidden="false" customHeight="false" outlineLevel="0" collapsed="false">
      <c r="A2434" s="22" t="n">
        <v>46187</v>
      </c>
      <c r="B2434" s="19" t="s">
        <v>51</v>
      </c>
      <c r="C2434" s="19" t="s">
        <v>14</v>
      </c>
      <c r="D2434" s="19" t="s">
        <v>73</v>
      </c>
      <c r="E2434" s="20" t="n">
        <v>1034</v>
      </c>
      <c r="F2434" s="20" t="n">
        <v>0</v>
      </c>
    </row>
    <row r="2435" customFormat="false" ht="15" hidden="false" customHeight="false" outlineLevel="0" collapsed="false">
      <c r="A2435" s="22" t="n">
        <v>46187</v>
      </c>
      <c r="B2435" s="19" t="s">
        <v>51</v>
      </c>
      <c r="C2435" s="19" t="s">
        <v>16</v>
      </c>
      <c r="D2435" s="19" t="s">
        <v>139</v>
      </c>
      <c r="E2435" s="20" t="n">
        <v>5961</v>
      </c>
      <c r="F2435" s="20" t="n">
        <v>0</v>
      </c>
    </row>
    <row r="2436" customFormat="false" ht="15" hidden="false" customHeight="false" outlineLevel="0" collapsed="false">
      <c r="A2436" s="22" t="n">
        <v>46187</v>
      </c>
      <c r="B2436" s="19" t="s">
        <v>51</v>
      </c>
      <c r="C2436" s="19" t="s">
        <v>14</v>
      </c>
      <c r="D2436" s="19" t="s">
        <v>143</v>
      </c>
      <c r="E2436" s="20" t="n">
        <v>816</v>
      </c>
      <c r="F2436" s="20" t="n">
        <v>0</v>
      </c>
    </row>
    <row r="2437" customFormat="false" ht="15" hidden="false" customHeight="false" outlineLevel="0" collapsed="false">
      <c r="A2437" s="22" t="n">
        <v>46187</v>
      </c>
      <c r="B2437" s="19" t="s">
        <v>51</v>
      </c>
      <c r="C2437" s="19" t="s">
        <v>14</v>
      </c>
      <c r="D2437" s="19" t="s">
        <v>147</v>
      </c>
      <c r="E2437" s="20" t="n">
        <v>158718</v>
      </c>
      <c r="F2437" s="20" t="n">
        <v>651920</v>
      </c>
    </row>
    <row r="2438" customFormat="false" ht="15" hidden="false" customHeight="false" outlineLevel="0" collapsed="false">
      <c r="A2438" s="22" t="n">
        <v>46187</v>
      </c>
      <c r="B2438" s="19" t="s">
        <v>51</v>
      </c>
      <c r="C2438" s="19" t="s">
        <v>12</v>
      </c>
      <c r="D2438" s="19" t="s">
        <v>122</v>
      </c>
      <c r="E2438" s="20" t="n">
        <v>51574</v>
      </c>
      <c r="F2438" s="20" t="n">
        <v>199000</v>
      </c>
    </row>
    <row r="2439" customFormat="false" ht="15" hidden="false" customHeight="false" outlineLevel="0" collapsed="false">
      <c r="A2439" s="22" t="n">
        <v>46187</v>
      </c>
      <c r="B2439" s="19" t="s">
        <v>51</v>
      </c>
      <c r="C2439" s="19" t="s">
        <v>13</v>
      </c>
      <c r="D2439" s="19" t="s">
        <v>163</v>
      </c>
      <c r="E2439" s="20" t="n">
        <v>649125</v>
      </c>
      <c r="F2439" s="20" t="n">
        <v>3218710</v>
      </c>
    </row>
    <row r="2440" customFormat="false" ht="15" hidden="false" customHeight="false" outlineLevel="0" collapsed="false">
      <c r="A2440" s="22" t="n">
        <v>46187</v>
      </c>
      <c r="B2440" s="19" t="s">
        <v>51</v>
      </c>
      <c r="C2440" s="19" t="s">
        <v>13</v>
      </c>
      <c r="D2440" s="19" t="s">
        <v>160</v>
      </c>
      <c r="E2440" s="20" t="n">
        <v>415445</v>
      </c>
      <c r="F2440" s="20" t="n">
        <v>2222320</v>
      </c>
    </row>
    <row r="2441" customFormat="false" ht="15" hidden="false" customHeight="false" outlineLevel="0" collapsed="false">
      <c r="A2441" s="22" t="n">
        <v>46187</v>
      </c>
      <c r="B2441" s="19" t="s">
        <v>51</v>
      </c>
      <c r="C2441" s="19" t="s">
        <v>12</v>
      </c>
      <c r="D2441" s="19" t="s">
        <v>156</v>
      </c>
      <c r="E2441" s="20" t="n">
        <v>345902</v>
      </c>
      <c r="F2441" s="20" t="n">
        <v>1827300</v>
      </c>
    </row>
    <row r="2442" customFormat="false" ht="15" hidden="false" customHeight="false" outlineLevel="0" collapsed="false">
      <c r="A2442" s="22" t="n">
        <v>46187</v>
      </c>
      <c r="B2442" s="19" t="s">
        <v>51</v>
      </c>
      <c r="C2442" s="19" t="s">
        <v>12</v>
      </c>
      <c r="D2442" s="19" t="s">
        <v>159</v>
      </c>
      <c r="E2442" s="20" t="n">
        <v>152060</v>
      </c>
      <c r="F2442" s="20" t="n">
        <v>767120</v>
      </c>
    </row>
    <row r="2443" customFormat="false" ht="15" hidden="false" customHeight="false" outlineLevel="0" collapsed="false">
      <c r="A2443" s="22" t="n">
        <v>46187</v>
      </c>
      <c r="B2443" s="19" t="s">
        <v>51</v>
      </c>
      <c r="C2443" s="19" t="s">
        <v>12</v>
      </c>
      <c r="D2443" s="19" t="s">
        <v>151</v>
      </c>
      <c r="E2443" s="20" t="n">
        <v>34681</v>
      </c>
      <c r="F2443" s="20" t="n">
        <v>0</v>
      </c>
    </row>
    <row r="2444" customFormat="false" ht="15" hidden="false" customHeight="false" outlineLevel="0" collapsed="false">
      <c r="A2444" s="22" t="n">
        <v>46187</v>
      </c>
      <c r="B2444" s="19" t="s">
        <v>51</v>
      </c>
      <c r="C2444" s="19" t="s">
        <v>12</v>
      </c>
      <c r="D2444" s="19" t="s">
        <v>158</v>
      </c>
      <c r="E2444" s="20" t="n">
        <v>99558</v>
      </c>
      <c r="F2444" s="20" t="n">
        <v>782100</v>
      </c>
    </row>
    <row r="2445" customFormat="false" ht="15" hidden="false" customHeight="false" outlineLevel="0" collapsed="false">
      <c r="A2445" s="22" t="n">
        <v>46187</v>
      </c>
      <c r="B2445" s="19" t="s">
        <v>51</v>
      </c>
      <c r="C2445" s="19" t="s">
        <v>12</v>
      </c>
      <c r="D2445" s="19" t="s">
        <v>162</v>
      </c>
      <c r="E2445" s="20" t="n">
        <v>101962</v>
      </c>
      <c r="F2445" s="20" t="n">
        <v>465000</v>
      </c>
    </row>
    <row r="2446" customFormat="false" ht="15" hidden="false" customHeight="false" outlineLevel="0" collapsed="false">
      <c r="A2446" s="22" t="n">
        <v>46188</v>
      </c>
      <c r="B2446" s="19" t="s">
        <v>51</v>
      </c>
      <c r="C2446" s="19" t="s">
        <v>12</v>
      </c>
      <c r="D2446" s="19" t="s">
        <v>164</v>
      </c>
      <c r="E2446" s="20" t="n">
        <v>107940</v>
      </c>
      <c r="F2446" s="20" t="n">
        <v>457500</v>
      </c>
    </row>
    <row r="2447" customFormat="false" ht="15" hidden="false" customHeight="false" outlineLevel="0" collapsed="false">
      <c r="A2447" s="22" t="n">
        <v>46188</v>
      </c>
      <c r="B2447" s="19" t="s">
        <v>51</v>
      </c>
      <c r="C2447" s="19" t="s">
        <v>12</v>
      </c>
      <c r="D2447" s="19" t="s">
        <v>165</v>
      </c>
      <c r="E2447" s="20" t="n">
        <v>93790</v>
      </c>
      <c r="F2447" s="20" t="n">
        <v>592000</v>
      </c>
    </row>
    <row r="2448" customFormat="false" ht="15" hidden="false" customHeight="false" outlineLevel="0" collapsed="false">
      <c r="A2448" s="22" t="n">
        <v>46188</v>
      </c>
      <c r="B2448" s="19" t="s">
        <v>51</v>
      </c>
      <c r="C2448" s="19" t="s">
        <v>12</v>
      </c>
      <c r="D2448" s="19" t="s">
        <v>138</v>
      </c>
      <c r="E2448" s="20" t="n">
        <v>125168</v>
      </c>
      <c r="F2448" s="20" t="n">
        <v>290000</v>
      </c>
    </row>
    <row r="2449" customFormat="false" ht="15" hidden="false" customHeight="false" outlineLevel="0" collapsed="false">
      <c r="A2449" s="22" t="n">
        <v>46188</v>
      </c>
      <c r="B2449" s="19" t="s">
        <v>51</v>
      </c>
      <c r="C2449" s="19" t="s">
        <v>11</v>
      </c>
      <c r="D2449" s="19" t="s">
        <v>145</v>
      </c>
      <c r="E2449" s="20" t="n">
        <v>85322</v>
      </c>
      <c r="F2449" s="20" t="n">
        <v>289100</v>
      </c>
    </row>
    <row r="2450" customFormat="false" ht="15" hidden="false" customHeight="false" outlineLevel="0" collapsed="false">
      <c r="A2450" s="22" t="n">
        <v>46188</v>
      </c>
      <c r="B2450" s="19" t="s">
        <v>51</v>
      </c>
      <c r="C2450" s="19" t="s">
        <v>14</v>
      </c>
      <c r="D2450" s="19" t="s">
        <v>142</v>
      </c>
      <c r="E2450" s="20" t="n">
        <v>24802</v>
      </c>
      <c r="F2450" s="20" t="n">
        <v>109000</v>
      </c>
    </row>
    <row r="2451" customFormat="false" ht="15" hidden="false" customHeight="false" outlineLevel="0" collapsed="false">
      <c r="A2451" s="22" t="n">
        <v>46188</v>
      </c>
      <c r="B2451" s="19" t="s">
        <v>51</v>
      </c>
      <c r="C2451" s="19" t="s">
        <v>14</v>
      </c>
      <c r="D2451" s="19" t="s">
        <v>73</v>
      </c>
      <c r="E2451" s="20" t="n">
        <v>1732</v>
      </c>
      <c r="F2451" s="20" t="n">
        <v>0</v>
      </c>
    </row>
    <row r="2452" customFormat="false" ht="15" hidden="false" customHeight="false" outlineLevel="0" collapsed="false">
      <c r="A2452" s="22" t="n">
        <v>46188</v>
      </c>
      <c r="B2452" s="19" t="s">
        <v>51</v>
      </c>
      <c r="C2452" s="19" t="s">
        <v>11</v>
      </c>
      <c r="D2452" s="19" t="s">
        <v>144</v>
      </c>
      <c r="E2452" s="20" t="n">
        <v>10167</v>
      </c>
      <c r="F2452" s="20" t="n">
        <v>0</v>
      </c>
    </row>
    <row r="2453" customFormat="false" ht="15" hidden="false" customHeight="false" outlineLevel="0" collapsed="false">
      <c r="A2453" s="22" t="n">
        <v>46188</v>
      </c>
      <c r="B2453" s="19" t="s">
        <v>51</v>
      </c>
      <c r="C2453" s="19" t="s">
        <v>16</v>
      </c>
      <c r="D2453" s="19" t="s">
        <v>139</v>
      </c>
      <c r="E2453" s="20" t="n">
        <v>1170</v>
      </c>
      <c r="F2453" s="20" t="n">
        <v>0</v>
      </c>
    </row>
    <row r="2454" customFormat="false" ht="15" hidden="false" customHeight="false" outlineLevel="0" collapsed="false">
      <c r="A2454" s="22" t="n">
        <v>46188</v>
      </c>
      <c r="B2454" s="19" t="s">
        <v>51</v>
      </c>
      <c r="C2454" s="19" t="s">
        <v>14</v>
      </c>
      <c r="D2454" s="19" t="s">
        <v>143</v>
      </c>
      <c r="E2454" s="20" t="n">
        <v>546</v>
      </c>
      <c r="F2454" s="20" t="n">
        <v>0</v>
      </c>
    </row>
    <row r="2455" customFormat="false" ht="15" hidden="false" customHeight="false" outlineLevel="0" collapsed="false">
      <c r="A2455" s="22" t="n">
        <v>46188</v>
      </c>
      <c r="B2455" s="19" t="s">
        <v>51</v>
      </c>
      <c r="C2455" s="19" t="s">
        <v>12</v>
      </c>
      <c r="D2455" s="19" t="s">
        <v>122</v>
      </c>
      <c r="E2455" s="20" t="n">
        <v>400000</v>
      </c>
      <c r="F2455" s="20" t="n">
        <v>1960200</v>
      </c>
    </row>
    <row r="2456" customFormat="false" ht="15" hidden="false" customHeight="false" outlineLevel="0" collapsed="false">
      <c r="A2456" s="22" t="n">
        <v>46188</v>
      </c>
      <c r="B2456" s="19" t="s">
        <v>51</v>
      </c>
      <c r="C2456" s="19" t="s">
        <v>13</v>
      </c>
      <c r="D2456" s="19" t="s">
        <v>166</v>
      </c>
      <c r="E2456" s="20" t="n">
        <v>499463</v>
      </c>
      <c r="F2456" s="20" t="n">
        <v>2536740</v>
      </c>
    </row>
    <row r="2457" customFormat="false" ht="15" hidden="false" customHeight="false" outlineLevel="0" collapsed="false">
      <c r="A2457" s="22" t="n">
        <v>46188</v>
      </c>
      <c r="B2457" s="19" t="s">
        <v>51</v>
      </c>
      <c r="C2457" s="19" t="s">
        <v>14</v>
      </c>
      <c r="D2457" s="19" t="s">
        <v>147</v>
      </c>
      <c r="E2457" s="20" t="n">
        <v>149040</v>
      </c>
      <c r="F2457" s="20" t="n">
        <v>618640</v>
      </c>
    </row>
    <row r="2458" customFormat="false" ht="15" hidden="false" customHeight="false" outlineLevel="0" collapsed="false">
      <c r="A2458" s="22" t="n">
        <v>46188</v>
      </c>
      <c r="B2458" s="19" t="s">
        <v>51</v>
      </c>
      <c r="C2458" s="19" t="s">
        <v>13</v>
      </c>
      <c r="D2458" s="19" t="s">
        <v>167</v>
      </c>
      <c r="E2458" s="20" t="n">
        <v>31048</v>
      </c>
      <c r="F2458" s="20" t="n">
        <v>195000</v>
      </c>
    </row>
    <row r="2459" customFormat="false" ht="15" hidden="false" customHeight="false" outlineLevel="0" collapsed="false">
      <c r="A2459" s="22" t="n">
        <v>46188</v>
      </c>
      <c r="B2459" s="19" t="s">
        <v>51</v>
      </c>
      <c r="C2459" s="19" t="s">
        <v>12</v>
      </c>
      <c r="D2459" s="19" t="s">
        <v>151</v>
      </c>
      <c r="E2459" s="20" t="n">
        <v>251561</v>
      </c>
      <c r="F2459" s="20" t="n">
        <v>1481780</v>
      </c>
    </row>
    <row r="2460" customFormat="false" ht="15" hidden="false" customHeight="false" outlineLevel="0" collapsed="false">
      <c r="A2460" s="22" t="n">
        <v>46188</v>
      </c>
      <c r="B2460" s="19" t="s">
        <v>51</v>
      </c>
      <c r="C2460" s="19" t="s">
        <v>12</v>
      </c>
      <c r="D2460" s="19" t="s">
        <v>162</v>
      </c>
      <c r="E2460" s="20" t="n">
        <v>225152</v>
      </c>
      <c r="F2460" s="20" t="n">
        <v>1000560</v>
      </c>
    </row>
    <row r="2461" customFormat="false" ht="15" hidden="false" customHeight="false" outlineLevel="0" collapsed="false">
      <c r="A2461" s="22" t="n">
        <v>46188</v>
      </c>
      <c r="B2461" s="19" t="s">
        <v>51</v>
      </c>
      <c r="C2461" s="19" t="s">
        <v>12</v>
      </c>
      <c r="D2461" s="19" t="s">
        <v>168</v>
      </c>
      <c r="E2461" s="20" t="n">
        <v>138331</v>
      </c>
      <c r="F2461" s="20" t="n">
        <v>1150000</v>
      </c>
    </row>
    <row r="2462" customFormat="false" ht="15" hidden="false" customHeight="false" outlineLevel="0" collapsed="false">
      <c r="A2462" s="22" t="n">
        <v>46188</v>
      </c>
      <c r="B2462" s="19" t="s">
        <v>51</v>
      </c>
      <c r="C2462" s="19" t="s">
        <v>13</v>
      </c>
      <c r="D2462" s="19" t="s">
        <v>163</v>
      </c>
      <c r="E2462" s="20" t="n">
        <v>102573</v>
      </c>
      <c r="F2462" s="20" t="n">
        <v>501740</v>
      </c>
    </row>
    <row r="2463" customFormat="false" ht="15" hidden="false" customHeight="false" outlineLevel="0" collapsed="false">
      <c r="A2463" s="22" t="n">
        <v>46188</v>
      </c>
      <c r="B2463" s="19" t="s">
        <v>51</v>
      </c>
      <c r="C2463" s="19" t="s">
        <v>12</v>
      </c>
      <c r="D2463" s="19" t="s">
        <v>159</v>
      </c>
      <c r="E2463" s="20" t="n">
        <v>64679</v>
      </c>
      <c r="F2463" s="20" t="n">
        <v>207760</v>
      </c>
    </row>
    <row r="2464" customFormat="false" ht="15" hidden="false" customHeight="false" outlineLevel="0" collapsed="false">
      <c r="A2464" s="22" t="n">
        <v>46188</v>
      </c>
      <c r="B2464" s="19" t="s">
        <v>51</v>
      </c>
      <c r="C2464" s="19" t="s">
        <v>13</v>
      </c>
      <c r="D2464" s="19" t="s">
        <v>160</v>
      </c>
      <c r="E2464" s="20" t="n">
        <v>69684</v>
      </c>
      <c r="F2464" s="20" t="n">
        <v>0</v>
      </c>
    </row>
    <row r="2465" customFormat="false" ht="15" hidden="false" customHeight="false" outlineLevel="0" collapsed="false">
      <c r="A2465" s="22" t="n">
        <v>46188</v>
      </c>
      <c r="B2465" s="19" t="s">
        <v>51</v>
      </c>
      <c r="C2465" s="19" t="s">
        <v>12</v>
      </c>
      <c r="D2465" s="19" t="s">
        <v>158</v>
      </c>
      <c r="E2465" s="20" t="n">
        <v>56928</v>
      </c>
      <c r="F2465" s="20" t="n">
        <v>0</v>
      </c>
    </row>
    <row r="2466" customFormat="false" ht="15" hidden="false" customHeight="false" outlineLevel="0" collapsed="false">
      <c r="A2466" s="22" t="n">
        <v>46188</v>
      </c>
      <c r="B2466" s="19" t="s">
        <v>51</v>
      </c>
      <c r="C2466" s="19" t="s">
        <v>12</v>
      </c>
      <c r="D2466" s="19" t="s">
        <v>156</v>
      </c>
      <c r="E2466" s="20" t="n">
        <v>94620</v>
      </c>
      <c r="F2466" s="20" t="n">
        <v>0</v>
      </c>
    </row>
    <row r="2467" customFormat="false" ht="15" hidden="false" customHeight="false" outlineLevel="0" collapsed="false">
      <c r="A2467" s="22" t="n">
        <v>46188</v>
      </c>
      <c r="B2467" s="19" t="s">
        <v>51</v>
      </c>
      <c r="C2467" s="19" t="s">
        <v>12</v>
      </c>
      <c r="D2467" s="19" t="s">
        <v>152</v>
      </c>
      <c r="E2467" s="20" t="n">
        <v>3033</v>
      </c>
      <c r="F2467" s="20" t="n">
        <v>0</v>
      </c>
    </row>
    <row r="2468" customFormat="false" ht="15" hidden="false" customHeight="false" outlineLevel="0" collapsed="false">
      <c r="A2468" s="22" t="n">
        <v>46189</v>
      </c>
      <c r="B2468" s="19" t="s">
        <v>51</v>
      </c>
      <c r="C2468" s="19" t="s">
        <v>12</v>
      </c>
      <c r="D2468" s="19" t="s">
        <v>165</v>
      </c>
      <c r="E2468" s="20" t="n">
        <v>166686</v>
      </c>
      <c r="F2468" s="20" t="n">
        <v>868760</v>
      </c>
    </row>
    <row r="2469" customFormat="false" ht="15" hidden="false" customHeight="false" outlineLevel="0" collapsed="false">
      <c r="A2469" s="22" t="n">
        <v>46189</v>
      </c>
      <c r="B2469" s="19" t="s">
        <v>51</v>
      </c>
      <c r="C2469" s="19" t="s">
        <v>12</v>
      </c>
      <c r="D2469" s="19" t="s">
        <v>164</v>
      </c>
      <c r="E2469" s="20" t="n">
        <v>124469</v>
      </c>
      <c r="F2469" s="20" t="n">
        <v>476480</v>
      </c>
    </row>
    <row r="2470" customFormat="false" ht="15" hidden="false" customHeight="false" outlineLevel="0" collapsed="false">
      <c r="A2470" s="22" t="n">
        <v>46189</v>
      </c>
      <c r="B2470" s="19" t="s">
        <v>51</v>
      </c>
      <c r="C2470" s="19" t="s">
        <v>12</v>
      </c>
      <c r="D2470" s="19" t="s">
        <v>138</v>
      </c>
      <c r="E2470" s="20" t="n">
        <v>40998</v>
      </c>
      <c r="F2470" s="20" t="n">
        <v>59000</v>
      </c>
    </row>
    <row r="2471" customFormat="false" ht="15" hidden="false" customHeight="false" outlineLevel="0" collapsed="false">
      <c r="A2471" s="22" t="n">
        <v>46189</v>
      </c>
      <c r="B2471" s="19" t="s">
        <v>51</v>
      </c>
      <c r="C2471" s="19" t="s">
        <v>11</v>
      </c>
      <c r="D2471" s="19" t="s">
        <v>145</v>
      </c>
      <c r="E2471" s="20" t="n">
        <v>3294</v>
      </c>
      <c r="F2471" s="20" t="n">
        <v>0</v>
      </c>
    </row>
    <row r="2472" customFormat="false" ht="15" hidden="false" customHeight="false" outlineLevel="0" collapsed="false">
      <c r="A2472" s="22" t="n">
        <v>46189</v>
      </c>
      <c r="B2472" s="19" t="s">
        <v>51</v>
      </c>
      <c r="C2472" s="19" t="s">
        <v>14</v>
      </c>
      <c r="D2472" s="19" t="s">
        <v>142</v>
      </c>
      <c r="E2472" s="20" t="n">
        <v>6611</v>
      </c>
      <c r="F2472" s="20" t="n">
        <v>0</v>
      </c>
    </row>
    <row r="2473" customFormat="false" ht="15" hidden="false" customHeight="false" outlineLevel="0" collapsed="false">
      <c r="A2473" s="22" t="n">
        <v>46189</v>
      </c>
      <c r="B2473" s="19" t="s">
        <v>51</v>
      </c>
      <c r="C2473" s="19" t="s">
        <v>14</v>
      </c>
      <c r="D2473" s="19" t="s">
        <v>73</v>
      </c>
      <c r="E2473" s="20" t="n">
        <v>669</v>
      </c>
      <c r="F2473" s="20" t="n">
        <v>0</v>
      </c>
    </row>
    <row r="2474" customFormat="false" ht="15" hidden="false" customHeight="false" outlineLevel="0" collapsed="false">
      <c r="A2474" s="22" t="n">
        <v>46189</v>
      </c>
      <c r="B2474" s="19" t="s">
        <v>51</v>
      </c>
      <c r="C2474" s="19" t="s">
        <v>12</v>
      </c>
      <c r="D2474" s="19" t="s">
        <v>122</v>
      </c>
      <c r="E2474" s="20" t="n">
        <v>367376</v>
      </c>
      <c r="F2474" s="20" t="n">
        <v>1698000</v>
      </c>
    </row>
    <row r="2475" customFormat="false" ht="15" hidden="false" customHeight="false" outlineLevel="0" collapsed="false">
      <c r="A2475" s="22" t="n">
        <v>46189</v>
      </c>
      <c r="B2475" s="19" t="s">
        <v>51</v>
      </c>
      <c r="C2475" s="19" t="s">
        <v>13</v>
      </c>
      <c r="D2475" s="19" t="s">
        <v>166</v>
      </c>
      <c r="E2475" s="20" t="n">
        <v>697709</v>
      </c>
      <c r="F2475" s="20" t="n">
        <v>3662532</v>
      </c>
    </row>
    <row r="2476" customFormat="false" ht="15" hidden="false" customHeight="false" outlineLevel="0" collapsed="false">
      <c r="A2476" s="22" t="n">
        <v>46189</v>
      </c>
      <c r="B2476" s="19" t="s">
        <v>51</v>
      </c>
      <c r="C2476" s="19" t="s">
        <v>13</v>
      </c>
      <c r="D2476" s="19" t="s">
        <v>167</v>
      </c>
      <c r="E2476" s="20" t="n">
        <v>199669</v>
      </c>
      <c r="F2476" s="20" t="n">
        <v>1567000</v>
      </c>
    </row>
    <row r="2477" customFormat="false" ht="15" hidden="false" customHeight="false" outlineLevel="0" collapsed="false">
      <c r="A2477" s="22" t="n">
        <v>46189</v>
      </c>
      <c r="B2477" s="19" t="s">
        <v>51</v>
      </c>
      <c r="C2477" s="19" t="s">
        <v>14</v>
      </c>
      <c r="D2477" s="19" t="s">
        <v>147</v>
      </c>
      <c r="E2477" s="20" t="n">
        <v>88947</v>
      </c>
      <c r="F2477" s="20" t="n">
        <v>482000</v>
      </c>
    </row>
    <row r="2478" customFormat="false" ht="15" hidden="false" customHeight="false" outlineLevel="0" collapsed="false">
      <c r="A2478" s="22" t="n">
        <v>46189</v>
      </c>
      <c r="B2478" s="19" t="s">
        <v>51</v>
      </c>
      <c r="C2478" s="19" t="s">
        <v>12</v>
      </c>
      <c r="D2478" s="19" t="s">
        <v>168</v>
      </c>
      <c r="E2478" s="20" t="n">
        <v>369288</v>
      </c>
      <c r="F2478" s="20" t="n">
        <v>1752500</v>
      </c>
    </row>
    <row r="2479" customFormat="false" ht="15" hidden="false" customHeight="false" outlineLevel="0" collapsed="false">
      <c r="A2479" s="22" t="n">
        <v>46189</v>
      </c>
      <c r="B2479" s="19" t="s">
        <v>51</v>
      </c>
      <c r="C2479" s="19" t="s">
        <v>12</v>
      </c>
      <c r="D2479" s="19" t="s">
        <v>162</v>
      </c>
      <c r="E2479" s="20" t="n">
        <v>188761</v>
      </c>
      <c r="F2479" s="20" t="n">
        <v>890000</v>
      </c>
    </row>
    <row r="2480" customFormat="false" ht="15" hidden="false" customHeight="false" outlineLevel="0" collapsed="false">
      <c r="A2480" s="22" t="n">
        <v>46190</v>
      </c>
      <c r="B2480" s="19" t="s">
        <v>51</v>
      </c>
      <c r="C2480" s="19" t="s">
        <v>12</v>
      </c>
      <c r="D2480" s="19" t="s">
        <v>164</v>
      </c>
      <c r="E2480" s="20" t="n">
        <v>134127</v>
      </c>
      <c r="F2480" s="20" t="n">
        <v>785000</v>
      </c>
    </row>
    <row r="2481" customFormat="false" ht="15" hidden="false" customHeight="false" outlineLevel="0" collapsed="false">
      <c r="A2481" s="22" t="n">
        <v>46190</v>
      </c>
      <c r="B2481" s="19" t="s">
        <v>51</v>
      </c>
      <c r="C2481" s="19" t="s">
        <v>12</v>
      </c>
      <c r="D2481" s="19" t="s">
        <v>165</v>
      </c>
      <c r="E2481" s="20" t="n">
        <v>170766</v>
      </c>
      <c r="F2481" s="20" t="n">
        <v>1021460</v>
      </c>
    </row>
    <row r="2482" customFormat="false" ht="15" hidden="false" customHeight="false" outlineLevel="0" collapsed="false">
      <c r="A2482" s="22" t="n">
        <v>46190</v>
      </c>
      <c r="B2482" s="19" t="s">
        <v>51</v>
      </c>
      <c r="C2482" s="19" t="s">
        <v>12</v>
      </c>
      <c r="D2482" s="19" t="s">
        <v>138</v>
      </c>
      <c r="E2482" s="20" t="n">
        <v>389587</v>
      </c>
      <c r="F2482" s="20" t="n">
        <v>1776500</v>
      </c>
    </row>
    <row r="2483" customFormat="false" ht="15" hidden="false" customHeight="false" outlineLevel="0" collapsed="false">
      <c r="A2483" s="22" t="n">
        <v>46190</v>
      </c>
      <c r="B2483" s="19" t="s">
        <v>51</v>
      </c>
      <c r="C2483" s="19" t="s">
        <v>11</v>
      </c>
      <c r="D2483" s="19" t="s">
        <v>145</v>
      </c>
      <c r="E2483" s="20" t="n">
        <v>936</v>
      </c>
      <c r="F2483" s="20" t="n">
        <v>0</v>
      </c>
    </row>
    <row r="2484" customFormat="false" ht="15" hidden="false" customHeight="false" outlineLevel="0" collapsed="false">
      <c r="A2484" s="22" t="n">
        <v>46190</v>
      </c>
      <c r="B2484" s="19" t="s">
        <v>51</v>
      </c>
      <c r="C2484" s="19" t="s">
        <v>14</v>
      </c>
      <c r="D2484" s="19" t="s">
        <v>73</v>
      </c>
      <c r="E2484" s="20" t="n">
        <v>1439</v>
      </c>
      <c r="F2484" s="20" t="n">
        <v>0</v>
      </c>
    </row>
    <row r="2485" customFormat="false" ht="15" hidden="false" customHeight="false" outlineLevel="0" collapsed="false">
      <c r="A2485" s="22" t="n">
        <v>46190</v>
      </c>
      <c r="B2485" s="19" t="s">
        <v>51</v>
      </c>
      <c r="C2485" s="19" t="s">
        <v>14</v>
      </c>
      <c r="D2485" s="19" t="s">
        <v>142</v>
      </c>
      <c r="E2485" s="20" t="n">
        <v>736</v>
      </c>
      <c r="F2485" s="20" t="n">
        <v>0</v>
      </c>
    </row>
    <row r="2486" customFormat="false" ht="15" hidden="false" customHeight="false" outlineLevel="0" collapsed="false">
      <c r="A2486" s="22" t="n">
        <v>46190</v>
      </c>
      <c r="B2486" s="19" t="s">
        <v>51</v>
      </c>
      <c r="C2486" s="19" t="s">
        <v>12</v>
      </c>
      <c r="D2486" s="19" t="s">
        <v>122</v>
      </c>
      <c r="E2486" s="20" t="n">
        <v>364020</v>
      </c>
      <c r="F2486" s="20" t="n">
        <v>1393000</v>
      </c>
    </row>
    <row r="2487" customFormat="false" ht="15" hidden="false" customHeight="false" outlineLevel="0" collapsed="false">
      <c r="A2487" s="22" t="n">
        <v>46190</v>
      </c>
      <c r="B2487" s="19" t="s">
        <v>51</v>
      </c>
      <c r="C2487" s="19" t="s">
        <v>14</v>
      </c>
      <c r="D2487" s="19" t="s">
        <v>147</v>
      </c>
      <c r="E2487" s="20" t="n">
        <v>399448</v>
      </c>
      <c r="F2487" s="20" t="n">
        <v>1459260</v>
      </c>
    </row>
    <row r="2488" customFormat="false" ht="15" hidden="false" customHeight="false" outlineLevel="0" collapsed="false">
      <c r="A2488" s="22" t="n">
        <v>46190</v>
      </c>
      <c r="B2488" s="19" t="s">
        <v>51</v>
      </c>
      <c r="C2488" s="19" t="s">
        <v>13</v>
      </c>
      <c r="D2488" s="19" t="s">
        <v>166</v>
      </c>
      <c r="E2488" s="20" t="n">
        <v>319483</v>
      </c>
      <c r="F2488" s="20" t="n">
        <v>1468300</v>
      </c>
    </row>
    <row r="2489" customFormat="false" ht="15" hidden="false" customHeight="false" outlineLevel="0" collapsed="false">
      <c r="A2489" s="22" t="n">
        <v>46190</v>
      </c>
      <c r="B2489" s="19" t="s">
        <v>51</v>
      </c>
      <c r="C2489" s="19" t="s">
        <v>13</v>
      </c>
      <c r="D2489" s="19" t="s">
        <v>167</v>
      </c>
      <c r="E2489" s="20" t="n">
        <v>202763</v>
      </c>
      <c r="F2489" s="20" t="n">
        <v>997600</v>
      </c>
    </row>
    <row r="2490" customFormat="false" ht="15" hidden="false" customHeight="false" outlineLevel="0" collapsed="false">
      <c r="A2490" s="22" t="n">
        <v>46190</v>
      </c>
      <c r="B2490" s="19" t="s">
        <v>51</v>
      </c>
      <c r="C2490" s="19" t="s">
        <v>12</v>
      </c>
      <c r="D2490" s="19" t="s">
        <v>168</v>
      </c>
      <c r="E2490" s="20" t="n">
        <v>549256</v>
      </c>
      <c r="F2490" s="20" t="n">
        <v>2691100</v>
      </c>
    </row>
    <row r="2491" customFormat="false" ht="15" hidden="false" customHeight="false" outlineLevel="0" collapsed="false">
      <c r="A2491" s="22" t="n">
        <v>46190</v>
      </c>
      <c r="B2491" s="19" t="s">
        <v>51</v>
      </c>
      <c r="C2491" s="19" t="s">
        <v>12</v>
      </c>
      <c r="D2491" s="19" t="s">
        <v>162</v>
      </c>
      <c r="E2491" s="20" t="n">
        <v>43208</v>
      </c>
      <c r="F2491" s="20" t="n">
        <v>215000</v>
      </c>
    </row>
    <row r="2492" customFormat="false" ht="15" hidden="false" customHeight="false" outlineLevel="0" collapsed="false">
      <c r="A2492" s="22" t="n">
        <v>46191</v>
      </c>
      <c r="B2492" s="19" t="s">
        <v>51</v>
      </c>
      <c r="C2492" s="19" t="s">
        <v>12</v>
      </c>
      <c r="D2492" s="19" t="s">
        <v>138</v>
      </c>
      <c r="E2492" s="20" t="n">
        <v>400000</v>
      </c>
      <c r="F2492" s="20" t="n">
        <v>2688300</v>
      </c>
    </row>
    <row r="2493" customFormat="false" ht="15" hidden="false" customHeight="false" outlineLevel="0" collapsed="false">
      <c r="A2493" s="22" t="n">
        <v>46191</v>
      </c>
      <c r="B2493" s="19" t="s">
        <v>51</v>
      </c>
      <c r="C2493" s="19" t="s">
        <v>12</v>
      </c>
      <c r="D2493" s="19" t="s">
        <v>165</v>
      </c>
      <c r="E2493" s="20" t="n">
        <v>152444</v>
      </c>
      <c r="F2493" s="20" t="n">
        <v>937660</v>
      </c>
    </row>
    <row r="2494" customFormat="false" ht="15" hidden="false" customHeight="false" outlineLevel="0" collapsed="false">
      <c r="A2494" s="22" t="n">
        <v>46191</v>
      </c>
      <c r="B2494" s="19" t="s">
        <v>51</v>
      </c>
      <c r="C2494" s="19" t="s">
        <v>12</v>
      </c>
      <c r="D2494" s="19" t="s">
        <v>164</v>
      </c>
      <c r="E2494" s="20" t="n">
        <v>26083</v>
      </c>
      <c r="F2494" s="20" t="n">
        <v>161718</v>
      </c>
    </row>
    <row r="2495" customFormat="false" ht="15" hidden="false" customHeight="false" outlineLevel="0" collapsed="false">
      <c r="A2495" s="22" t="n">
        <v>46191</v>
      </c>
      <c r="B2495" s="19" t="s">
        <v>51</v>
      </c>
      <c r="C2495" s="19" t="s">
        <v>11</v>
      </c>
      <c r="D2495" s="19" t="s">
        <v>145</v>
      </c>
      <c r="E2495" s="20" t="n">
        <v>2489</v>
      </c>
      <c r="F2495" s="20" t="n">
        <v>0</v>
      </c>
    </row>
    <row r="2496" customFormat="false" ht="15" hidden="false" customHeight="false" outlineLevel="0" collapsed="false">
      <c r="A2496" s="22" t="n">
        <v>46191</v>
      </c>
      <c r="B2496" s="19" t="s">
        <v>51</v>
      </c>
      <c r="C2496" s="19" t="s">
        <v>14</v>
      </c>
      <c r="D2496" s="19" t="s">
        <v>142</v>
      </c>
      <c r="E2496" s="20" t="n">
        <v>750</v>
      </c>
      <c r="F2496" s="20" t="n">
        <v>0</v>
      </c>
    </row>
    <row r="2497" customFormat="false" ht="15" hidden="false" customHeight="false" outlineLevel="0" collapsed="false">
      <c r="A2497" s="22" t="n">
        <v>46191</v>
      </c>
      <c r="B2497" s="19" t="s">
        <v>51</v>
      </c>
      <c r="C2497" s="19" t="s">
        <v>14</v>
      </c>
      <c r="D2497" s="19" t="s">
        <v>73</v>
      </c>
      <c r="E2497" s="20" t="n">
        <v>569</v>
      </c>
      <c r="F2497" s="20" t="n">
        <v>0</v>
      </c>
    </row>
    <row r="2498" customFormat="false" ht="15" hidden="false" customHeight="false" outlineLevel="0" collapsed="false">
      <c r="A2498" s="22" t="n">
        <v>46191</v>
      </c>
      <c r="B2498" s="19" t="s">
        <v>51</v>
      </c>
      <c r="C2498" s="19" t="s">
        <v>12</v>
      </c>
      <c r="D2498" s="19" t="s">
        <v>122</v>
      </c>
      <c r="E2498" s="20" t="n">
        <v>450000</v>
      </c>
      <c r="F2498" s="20" t="n">
        <v>2198740</v>
      </c>
    </row>
    <row r="2499" customFormat="false" ht="15" hidden="false" customHeight="false" outlineLevel="0" collapsed="false">
      <c r="A2499" s="22" t="n">
        <v>46191</v>
      </c>
      <c r="B2499" s="19" t="s">
        <v>51</v>
      </c>
      <c r="C2499" s="19" t="s">
        <v>13</v>
      </c>
      <c r="D2499" s="19" t="s">
        <v>166</v>
      </c>
      <c r="E2499" s="20" t="n">
        <v>650000</v>
      </c>
      <c r="F2499" s="20" t="n">
        <v>4647897</v>
      </c>
    </row>
    <row r="2500" customFormat="false" ht="15" hidden="false" customHeight="false" outlineLevel="0" collapsed="false">
      <c r="A2500" s="22" t="n">
        <v>46191</v>
      </c>
      <c r="B2500" s="19" t="s">
        <v>51</v>
      </c>
      <c r="C2500" s="19" t="s">
        <v>14</v>
      </c>
      <c r="D2500" s="19" t="s">
        <v>147</v>
      </c>
      <c r="E2500" s="20" t="n">
        <v>160846</v>
      </c>
      <c r="F2500" s="20" t="n">
        <v>939000</v>
      </c>
    </row>
    <row r="2501" customFormat="false" ht="15" hidden="false" customHeight="false" outlineLevel="0" collapsed="false">
      <c r="A2501" s="22" t="n">
        <v>46191</v>
      </c>
      <c r="B2501" s="19" t="s">
        <v>51</v>
      </c>
      <c r="C2501" s="19" t="s">
        <v>13</v>
      </c>
      <c r="D2501" s="19" t="s">
        <v>167</v>
      </c>
      <c r="E2501" s="20" t="n">
        <v>100315</v>
      </c>
      <c r="F2501" s="20" t="n">
        <v>539000</v>
      </c>
    </row>
    <row r="2502" customFormat="false" ht="15" hidden="false" customHeight="false" outlineLevel="0" collapsed="false">
      <c r="A2502" s="22" t="n">
        <v>46191</v>
      </c>
      <c r="B2502" s="19" t="s">
        <v>51</v>
      </c>
      <c r="C2502" s="19" t="s">
        <v>12</v>
      </c>
      <c r="D2502" s="19" t="s">
        <v>169</v>
      </c>
      <c r="E2502" s="20" t="n">
        <v>33959</v>
      </c>
      <c r="F2502" s="20" t="n">
        <v>0</v>
      </c>
    </row>
    <row r="2503" customFormat="false" ht="15" hidden="false" customHeight="false" outlineLevel="0" collapsed="false">
      <c r="A2503" s="22" t="n">
        <v>46191</v>
      </c>
      <c r="B2503" s="19" t="s">
        <v>51</v>
      </c>
      <c r="C2503" s="19" t="s">
        <v>12</v>
      </c>
      <c r="D2503" s="19" t="s">
        <v>162</v>
      </c>
      <c r="E2503" s="20" t="n">
        <v>230572</v>
      </c>
      <c r="F2503" s="20" t="n">
        <v>1338500</v>
      </c>
    </row>
    <row r="2504" customFormat="false" ht="15" hidden="false" customHeight="false" outlineLevel="0" collapsed="false">
      <c r="A2504" s="22" t="n">
        <v>46191</v>
      </c>
      <c r="B2504" s="19" t="s">
        <v>51</v>
      </c>
      <c r="C2504" s="19" t="s">
        <v>12</v>
      </c>
      <c r="D2504" s="19" t="s">
        <v>168</v>
      </c>
      <c r="E2504" s="20" t="n">
        <v>120763</v>
      </c>
      <c r="F2504" s="20" t="n">
        <v>809089</v>
      </c>
    </row>
    <row r="2505" customFormat="false" ht="15" hidden="false" customHeight="false" outlineLevel="0" collapsed="false">
      <c r="A2505" s="22" t="n">
        <v>46192</v>
      </c>
      <c r="B2505" s="19" t="s">
        <v>51</v>
      </c>
      <c r="C2505" s="19" t="s">
        <v>12</v>
      </c>
      <c r="D2505" s="19" t="s">
        <v>138</v>
      </c>
      <c r="E2505" s="20" t="n">
        <v>119940</v>
      </c>
      <c r="F2505" s="20" t="n">
        <v>1123500</v>
      </c>
    </row>
    <row r="2506" customFormat="false" ht="15" hidden="false" customHeight="false" outlineLevel="0" collapsed="false">
      <c r="A2506" s="22" t="n">
        <v>46192</v>
      </c>
      <c r="B2506" s="19" t="s">
        <v>51</v>
      </c>
      <c r="C2506" s="19" t="s">
        <v>12</v>
      </c>
      <c r="D2506" s="19" t="s">
        <v>165</v>
      </c>
      <c r="E2506" s="20" t="n">
        <v>10105</v>
      </c>
      <c r="F2506" s="20" t="n">
        <v>0</v>
      </c>
    </row>
    <row r="2507" customFormat="false" ht="15" hidden="false" customHeight="false" outlineLevel="0" collapsed="false">
      <c r="A2507" s="22" t="n">
        <v>46192</v>
      </c>
      <c r="B2507" s="19" t="s">
        <v>51</v>
      </c>
      <c r="C2507" s="19" t="s">
        <v>12</v>
      </c>
      <c r="D2507" s="19" t="s">
        <v>164</v>
      </c>
      <c r="E2507" s="20" t="n">
        <v>821</v>
      </c>
      <c r="F2507" s="20" t="n">
        <v>0</v>
      </c>
    </row>
    <row r="2508" customFormat="false" ht="15" hidden="false" customHeight="false" outlineLevel="0" collapsed="false">
      <c r="A2508" s="22" t="n">
        <v>46192</v>
      </c>
      <c r="B2508" s="19" t="s">
        <v>51</v>
      </c>
      <c r="C2508" s="19" t="s">
        <v>14</v>
      </c>
      <c r="D2508" s="19" t="s">
        <v>73</v>
      </c>
      <c r="E2508" s="20" t="n">
        <v>2813</v>
      </c>
      <c r="F2508" s="20" t="n">
        <v>0</v>
      </c>
    </row>
    <row r="2509" customFormat="false" ht="15" hidden="false" customHeight="false" outlineLevel="0" collapsed="false">
      <c r="A2509" s="22" t="n">
        <v>46192</v>
      </c>
      <c r="B2509" s="19" t="s">
        <v>51</v>
      </c>
      <c r="C2509" s="19" t="s">
        <v>11</v>
      </c>
      <c r="D2509" s="19" t="s">
        <v>145</v>
      </c>
      <c r="E2509" s="20" t="n">
        <v>613</v>
      </c>
      <c r="F2509" s="20" t="n">
        <v>0</v>
      </c>
    </row>
    <row r="2510" customFormat="false" ht="15" hidden="false" customHeight="false" outlineLevel="0" collapsed="false">
      <c r="A2510" s="22" t="n">
        <v>46192</v>
      </c>
      <c r="B2510" s="19" t="s">
        <v>51</v>
      </c>
      <c r="C2510" s="19" t="s">
        <v>14</v>
      </c>
      <c r="D2510" s="19" t="s">
        <v>142</v>
      </c>
      <c r="E2510" s="20" t="n">
        <v>142</v>
      </c>
      <c r="F2510" s="20" t="n">
        <v>0</v>
      </c>
    </row>
    <row r="2511" customFormat="false" ht="15" hidden="false" customHeight="false" outlineLevel="0" collapsed="false">
      <c r="A2511" s="22" t="n">
        <v>46192</v>
      </c>
      <c r="B2511" s="19" t="s">
        <v>51</v>
      </c>
      <c r="C2511" s="19" t="s">
        <v>12</v>
      </c>
      <c r="D2511" s="19" t="s">
        <v>122</v>
      </c>
      <c r="E2511" s="20" t="n">
        <v>121962</v>
      </c>
      <c r="F2511" s="20" t="n">
        <v>398000</v>
      </c>
    </row>
    <row r="2512" customFormat="false" ht="15" hidden="false" customHeight="false" outlineLevel="0" collapsed="false">
      <c r="A2512" s="22" t="n">
        <v>46192</v>
      </c>
      <c r="B2512" s="19" t="s">
        <v>51</v>
      </c>
      <c r="C2512" s="19" t="s">
        <v>13</v>
      </c>
      <c r="D2512" s="19" t="s">
        <v>166</v>
      </c>
      <c r="E2512" s="20" t="n">
        <v>140546</v>
      </c>
      <c r="F2512" s="20" t="n">
        <v>777500</v>
      </c>
    </row>
    <row r="2513" customFormat="false" ht="15" hidden="false" customHeight="false" outlineLevel="0" collapsed="false">
      <c r="A2513" s="22" t="n">
        <v>46192</v>
      </c>
      <c r="B2513" s="19" t="s">
        <v>51</v>
      </c>
      <c r="C2513" s="19" t="s">
        <v>12</v>
      </c>
      <c r="D2513" s="19" t="s">
        <v>162</v>
      </c>
      <c r="E2513" s="20" t="n">
        <v>51649</v>
      </c>
      <c r="F2513" s="20" t="n">
        <v>270000</v>
      </c>
    </row>
    <row r="2514" customFormat="false" ht="15" hidden="false" customHeight="false" outlineLevel="0" collapsed="false">
      <c r="A2514" s="22" t="n">
        <v>46192</v>
      </c>
      <c r="B2514" s="19" t="s">
        <v>51</v>
      </c>
      <c r="C2514" s="19" t="s">
        <v>14</v>
      </c>
      <c r="D2514" s="19" t="s">
        <v>147</v>
      </c>
      <c r="E2514" s="20" t="n">
        <v>13293</v>
      </c>
      <c r="F2514" s="20" t="n">
        <v>39000</v>
      </c>
    </row>
    <row r="2515" customFormat="false" ht="15" hidden="false" customHeight="false" outlineLevel="0" collapsed="false">
      <c r="A2515" s="22" t="n">
        <v>46192</v>
      </c>
      <c r="B2515" s="19" t="s">
        <v>51</v>
      </c>
      <c r="C2515" s="19" t="s">
        <v>12</v>
      </c>
      <c r="D2515" s="19" t="s">
        <v>169</v>
      </c>
      <c r="E2515" s="20" t="n">
        <v>9010</v>
      </c>
      <c r="F2515" s="20" t="n">
        <v>0</v>
      </c>
    </row>
    <row r="2516" customFormat="false" ht="15" hidden="false" customHeight="false" outlineLevel="0" collapsed="false">
      <c r="A2516" s="22" t="n">
        <v>46192</v>
      </c>
      <c r="B2516" s="19" t="s">
        <v>51</v>
      </c>
      <c r="C2516" s="19" t="s">
        <v>13</v>
      </c>
      <c r="D2516" s="19" t="s">
        <v>167</v>
      </c>
      <c r="E2516" s="20" t="n">
        <v>3996</v>
      </c>
      <c r="F2516" s="20" t="n">
        <v>0</v>
      </c>
    </row>
    <row r="2517" customFormat="false" ht="15" hidden="false" customHeight="false" outlineLevel="0" collapsed="false">
      <c r="A2517" s="22" t="n">
        <v>46193</v>
      </c>
      <c r="B2517" s="19" t="s">
        <v>51</v>
      </c>
      <c r="C2517" s="19" t="s">
        <v>12</v>
      </c>
      <c r="D2517" s="19" t="s">
        <v>165</v>
      </c>
      <c r="E2517" s="20" t="n">
        <v>269589</v>
      </c>
      <c r="F2517" s="20" t="n">
        <v>1518760</v>
      </c>
    </row>
    <row r="2518" customFormat="false" ht="15" hidden="false" customHeight="false" outlineLevel="0" collapsed="false">
      <c r="A2518" s="22" t="n">
        <v>46193</v>
      </c>
      <c r="B2518" s="19" t="s">
        <v>51</v>
      </c>
      <c r="C2518" s="19" t="s">
        <v>12</v>
      </c>
      <c r="D2518" s="19" t="s">
        <v>138</v>
      </c>
      <c r="E2518" s="20" t="n">
        <v>499562</v>
      </c>
      <c r="F2518" s="20" t="n">
        <v>2213600</v>
      </c>
    </row>
    <row r="2519" customFormat="false" ht="15" hidden="false" customHeight="false" outlineLevel="0" collapsed="false">
      <c r="A2519" s="22" t="n">
        <v>46193</v>
      </c>
      <c r="B2519" s="19" t="s">
        <v>51</v>
      </c>
      <c r="C2519" s="19" t="s">
        <v>12</v>
      </c>
      <c r="D2519" s="19" t="s">
        <v>164</v>
      </c>
      <c r="E2519" s="20" t="n">
        <v>14770</v>
      </c>
      <c r="F2519" s="20" t="n">
        <v>94000</v>
      </c>
    </row>
    <row r="2520" customFormat="false" ht="15" hidden="false" customHeight="false" outlineLevel="0" collapsed="false">
      <c r="A2520" s="22" t="n">
        <v>46193</v>
      </c>
      <c r="B2520" s="19" t="s">
        <v>51</v>
      </c>
      <c r="C2520" s="19" t="s">
        <v>14</v>
      </c>
      <c r="D2520" s="19" t="s">
        <v>73</v>
      </c>
      <c r="E2520" s="20" t="n">
        <v>65389</v>
      </c>
      <c r="F2520" s="20" t="n">
        <v>0</v>
      </c>
    </row>
    <row r="2521" customFormat="false" ht="15" hidden="false" customHeight="false" outlineLevel="0" collapsed="false">
      <c r="A2521" s="22" t="n">
        <v>46193</v>
      </c>
      <c r="B2521" s="19" t="s">
        <v>51</v>
      </c>
      <c r="C2521" s="19" t="s">
        <v>14</v>
      </c>
      <c r="D2521" s="19" t="s">
        <v>142</v>
      </c>
      <c r="E2521" s="20" t="n">
        <v>12844</v>
      </c>
      <c r="F2521" s="20" t="n">
        <v>39000</v>
      </c>
    </row>
    <row r="2522" customFormat="false" ht="15" hidden="false" customHeight="false" outlineLevel="0" collapsed="false">
      <c r="A2522" s="22" t="n">
        <v>46193</v>
      </c>
      <c r="B2522" s="19" t="s">
        <v>51</v>
      </c>
      <c r="C2522" s="19" t="s">
        <v>11</v>
      </c>
      <c r="D2522" s="19" t="s">
        <v>145</v>
      </c>
      <c r="E2522" s="20" t="n">
        <v>7222</v>
      </c>
      <c r="F2522" s="20" t="n">
        <v>0</v>
      </c>
    </row>
    <row r="2523" customFormat="false" ht="15" hidden="false" customHeight="false" outlineLevel="0" collapsed="false">
      <c r="A2523" s="22" t="n">
        <v>46193</v>
      </c>
      <c r="B2523" s="19" t="s">
        <v>51</v>
      </c>
      <c r="C2523" s="19" t="s">
        <v>12</v>
      </c>
      <c r="D2523" s="19" t="s">
        <v>122</v>
      </c>
      <c r="E2523" s="20" t="n">
        <v>600000</v>
      </c>
      <c r="F2523" s="20" t="n">
        <v>2770760</v>
      </c>
    </row>
    <row r="2524" customFormat="false" ht="15" hidden="false" customHeight="false" outlineLevel="0" collapsed="false">
      <c r="A2524" s="22" t="n">
        <v>46193</v>
      </c>
      <c r="B2524" s="19" t="s">
        <v>51</v>
      </c>
      <c r="C2524" s="19" t="s">
        <v>13</v>
      </c>
      <c r="D2524" s="19" t="s">
        <v>166</v>
      </c>
      <c r="E2524" s="20" t="n">
        <v>800000</v>
      </c>
      <c r="F2524" s="20" t="n">
        <v>4332060</v>
      </c>
    </row>
    <row r="2525" customFormat="false" ht="15" hidden="false" customHeight="false" outlineLevel="0" collapsed="false">
      <c r="A2525" s="22" t="n">
        <v>46193</v>
      </c>
      <c r="B2525" s="19" t="s">
        <v>51</v>
      </c>
      <c r="C2525" s="19" t="s">
        <v>14</v>
      </c>
      <c r="D2525" s="19" t="s">
        <v>147</v>
      </c>
      <c r="E2525" s="20" t="n">
        <v>105386</v>
      </c>
      <c r="F2525" s="20" t="n">
        <v>188000</v>
      </c>
    </row>
    <row r="2526" customFormat="false" ht="15" hidden="false" customHeight="false" outlineLevel="0" collapsed="false">
      <c r="A2526" s="22" t="n">
        <v>46193</v>
      </c>
      <c r="B2526" s="19" t="s">
        <v>51</v>
      </c>
      <c r="C2526" s="19" t="s">
        <v>13</v>
      </c>
      <c r="D2526" s="19" t="s">
        <v>167</v>
      </c>
      <c r="E2526" s="20" t="n">
        <v>42161</v>
      </c>
      <c r="F2526" s="20" t="n">
        <v>195000</v>
      </c>
    </row>
    <row r="2527" customFormat="false" ht="15" hidden="false" customHeight="false" outlineLevel="0" collapsed="false">
      <c r="A2527" s="22" t="n">
        <v>46193</v>
      </c>
      <c r="B2527" s="19" t="s">
        <v>51</v>
      </c>
      <c r="C2527" s="19" t="s">
        <v>12</v>
      </c>
      <c r="D2527" s="19" t="s">
        <v>169</v>
      </c>
      <c r="E2527" s="20" t="n">
        <v>86116</v>
      </c>
      <c r="F2527" s="20" t="n">
        <v>518000</v>
      </c>
    </row>
    <row r="2528" customFormat="false" ht="15" hidden="false" customHeight="false" outlineLevel="0" collapsed="false">
      <c r="A2528" s="22" t="n">
        <v>46193</v>
      </c>
      <c r="B2528" s="19" t="s">
        <v>51</v>
      </c>
      <c r="C2528" s="19" t="s">
        <v>12</v>
      </c>
      <c r="D2528" s="19" t="s">
        <v>162</v>
      </c>
      <c r="E2528" s="20" t="n">
        <v>123288</v>
      </c>
      <c r="F2528" s="20" t="n">
        <v>670000</v>
      </c>
    </row>
    <row r="2529" customFormat="false" ht="15" hidden="false" customHeight="false" outlineLevel="0" collapsed="false">
      <c r="A2529" s="22" t="n">
        <v>46194</v>
      </c>
      <c r="B2529" s="19" t="s">
        <v>51</v>
      </c>
      <c r="C2529" s="19" t="s">
        <v>12</v>
      </c>
      <c r="D2529" s="19" t="s">
        <v>165</v>
      </c>
      <c r="E2529" s="20" t="n">
        <v>149376</v>
      </c>
      <c r="F2529" s="20" t="n">
        <v>940660</v>
      </c>
    </row>
    <row r="2530" customFormat="false" ht="15" hidden="false" customHeight="false" outlineLevel="0" collapsed="false">
      <c r="A2530" s="22" t="n">
        <v>46194</v>
      </c>
      <c r="B2530" s="19" t="s">
        <v>51</v>
      </c>
      <c r="C2530" s="19" t="s">
        <v>12</v>
      </c>
      <c r="D2530" s="19" t="s">
        <v>138</v>
      </c>
      <c r="E2530" s="20" t="n">
        <v>92371</v>
      </c>
      <c r="F2530" s="20" t="n">
        <v>175000</v>
      </c>
    </row>
    <row r="2531" customFormat="false" ht="15" hidden="false" customHeight="false" outlineLevel="0" collapsed="false">
      <c r="A2531" s="22" t="n">
        <v>46194</v>
      </c>
      <c r="B2531" s="19" t="s">
        <v>51</v>
      </c>
      <c r="C2531" s="19" t="s">
        <v>12</v>
      </c>
      <c r="D2531" s="19" t="s">
        <v>164</v>
      </c>
      <c r="E2531" s="20" t="n">
        <v>18014</v>
      </c>
      <c r="F2531" s="20" t="n">
        <v>94000</v>
      </c>
    </row>
    <row r="2532" customFormat="false" ht="15" hidden="false" customHeight="false" outlineLevel="0" collapsed="false">
      <c r="A2532" s="22" t="n">
        <v>46194</v>
      </c>
      <c r="B2532" s="19" t="s">
        <v>51</v>
      </c>
      <c r="C2532" s="19" t="s">
        <v>14</v>
      </c>
      <c r="D2532" s="19" t="s">
        <v>142</v>
      </c>
      <c r="E2532" s="20" t="n">
        <v>39521</v>
      </c>
      <c r="F2532" s="20" t="n">
        <v>267000</v>
      </c>
    </row>
    <row r="2533" customFormat="false" ht="15" hidden="false" customHeight="false" outlineLevel="0" collapsed="false">
      <c r="A2533" s="22" t="n">
        <v>46194</v>
      </c>
      <c r="B2533" s="19" t="s">
        <v>51</v>
      </c>
      <c r="C2533" s="19" t="s">
        <v>14</v>
      </c>
      <c r="D2533" s="19" t="s">
        <v>73</v>
      </c>
      <c r="E2533" s="20" t="n">
        <v>52847</v>
      </c>
      <c r="F2533" s="20" t="n">
        <v>158000</v>
      </c>
    </row>
    <row r="2534" customFormat="false" ht="15" hidden="false" customHeight="false" outlineLevel="0" collapsed="false">
      <c r="A2534" s="22" t="n">
        <v>46194</v>
      </c>
      <c r="B2534" s="19" t="s">
        <v>51</v>
      </c>
      <c r="C2534" s="19" t="s">
        <v>11</v>
      </c>
      <c r="D2534" s="19" t="s">
        <v>145</v>
      </c>
      <c r="E2534" s="20" t="n">
        <v>3305</v>
      </c>
      <c r="F2534" s="20" t="n">
        <v>0</v>
      </c>
    </row>
    <row r="2535" customFormat="false" ht="15" hidden="false" customHeight="false" outlineLevel="0" collapsed="false">
      <c r="A2535" s="22" t="n">
        <v>46194</v>
      </c>
      <c r="B2535" s="19" t="s">
        <v>51</v>
      </c>
      <c r="C2535" s="19" t="s">
        <v>12</v>
      </c>
      <c r="D2535" s="19" t="s">
        <v>122</v>
      </c>
      <c r="E2535" s="20" t="n">
        <v>436697</v>
      </c>
      <c r="F2535" s="20" t="n">
        <v>1194000</v>
      </c>
    </row>
    <row r="2536" customFormat="false" ht="15" hidden="false" customHeight="false" outlineLevel="0" collapsed="false">
      <c r="A2536" s="22" t="n">
        <v>46194</v>
      </c>
      <c r="B2536" s="19" t="s">
        <v>51</v>
      </c>
      <c r="C2536" s="19" t="s">
        <v>13</v>
      </c>
      <c r="D2536" s="19" t="s">
        <v>166</v>
      </c>
      <c r="E2536" s="20" t="n">
        <v>641439</v>
      </c>
      <c r="F2536" s="20" t="n">
        <v>2855562</v>
      </c>
    </row>
    <row r="2537" customFormat="false" ht="15" hidden="false" customHeight="false" outlineLevel="0" collapsed="false">
      <c r="A2537" s="22" t="n">
        <v>46194</v>
      </c>
      <c r="B2537" s="19" t="s">
        <v>51</v>
      </c>
      <c r="C2537" s="19" t="s">
        <v>12</v>
      </c>
      <c r="D2537" s="19" t="s">
        <v>169</v>
      </c>
      <c r="E2537" s="20" t="n">
        <v>399771</v>
      </c>
      <c r="F2537" s="20" t="n">
        <v>2495800</v>
      </c>
    </row>
    <row r="2538" customFormat="false" ht="15" hidden="false" customHeight="false" outlineLevel="0" collapsed="false">
      <c r="A2538" s="22" t="n">
        <v>46194</v>
      </c>
      <c r="B2538" s="19" t="s">
        <v>51</v>
      </c>
      <c r="C2538" s="19" t="s">
        <v>13</v>
      </c>
      <c r="D2538" s="19" t="s">
        <v>167</v>
      </c>
      <c r="E2538" s="20" t="n">
        <v>73163</v>
      </c>
      <c r="F2538" s="20" t="n">
        <v>382200</v>
      </c>
    </row>
    <row r="2539" customFormat="false" ht="15" hidden="false" customHeight="false" outlineLevel="0" collapsed="false">
      <c r="A2539" s="22" t="n">
        <v>46194</v>
      </c>
      <c r="B2539" s="19" t="s">
        <v>51</v>
      </c>
      <c r="C2539" s="19" t="s">
        <v>14</v>
      </c>
      <c r="D2539" s="19" t="s">
        <v>147</v>
      </c>
      <c r="E2539" s="20" t="n">
        <v>16515</v>
      </c>
      <c r="F2539" s="20" t="n">
        <v>0</v>
      </c>
    </row>
    <row r="2540" customFormat="false" ht="15" hidden="false" customHeight="false" outlineLevel="0" collapsed="false">
      <c r="A2540" s="22" t="n">
        <v>46194</v>
      </c>
      <c r="B2540" s="19" t="s">
        <v>51</v>
      </c>
      <c r="C2540" s="19" t="s">
        <v>12</v>
      </c>
      <c r="D2540" s="19" t="s">
        <v>162</v>
      </c>
      <c r="E2540" s="20" t="n">
        <v>129309</v>
      </c>
      <c r="F2540" s="20" t="n">
        <v>770000</v>
      </c>
    </row>
    <row r="2541" customFormat="false" ht="15" hidden="false" customHeight="false" outlineLevel="0" collapsed="false">
      <c r="A2541" s="22" t="n">
        <v>46195</v>
      </c>
      <c r="B2541" s="19" t="s">
        <v>51</v>
      </c>
      <c r="C2541" s="19" t="s">
        <v>12</v>
      </c>
      <c r="D2541" s="19" t="s">
        <v>138</v>
      </c>
      <c r="E2541" s="20" t="n">
        <v>500000</v>
      </c>
      <c r="F2541" s="20" t="n">
        <v>3485900</v>
      </c>
    </row>
    <row r="2542" customFormat="false" ht="15" hidden="false" customHeight="false" outlineLevel="0" collapsed="false">
      <c r="A2542" s="22" t="n">
        <v>46195</v>
      </c>
      <c r="B2542" s="19" t="s">
        <v>51</v>
      </c>
      <c r="C2542" s="19" t="s">
        <v>12</v>
      </c>
      <c r="D2542" s="19" t="s">
        <v>165</v>
      </c>
      <c r="E2542" s="20" t="n">
        <v>158417</v>
      </c>
      <c r="F2542" s="20" t="n">
        <v>883640</v>
      </c>
    </row>
    <row r="2543" customFormat="false" ht="15" hidden="false" customHeight="false" outlineLevel="0" collapsed="false">
      <c r="A2543" s="22" t="n">
        <v>46195</v>
      </c>
      <c r="B2543" s="19" t="s">
        <v>51</v>
      </c>
      <c r="C2543" s="19" t="s">
        <v>11</v>
      </c>
      <c r="D2543" s="19" t="s">
        <v>145</v>
      </c>
      <c r="E2543" s="20" t="n">
        <v>150000</v>
      </c>
      <c r="F2543" s="20" t="n">
        <v>1168200</v>
      </c>
    </row>
    <row r="2544" customFormat="false" ht="15" hidden="false" customHeight="false" outlineLevel="0" collapsed="false">
      <c r="A2544" s="22" t="n">
        <v>46195</v>
      </c>
      <c r="B2544" s="19" t="s">
        <v>51</v>
      </c>
      <c r="C2544" s="19" t="s">
        <v>12</v>
      </c>
      <c r="D2544" s="19" t="s">
        <v>164</v>
      </c>
      <c r="E2544" s="20" t="n">
        <v>6667</v>
      </c>
      <c r="F2544" s="20" t="n">
        <v>0</v>
      </c>
    </row>
    <row r="2545" customFormat="false" ht="15" hidden="false" customHeight="false" outlineLevel="0" collapsed="false">
      <c r="A2545" s="22" t="n">
        <v>46195</v>
      </c>
      <c r="B2545" s="19" t="s">
        <v>51</v>
      </c>
      <c r="C2545" s="19" t="s">
        <v>14</v>
      </c>
      <c r="D2545" s="19" t="s">
        <v>73</v>
      </c>
      <c r="E2545" s="20" t="n">
        <v>56760</v>
      </c>
      <c r="F2545" s="20" t="n">
        <v>297000</v>
      </c>
    </row>
    <row r="2546" customFormat="false" ht="15" hidden="false" customHeight="false" outlineLevel="0" collapsed="false">
      <c r="A2546" s="22" t="n">
        <v>46195</v>
      </c>
      <c r="B2546" s="19" t="s">
        <v>51</v>
      </c>
      <c r="C2546" s="19" t="s">
        <v>14</v>
      </c>
      <c r="D2546" s="19" t="s">
        <v>142</v>
      </c>
      <c r="E2546" s="20" t="n">
        <v>8268</v>
      </c>
      <c r="F2546" s="20" t="n">
        <v>0</v>
      </c>
    </row>
    <row r="2547" customFormat="false" ht="15" hidden="false" customHeight="false" outlineLevel="0" collapsed="false">
      <c r="A2547" s="22" t="n">
        <v>46195</v>
      </c>
      <c r="B2547" s="19" t="s">
        <v>51</v>
      </c>
      <c r="C2547" s="19" t="s">
        <v>13</v>
      </c>
      <c r="D2547" s="19" t="s">
        <v>166</v>
      </c>
      <c r="E2547" s="20" t="n">
        <v>672027</v>
      </c>
      <c r="F2547" s="20" t="n">
        <v>3931100</v>
      </c>
    </row>
    <row r="2548" customFormat="false" ht="15" hidden="false" customHeight="false" outlineLevel="0" collapsed="false">
      <c r="A2548" s="22" t="n">
        <v>46195</v>
      </c>
      <c r="B2548" s="19" t="s">
        <v>51</v>
      </c>
      <c r="C2548" s="19" t="s">
        <v>12</v>
      </c>
      <c r="D2548" s="19" t="s">
        <v>122</v>
      </c>
      <c r="E2548" s="20" t="n">
        <v>186590</v>
      </c>
      <c r="F2548" s="20" t="n">
        <v>1378000</v>
      </c>
    </row>
    <row r="2549" customFormat="false" ht="15" hidden="false" customHeight="false" outlineLevel="0" collapsed="false">
      <c r="A2549" s="22" t="n">
        <v>46195</v>
      </c>
      <c r="B2549" s="19" t="s">
        <v>51</v>
      </c>
      <c r="C2549" s="19" t="s">
        <v>13</v>
      </c>
      <c r="D2549" s="19" t="s">
        <v>167</v>
      </c>
      <c r="E2549" s="20" t="n">
        <v>250000</v>
      </c>
      <c r="F2549" s="20" t="n">
        <v>1727300</v>
      </c>
    </row>
    <row r="2550" customFormat="false" ht="15" hidden="false" customHeight="false" outlineLevel="0" collapsed="false">
      <c r="A2550" s="22" t="n">
        <v>46195</v>
      </c>
      <c r="B2550" s="19" t="s">
        <v>51</v>
      </c>
      <c r="C2550" s="19" t="s">
        <v>12</v>
      </c>
      <c r="D2550" s="19" t="s">
        <v>169</v>
      </c>
      <c r="E2550" s="20" t="n">
        <v>261355</v>
      </c>
      <c r="F2550" s="20" t="n">
        <v>1217300</v>
      </c>
    </row>
    <row r="2551" customFormat="false" ht="15" hidden="false" customHeight="false" outlineLevel="0" collapsed="false">
      <c r="A2551" s="22" t="n">
        <v>46195</v>
      </c>
      <c r="B2551" s="19" t="s">
        <v>51</v>
      </c>
      <c r="C2551" s="19" t="s">
        <v>14</v>
      </c>
      <c r="D2551" s="19" t="s">
        <v>147</v>
      </c>
      <c r="E2551" s="20" t="n">
        <v>54870</v>
      </c>
      <c r="F2551" s="20" t="n">
        <v>236000</v>
      </c>
    </row>
    <row r="2552" customFormat="false" ht="15" hidden="false" customHeight="false" outlineLevel="0" collapsed="false">
      <c r="A2552" s="22" t="n">
        <v>46195</v>
      </c>
      <c r="B2552" s="19" t="s">
        <v>51</v>
      </c>
      <c r="C2552" s="19" t="s">
        <v>12</v>
      </c>
      <c r="D2552" s="19" t="s">
        <v>162</v>
      </c>
      <c r="E2552" s="20" t="n">
        <v>227797</v>
      </c>
      <c r="F2552" s="20" t="n">
        <v>1281600</v>
      </c>
    </row>
    <row r="2553" customFormat="false" ht="15" hidden="false" customHeight="false" outlineLevel="0" collapsed="false">
      <c r="A2553" s="22" t="n">
        <v>46196</v>
      </c>
      <c r="B2553" s="19" t="s">
        <v>51</v>
      </c>
      <c r="C2553" s="19" t="s">
        <v>12</v>
      </c>
      <c r="D2553" s="19" t="s">
        <v>165</v>
      </c>
      <c r="E2553" s="20" t="n">
        <v>310240</v>
      </c>
      <c r="F2553" s="20" t="n">
        <v>1798640</v>
      </c>
    </row>
    <row r="2554" customFormat="false" ht="15" hidden="false" customHeight="false" outlineLevel="0" collapsed="false">
      <c r="A2554" s="22" t="n">
        <v>46196</v>
      </c>
      <c r="B2554" s="19" t="s">
        <v>51</v>
      </c>
      <c r="C2554" s="19" t="s">
        <v>12</v>
      </c>
      <c r="D2554" s="19" t="s">
        <v>138</v>
      </c>
      <c r="E2554" s="20" t="n">
        <v>650000</v>
      </c>
      <c r="F2554" s="20" t="n">
        <v>5848200</v>
      </c>
    </row>
    <row r="2555" customFormat="false" ht="15" hidden="false" customHeight="false" outlineLevel="0" collapsed="false">
      <c r="A2555" s="22" t="n">
        <v>46196</v>
      </c>
      <c r="B2555" s="19" t="s">
        <v>51</v>
      </c>
      <c r="C2555" s="19" t="s">
        <v>11</v>
      </c>
      <c r="D2555" s="19" t="s">
        <v>145</v>
      </c>
      <c r="E2555" s="20" t="n">
        <v>150000</v>
      </c>
      <c r="F2555" s="20" t="n">
        <v>584100</v>
      </c>
    </row>
    <row r="2556" customFormat="false" ht="15" hidden="false" customHeight="false" outlineLevel="0" collapsed="false">
      <c r="A2556" s="22" t="n">
        <v>46196</v>
      </c>
      <c r="B2556" s="19" t="s">
        <v>51</v>
      </c>
      <c r="C2556" s="19" t="s">
        <v>12</v>
      </c>
      <c r="D2556" s="19" t="s">
        <v>164</v>
      </c>
      <c r="E2556" s="20" t="n">
        <v>3273</v>
      </c>
      <c r="F2556" s="20" t="n">
        <v>0</v>
      </c>
    </row>
    <row r="2557" customFormat="false" ht="15" hidden="false" customHeight="false" outlineLevel="0" collapsed="false">
      <c r="A2557" s="22" t="n">
        <v>46196</v>
      </c>
      <c r="B2557" s="19" t="s">
        <v>51</v>
      </c>
      <c r="C2557" s="19" t="s">
        <v>14</v>
      </c>
      <c r="D2557" s="19" t="s">
        <v>142</v>
      </c>
      <c r="E2557" s="20" t="n">
        <v>2524</v>
      </c>
      <c r="F2557" s="20" t="n">
        <v>0</v>
      </c>
    </row>
    <row r="2558" customFormat="false" ht="15" hidden="false" customHeight="false" outlineLevel="0" collapsed="false">
      <c r="A2558" s="22" t="n">
        <v>46196</v>
      </c>
      <c r="B2558" s="19" t="s">
        <v>51</v>
      </c>
      <c r="C2558" s="19" t="s">
        <v>14</v>
      </c>
      <c r="D2558" s="19" t="s">
        <v>73</v>
      </c>
      <c r="E2558" s="20" t="n">
        <v>908</v>
      </c>
      <c r="F2558" s="20" t="n">
        <v>0</v>
      </c>
    </row>
    <row r="2559" customFormat="false" ht="15" hidden="false" customHeight="false" outlineLevel="0" collapsed="false">
      <c r="A2559" s="22" t="n">
        <v>46196</v>
      </c>
      <c r="B2559" s="19" t="s">
        <v>51</v>
      </c>
      <c r="C2559" s="19" t="s">
        <v>12</v>
      </c>
      <c r="D2559" s="19" t="s">
        <v>122</v>
      </c>
      <c r="E2559" s="20" t="n">
        <v>422249</v>
      </c>
      <c r="F2559" s="20" t="n">
        <v>2119000</v>
      </c>
    </row>
    <row r="2560" customFormat="false" ht="15" hidden="false" customHeight="false" outlineLevel="0" collapsed="false">
      <c r="A2560" s="22" t="n">
        <v>46196</v>
      </c>
      <c r="B2560" s="19" t="s">
        <v>51</v>
      </c>
      <c r="C2560" s="19" t="s">
        <v>13</v>
      </c>
      <c r="D2560" s="19" t="s">
        <v>166</v>
      </c>
      <c r="E2560" s="20" t="n">
        <v>471923</v>
      </c>
      <c r="F2560" s="20" t="n">
        <v>2447400</v>
      </c>
    </row>
    <row r="2561" customFormat="false" ht="15" hidden="false" customHeight="false" outlineLevel="0" collapsed="false">
      <c r="A2561" s="22" t="n">
        <v>46196</v>
      </c>
      <c r="B2561" s="19" t="s">
        <v>51</v>
      </c>
      <c r="C2561" s="19" t="s">
        <v>12</v>
      </c>
      <c r="D2561" s="19" t="s">
        <v>169</v>
      </c>
      <c r="E2561" s="20" t="n">
        <v>423670</v>
      </c>
      <c r="F2561" s="20" t="n">
        <v>2370800</v>
      </c>
    </row>
    <row r="2562" customFormat="false" ht="15" hidden="false" customHeight="false" outlineLevel="0" collapsed="false">
      <c r="A2562" s="22" t="n">
        <v>46196</v>
      </c>
      <c r="B2562" s="19" t="s">
        <v>51</v>
      </c>
      <c r="C2562" s="19" t="s">
        <v>13</v>
      </c>
      <c r="D2562" s="19" t="s">
        <v>167</v>
      </c>
      <c r="E2562" s="20" t="n">
        <v>188681</v>
      </c>
      <c r="F2562" s="20" t="n">
        <v>1035800</v>
      </c>
    </row>
    <row r="2563" customFormat="false" ht="15" hidden="false" customHeight="false" outlineLevel="0" collapsed="false">
      <c r="A2563" s="22" t="n">
        <v>46196</v>
      </c>
      <c r="B2563" s="19" t="s">
        <v>51</v>
      </c>
      <c r="C2563" s="19" t="s">
        <v>14</v>
      </c>
      <c r="D2563" s="19" t="s">
        <v>147</v>
      </c>
      <c r="E2563" s="20" t="n">
        <v>23171</v>
      </c>
      <c r="F2563" s="20" t="n">
        <v>117220</v>
      </c>
    </row>
    <row r="2564" customFormat="false" ht="15" hidden="false" customHeight="false" outlineLevel="0" collapsed="false">
      <c r="A2564" s="22" t="n">
        <v>46196</v>
      </c>
      <c r="B2564" s="19" t="s">
        <v>51</v>
      </c>
      <c r="C2564" s="19" t="s">
        <v>12</v>
      </c>
      <c r="D2564" s="19" t="s">
        <v>162</v>
      </c>
      <c r="E2564" s="20" t="n">
        <v>220905</v>
      </c>
      <c r="F2564" s="20" t="n">
        <v>1312000</v>
      </c>
    </row>
    <row r="2565" customFormat="false" ht="15" hidden="false" customHeight="false" outlineLevel="0" collapsed="false">
      <c r="A2565" s="22" t="n">
        <v>46197</v>
      </c>
      <c r="B2565" s="19" t="s">
        <v>51</v>
      </c>
      <c r="C2565" s="19" t="s">
        <v>12</v>
      </c>
      <c r="D2565" s="19" t="s">
        <v>138</v>
      </c>
      <c r="E2565" s="20" t="n">
        <v>680000</v>
      </c>
      <c r="F2565" s="20" t="n">
        <v>2745300</v>
      </c>
    </row>
    <row r="2566" customFormat="false" ht="15" hidden="false" customHeight="false" outlineLevel="0" collapsed="false">
      <c r="A2566" s="22" t="n">
        <v>46197</v>
      </c>
      <c r="B2566" s="19" t="s">
        <v>51</v>
      </c>
      <c r="C2566" s="19" t="s">
        <v>12</v>
      </c>
      <c r="D2566" s="19" t="s">
        <v>165</v>
      </c>
      <c r="E2566" s="20" t="n">
        <v>147453</v>
      </c>
      <c r="F2566" s="20" t="n">
        <v>867000</v>
      </c>
    </row>
    <row r="2567" customFormat="false" ht="15" hidden="false" customHeight="false" outlineLevel="0" collapsed="false">
      <c r="A2567" s="22" t="n">
        <v>46197</v>
      </c>
      <c r="B2567" s="19" t="s">
        <v>51</v>
      </c>
      <c r="C2567" s="19" t="s">
        <v>12</v>
      </c>
      <c r="D2567" s="19" t="s">
        <v>164</v>
      </c>
      <c r="E2567" s="20" t="n">
        <v>55967</v>
      </c>
      <c r="F2567" s="20" t="n">
        <v>318000</v>
      </c>
    </row>
    <row r="2568" customFormat="false" ht="15" hidden="false" customHeight="false" outlineLevel="0" collapsed="false">
      <c r="A2568" s="22" t="n">
        <v>46197</v>
      </c>
      <c r="B2568" s="19" t="s">
        <v>51</v>
      </c>
      <c r="C2568" s="19" t="s">
        <v>11</v>
      </c>
      <c r="D2568" s="19" t="s">
        <v>145</v>
      </c>
      <c r="E2568" s="20" t="n">
        <v>25758</v>
      </c>
      <c r="F2568" s="20" t="n">
        <v>0</v>
      </c>
    </row>
    <row r="2569" customFormat="false" ht="15" hidden="false" customHeight="false" outlineLevel="0" collapsed="false">
      <c r="A2569" s="22" t="n">
        <v>46197</v>
      </c>
      <c r="B2569" s="19" t="s">
        <v>51</v>
      </c>
      <c r="C2569" s="19" t="s">
        <v>14</v>
      </c>
      <c r="D2569" s="19" t="s">
        <v>142</v>
      </c>
      <c r="E2569" s="20" t="n">
        <v>1687</v>
      </c>
      <c r="F2569" s="20" t="n">
        <v>0</v>
      </c>
    </row>
    <row r="2570" customFormat="false" ht="15" hidden="false" customHeight="false" outlineLevel="0" collapsed="false">
      <c r="A2570" s="22" t="n">
        <v>46197</v>
      </c>
      <c r="B2570" s="19" t="s">
        <v>51</v>
      </c>
      <c r="C2570" s="19" t="s">
        <v>14</v>
      </c>
      <c r="D2570" s="19" t="s">
        <v>73</v>
      </c>
      <c r="E2570" s="20" t="n">
        <v>343</v>
      </c>
      <c r="F2570" s="20" t="n">
        <v>0</v>
      </c>
    </row>
    <row r="2571" customFormat="false" ht="15" hidden="false" customHeight="false" outlineLevel="0" collapsed="false">
      <c r="A2571" s="22" t="n">
        <v>46197</v>
      </c>
      <c r="B2571" s="19" t="s">
        <v>51</v>
      </c>
      <c r="C2571" s="19" t="s">
        <v>12</v>
      </c>
      <c r="D2571" s="19" t="s">
        <v>122</v>
      </c>
      <c r="E2571" s="20" t="n">
        <v>200000</v>
      </c>
      <c r="F2571" s="20" t="n">
        <v>573000</v>
      </c>
    </row>
    <row r="2572" customFormat="false" ht="15" hidden="false" customHeight="false" outlineLevel="0" collapsed="false">
      <c r="A2572" s="22" t="n">
        <v>46197</v>
      </c>
      <c r="B2572" s="19" t="s">
        <v>51</v>
      </c>
      <c r="C2572" s="19" t="s">
        <v>13</v>
      </c>
      <c r="D2572" s="19" t="s">
        <v>166</v>
      </c>
      <c r="E2572" s="20" t="n">
        <v>445840</v>
      </c>
      <c r="F2572" s="20" t="n">
        <v>2829000</v>
      </c>
    </row>
    <row r="2573" customFormat="false" ht="15" hidden="false" customHeight="false" outlineLevel="0" collapsed="false">
      <c r="A2573" s="22" t="n">
        <v>46197</v>
      </c>
      <c r="B2573" s="19" t="s">
        <v>51</v>
      </c>
      <c r="C2573" s="19" t="s">
        <v>12</v>
      </c>
      <c r="D2573" s="19" t="s">
        <v>169</v>
      </c>
      <c r="E2573" s="20" t="n">
        <v>448688</v>
      </c>
      <c r="F2573" s="20" t="n">
        <v>2501740</v>
      </c>
    </row>
    <row r="2574" customFormat="false" ht="15" hidden="false" customHeight="false" outlineLevel="0" collapsed="false">
      <c r="A2574" s="22" t="n">
        <v>46197</v>
      </c>
      <c r="B2574" s="19" t="s">
        <v>51</v>
      </c>
      <c r="C2574" s="19" t="s">
        <v>14</v>
      </c>
      <c r="D2574" s="19" t="s">
        <v>147</v>
      </c>
      <c r="E2574" s="20" t="n">
        <v>153027</v>
      </c>
      <c r="F2574" s="20" t="n">
        <v>794060</v>
      </c>
    </row>
    <row r="2575" customFormat="false" ht="15" hidden="false" customHeight="false" outlineLevel="0" collapsed="false">
      <c r="A2575" s="22" t="n">
        <v>46197</v>
      </c>
      <c r="B2575" s="19" t="s">
        <v>51</v>
      </c>
      <c r="C2575" s="19" t="s">
        <v>13</v>
      </c>
      <c r="D2575" s="19" t="s">
        <v>167</v>
      </c>
      <c r="E2575" s="20" t="n">
        <v>157213</v>
      </c>
      <c r="F2575" s="20" t="n">
        <v>869000</v>
      </c>
    </row>
    <row r="2576" customFormat="false" ht="15" hidden="false" customHeight="false" outlineLevel="0" collapsed="false">
      <c r="A2576" s="22" t="n">
        <v>46197</v>
      </c>
      <c r="B2576" s="19" t="s">
        <v>51</v>
      </c>
      <c r="C2576" s="19" t="s">
        <v>12</v>
      </c>
      <c r="D2576" s="19" t="s">
        <v>162</v>
      </c>
      <c r="E2576" s="20" t="n">
        <v>46953</v>
      </c>
      <c r="F2576" s="20" t="n">
        <v>215000</v>
      </c>
    </row>
    <row r="2577" customFormat="false" ht="15" hidden="false" customHeight="false" outlineLevel="0" collapsed="false">
      <c r="A2577" s="22" t="n">
        <v>46198</v>
      </c>
      <c r="B2577" s="19" t="s">
        <v>51</v>
      </c>
      <c r="C2577" s="19" t="s">
        <v>12</v>
      </c>
      <c r="D2577" s="19" t="s">
        <v>165</v>
      </c>
      <c r="E2577" s="20" t="n">
        <v>800000</v>
      </c>
      <c r="F2577" s="20" t="n">
        <v>6584120</v>
      </c>
    </row>
    <row r="2578" customFormat="false" ht="15" hidden="false" customHeight="false" outlineLevel="0" collapsed="false">
      <c r="A2578" s="22" t="n">
        <v>46198</v>
      </c>
      <c r="B2578" s="19" t="s">
        <v>51</v>
      </c>
      <c r="C2578" s="19" t="s">
        <v>12</v>
      </c>
      <c r="D2578" s="19" t="s">
        <v>164</v>
      </c>
      <c r="E2578" s="20" t="n">
        <v>146645</v>
      </c>
      <c r="F2578" s="20" t="n">
        <v>862600</v>
      </c>
    </row>
    <row r="2579" customFormat="false" ht="15" hidden="false" customHeight="false" outlineLevel="0" collapsed="false">
      <c r="A2579" s="22" t="n">
        <v>46198</v>
      </c>
      <c r="B2579" s="19" t="s">
        <v>51</v>
      </c>
      <c r="C2579" s="19" t="s">
        <v>12</v>
      </c>
      <c r="D2579" s="19" t="s">
        <v>138</v>
      </c>
      <c r="E2579" s="20" t="n">
        <v>411850</v>
      </c>
      <c r="F2579" s="20" t="n">
        <v>1375500</v>
      </c>
    </row>
    <row r="2580" customFormat="false" ht="15" hidden="false" customHeight="false" outlineLevel="0" collapsed="false">
      <c r="A2580" s="22" t="n">
        <v>46198</v>
      </c>
      <c r="B2580" s="19" t="s">
        <v>51</v>
      </c>
      <c r="C2580" s="19" t="s">
        <v>11</v>
      </c>
      <c r="D2580" s="19" t="s">
        <v>145</v>
      </c>
      <c r="E2580" s="20" t="n">
        <v>109227</v>
      </c>
      <c r="F2580" s="20" t="n">
        <v>295000</v>
      </c>
    </row>
    <row r="2581" customFormat="false" ht="15" hidden="false" customHeight="false" outlineLevel="0" collapsed="false">
      <c r="A2581" s="22" t="n">
        <v>46198</v>
      </c>
      <c r="B2581" s="19" t="s">
        <v>51</v>
      </c>
      <c r="C2581" s="19" t="s">
        <v>14</v>
      </c>
      <c r="D2581" s="19" t="s">
        <v>73</v>
      </c>
      <c r="E2581" s="20" t="n">
        <v>1566</v>
      </c>
      <c r="F2581" s="20" t="n">
        <v>0</v>
      </c>
    </row>
    <row r="2582" customFormat="false" ht="15" hidden="false" customHeight="false" outlineLevel="0" collapsed="false">
      <c r="A2582" s="22" t="n">
        <v>46198</v>
      </c>
      <c r="B2582" s="19" t="s">
        <v>51</v>
      </c>
      <c r="C2582" s="19" t="s">
        <v>14</v>
      </c>
      <c r="D2582" s="19" t="s">
        <v>142</v>
      </c>
      <c r="E2582" s="20" t="n">
        <v>2945</v>
      </c>
      <c r="F2582" s="20" t="n">
        <v>0</v>
      </c>
    </row>
    <row r="2583" customFormat="false" ht="15" hidden="false" customHeight="false" outlineLevel="0" collapsed="false">
      <c r="A2583" s="22" t="n">
        <v>46198</v>
      </c>
      <c r="B2583" s="19" t="s">
        <v>51</v>
      </c>
      <c r="C2583" s="19" t="s">
        <v>12</v>
      </c>
      <c r="D2583" s="19" t="s">
        <v>122</v>
      </c>
      <c r="E2583" s="20" t="n">
        <v>450000</v>
      </c>
      <c r="F2583" s="20" t="n">
        <v>2786000</v>
      </c>
    </row>
    <row r="2584" customFormat="false" ht="15" hidden="false" customHeight="false" outlineLevel="0" collapsed="false">
      <c r="A2584" s="22" t="n">
        <v>46198</v>
      </c>
      <c r="B2584" s="19" t="s">
        <v>51</v>
      </c>
      <c r="C2584" s="19" t="s">
        <v>13</v>
      </c>
      <c r="D2584" s="19" t="s">
        <v>166</v>
      </c>
      <c r="E2584" s="20" t="n">
        <v>826154</v>
      </c>
      <c r="F2584" s="20" t="n">
        <v>4102180</v>
      </c>
    </row>
    <row r="2585" customFormat="false" ht="15" hidden="false" customHeight="false" outlineLevel="0" collapsed="false">
      <c r="A2585" s="22" t="n">
        <v>46198</v>
      </c>
      <c r="B2585" s="19" t="s">
        <v>51</v>
      </c>
      <c r="C2585" s="19" t="s">
        <v>13</v>
      </c>
      <c r="D2585" s="19" t="s">
        <v>167</v>
      </c>
      <c r="E2585" s="20" t="n">
        <v>632119</v>
      </c>
      <c r="F2585" s="20" t="n">
        <v>3505100</v>
      </c>
    </row>
    <row r="2586" customFormat="false" ht="15" hidden="false" customHeight="false" outlineLevel="0" collapsed="false">
      <c r="A2586" s="22" t="n">
        <v>46198</v>
      </c>
      <c r="B2586" s="19" t="s">
        <v>51</v>
      </c>
      <c r="C2586" s="19" t="s">
        <v>12</v>
      </c>
      <c r="D2586" s="19" t="s">
        <v>169</v>
      </c>
      <c r="E2586" s="20" t="n">
        <v>262051</v>
      </c>
      <c r="F2586" s="20" t="n">
        <v>1046200</v>
      </c>
    </row>
    <row r="2587" customFormat="false" ht="15" hidden="false" customHeight="false" outlineLevel="0" collapsed="false">
      <c r="A2587" s="22" t="n">
        <v>46198</v>
      </c>
      <c r="B2587" s="19" t="s">
        <v>51</v>
      </c>
      <c r="C2587" s="19" t="s">
        <v>14</v>
      </c>
      <c r="D2587" s="19" t="s">
        <v>147</v>
      </c>
      <c r="E2587" s="20" t="n">
        <v>89597</v>
      </c>
      <c r="F2587" s="20" t="n">
        <v>356000</v>
      </c>
    </row>
    <row r="2588" customFormat="false" ht="15" hidden="false" customHeight="false" outlineLevel="0" collapsed="false">
      <c r="A2588" s="22" t="n">
        <v>46198</v>
      </c>
      <c r="B2588" s="19" t="s">
        <v>51</v>
      </c>
      <c r="C2588" s="19" t="s">
        <v>12</v>
      </c>
      <c r="D2588" s="19" t="s">
        <v>162</v>
      </c>
      <c r="E2588" s="20" t="n">
        <v>86031</v>
      </c>
      <c r="F2588" s="20" t="n">
        <v>130000</v>
      </c>
    </row>
    <row r="2589" customFormat="false" ht="15" hidden="false" customHeight="false" outlineLevel="0" collapsed="false">
      <c r="A2589" s="22" t="n">
        <v>46199</v>
      </c>
      <c r="B2589" s="19" t="s">
        <v>51</v>
      </c>
      <c r="C2589" s="19" t="s">
        <v>12</v>
      </c>
      <c r="D2589" s="19" t="s">
        <v>165</v>
      </c>
      <c r="E2589" s="20" t="n">
        <v>493378</v>
      </c>
      <c r="F2589" s="20" t="n">
        <v>2370760</v>
      </c>
    </row>
    <row r="2590" customFormat="false" ht="15" hidden="false" customHeight="false" outlineLevel="0" collapsed="false">
      <c r="A2590" s="22" t="n">
        <v>46199</v>
      </c>
      <c r="B2590" s="19" t="s">
        <v>51</v>
      </c>
      <c r="C2590" s="19" t="s">
        <v>12</v>
      </c>
      <c r="D2590" s="19" t="s">
        <v>138</v>
      </c>
      <c r="E2590" s="20" t="n">
        <v>158606</v>
      </c>
      <c r="F2590" s="20" t="n">
        <v>924700</v>
      </c>
    </row>
    <row r="2591" customFormat="false" ht="15" hidden="false" customHeight="false" outlineLevel="0" collapsed="false">
      <c r="A2591" s="22" t="n">
        <v>46199</v>
      </c>
      <c r="B2591" s="19" t="s">
        <v>51</v>
      </c>
      <c r="C2591" s="19" t="s">
        <v>12</v>
      </c>
      <c r="D2591" s="19" t="s">
        <v>164</v>
      </c>
      <c r="E2591" s="20" t="n">
        <v>20481</v>
      </c>
      <c r="F2591" s="20" t="n">
        <v>110000</v>
      </c>
    </row>
    <row r="2592" customFormat="false" ht="15" hidden="false" customHeight="false" outlineLevel="0" collapsed="false">
      <c r="A2592" s="22" t="n">
        <v>46199</v>
      </c>
      <c r="B2592" s="19" t="s">
        <v>51</v>
      </c>
      <c r="C2592" s="19" t="s">
        <v>11</v>
      </c>
      <c r="D2592" s="19" t="s">
        <v>145</v>
      </c>
      <c r="E2592" s="20" t="n">
        <v>4694</v>
      </c>
      <c r="F2592" s="20" t="n">
        <v>0</v>
      </c>
    </row>
    <row r="2593" customFormat="false" ht="15" hidden="false" customHeight="false" outlineLevel="0" collapsed="false">
      <c r="A2593" s="22" t="n">
        <v>46199</v>
      </c>
      <c r="B2593" s="19" t="s">
        <v>51</v>
      </c>
      <c r="C2593" s="19" t="s">
        <v>14</v>
      </c>
      <c r="D2593" s="19" t="s">
        <v>73</v>
      </c>
      <c r="E2593" s="20" t="n">
        <v>4406</v>
      </c>
      <c r="F2593" s="20" t="n">
        <v>0</v>
      </c>
    </row>
    <row r="2594" customFormat="false" ht="15" hidden="false" customHeight="false" outlineLevel="0" collapsed="false">
      <c r="A2594" s="22" t="n">
        <v>46199</v>
      </c>
      <c r="B2594" s="19" t="s">
        <v>51</v>
      </c>
      <c r="C2594" s="19" t="s">
        <v>14</v>
      </c>
      <c r="D2594" s="19" t="s">
        <v>142</v>
      </c>
      <c r="E2594" s="20" t="n">
        <v>1311</v>
      </c>
      <c r="F2594" s="20" t="n">
        <v>0</v>
      </c>
    </row>
    <row r="2595" customFormat="false" ht="15" hidden="false" customHeight="false" outlineLevel="0" collapsed="false">
      <c r="A2595" s="22" t="n">
        <v>46199</v>
      </c>
      <c r="B2595" s="19" t="s">
        <v>51</v>
      </c>
      <c r="C2595" s="19" t="s">
        <v>12</v>
      </c>
      <c r="D2595" s="19" t="s">
        <v>122</v>
      </c>
      <c r="E2595" s="20" t="n">
        <v>500000</v>
      </c>
      <c r="F2595" s="20" t="n">
        <v>2507500</v>
      </c>
    </row>
    <row r="2596" customFormat="false" ht="15" hidden="false" customHeight="false" outlineLevel="0" collapsed="false">
      <c r="A2596" s="22" t="n">
        <v>46199</v>
      </c>
      <c r="B2596" s="19" t="s">
        <v>51</v>
      </c>
      <c r="C2596" s="19" t="s">
        <v>13</v>
      </c>
      <c r="D2596" s="19" t="s">
        <v>166</v>
      </c>
      <c r="E2596" s="20" t="n">
        <v>775399</v>
      </c>
      <c r="F2596" s="20" t="n">
        <v>4182500</v>
      </c>
    </row>
    <row r="2597" customFormat="false" ht="15" hidden="false" customHeight="false" outlineLevel="0" collapsed="false">
      <c r="A2597" s="22" t="n">
        <v>46199</v>
      </c>
      <c r="B2597" s="19" t="s">
        <v>51</v>
      </c>
      <c r="C2597" s="19" t="s">
        <v>12</v>
      </c>
      <c r="D2597" s="19" t="s">
        <v>169</v>
      </c>
      <c r="E2597" s="20" t="n">
        <v>351419</v>
      </c>
      <c r="F2597" s="20" t="n">
        <v>2085800</v>
      </c>
    </row>
    <row r="2598" customFormat="false" ht="15" hidden="false" customHeight="false" outlineLevel="0" collapsed="false">
      <c r="A2598" s="22" t="n">
        <v>46199</v>
      </c>
      <c r="B2598" s="19" t="s">
        <v>51</v>
      </c>
      <c r="C2598" s="19" t="s">
        <v>13</v>
      </c>
      <c r="D2598" s="19" t="s">
        <v>167</v>
      </c>
      <c r="E2598" s="20" t="n">
        <v>191665</v>
      </c>
      <c r="F2598" s="20" t="n">
        <v>983100</v>
      </c>
    </row>
    <row r="2599" customFormat="false" ht="15" hidden="false" customHeight="false" outlineLevel="0" collapsed="false">
      <c r="A2599" s="22" t="n">
        <v>46199</v>
      </c>
      <c r="B2599" s="19" t="s">
        <v>51</v>
      </c>
      <c r="C2599" s="19" t="s">
        <v>12</v>
      </c>
      <c r="D2599" s="19" t="s">
        <v>162</v>
      </c>
      <c r="E2599" s="20" t="n">
        <v>47803</v>
      </c>
      <c r="F2599" s="20" t="n">
        <v>199000</v>
      </c>
    </row>
    <row r="2600" customFormat="false" ht="15" hidden="false" customHeight="false" outlineLevel="0" collapsed="false">
      <c r="A2600" s="22" t="n">
        <v>46199</v>
      </c>
      <c r="B2600" s="19" t="s">
        <v>51</v>
      </c>
      <c r="C2600" s="19" t="s">
        <v>14</v>
      </c>
      <c r="D2600" s="19" t="s">
        <v>147</v>
      </c>
      <c r="E2600" s="20" t="n">
        <v>15156</v>
      </c>
      <c r="F2600" s="20" t="n">
        <v>0</v>
      </c>
    </row>
    <row r="2601" customFormat="false" ht="15" hidden="false" customHeight="false" outlineLevel="0" collapsed="false">
      <c r="A2601" s="22" t="n">
        <v>46200</v>
      </c>
      <c r="B2601" s="19" t="s">
        <v>51</v>
      </c>
      <c r="C2601" s="19" t="s">
        <v>12</v>
      </c>
      <c r="D2601" s="19" t="s">
        <v>165</v>
      </c>
      <c r="E2601" s="20" t="n">
        <v>287313</v>
      </c>
      <c r="F2601" s="20" t="n">
        <v>1878210</v>
      </c>
    </row>
    <row r="2602" customFormat="false" ht="15" hidden="false" customHeight="false" outlineLevel="0" collapsed="false">
      <c r="A2602" s="22" t="n">
        <v>46200</v>
      </c>
      <c r="B2602" s="19" t="s">
        <v>51</v>
      </c>
      <c r="C2602" s="19" t="s">
        <v>12</v>
      </c>
      <c r="D2602" s="19" t="s">
        <v>138</v>
      </c>
      <c r="E2602" s="20" t="n">
        <v>202735</v>
      </c>
      <c r="F2602" s="20" t="n">
        <v>957900</v>
      </c>
    </row>
    <row r="2603" customFormat="false" ht="15" hidden="false" customHeight="false" outlineLevel="0" collapsed="false">
      <c r="A2603" s="22" t="n">
        <v>46200</v>
      </c>
      <c r="B2603" s="19" t="s">
        <v>51</v>
      </c>
      <c r="C2603" s="19" t="s">
        <v>11</v>
      </c>
      <c r="D2603" s="19" t="s">
        <v>145</v>
      </c>
      <c r="E2603" s="20" t="n">
        <v>160127</v>
      </c>
      <c r="F2603" s="20" t="n">
        <v>1650000</v>
      </c>
    </row>
    <row r="2604" customFormat="false" ht="15" hidden="false" customHeight="false" outlineLevel="0" collapsed="false">
      <c r="A2604" s="22" t="n">
        <v>46200</v>
      </c>
      <c r="B2604" s="19" t="s">
        <v>51</v>
      </c>
      <c r="C2604" s="19" t="s">
        <v>12</v>
      </c>
      <c r="D2604" s="19" t="s">
        <v>164</v>
      </c>
      <c r="E2604" s="20" t="n">
        <v>16616</v>
      </c>
      <c r="F2604" s="20" t="n">
        <v>95806</v>
      </c>
    </row>
    <row r="2605" customFormat="false" ht="15" hidden="false" customHeight="false" outlineLevel="0" collapsed="false">
      <c r="A2605" s="22" t="n">
        <v>46200</v>
      </c>
      <c r="B2605" s="19" t="s">
        <v>51</v>
      </c>
      <c r="C2605" s="19" t="s">
        <v>14</v>
      </c>
      <c r="D2605" s="19" t="s">
        <v>73</v>
      </c>
      <c r="E2605" s="20" t="n">
        <v>1934</v>
      </c>
      <c r="F2605" s="20" t="n">
        <v>0</v>
      </c>
    </row>
    <row r="2606" customFormat="false" ht="15" hidden="false" customHeight="false" outlineLevel="0" collapsed="false">
      <c r="A2606" s="22" t="n">
        <v>46200</v>
      </c>
      <c r="B2606" s="19" t="s">
        <v>51</v>
      </c>
      <c r="C2606" s="19" t="s">
        <v>14</v>
      </c>
      <c r="D2606" s="19" t="s">
        <v>142</v>
      </c>
      <c r="E2606" s="20" t="n">
        <v>1807</v>
      </c>
      <c r="F2606" s="20" t="n">
        <v>0</v>
      </c>
    </row>
    <row r="2607" customFormat="false" ht="15" hidden="false" customHeight="false" outlineLevel="0" collapsed="false">
      <c r="A2607" s="22" t="n">
        <v>46200</v>
      </c>
      <c r="B2607" s="19" t="s">
        <v>51</v>
      </c>
      <c r="C2607" s="19" t="s">
        <v>12</v>
      </c>
      <c r="D2607" s="19" t="s">
        <v>122</v>
      </c>
      <c r="E2607" s="20" t="n">
        <v>500000</v>
      </c>
      <c r="F2607" s="20" t="n">
        <v>1698000</v>
      </c>
    </row>
    <row r="2608" customFormat="false" ht="15" hidden="false" customHeight="false" outlineLevel="0" collapsed="false">
      <c r="A2608" s="22" t="n">
        <v>46200</v>
      </c>
      <c r="B2608" s="19" t="s">
        <v>51</v>
      </c>
      <c r="C2608" s="19" t="s">
        <v>12</v>
      </c>
      <c r="D2608" s="19" t="s">
        <v>162</v>
      </c>
      <c r="E2608" s="20" t="n">
        <v>98346</v>
      </c>
      <c r="F2608" s="20" t="n">
        <v>556744</v>
      </c>
    </row>
    <row r="2609" customFormat="false" ht="15" hidden="false" customHeight="false" outlineLevel="0" collapsed="false">
      <c r="A2609" s="22" t="n">
        <v>46200</v>
      </c>
      <c r="B2609" s="19" t="s">
        <v>51</v>
      </c>
      <c r="C2609" s="19" t="s">
        <v>12</v>
      </c>
      <c r="D2609" s="19" t="s">
        <v>169</v>
      </c>
      <c r="E2609" s="20" t="n">
        <v>93499</v>
      </c>
      <c r="F2609" s="20" t="n">
        <v>405300</v>
      </c>
    </row>
    <row r="2610" customFormat="false" ht="15" hidden="false" customHeight="false" outlineLevel="0" collapsed="false">
      <c r="A2610" s="22" t="n">
        <v>46200</v>
      </c>
      <c r="B2610" s="19" t="s">
        <v>51</v>
      </c>
      <c r="C2610" s="19" t="s">
        <v>13</v>
      </c>
      <c r="D2610" s="19" t="s">
        <v>167</v>
      </c>
      <c r="E2610" s="20" t="n">
        <v>78736</v>
      </c>
      <c r="F2610" s="20" t="n">
        <v>390000</v>
      </c>
    </row>
    <row r="2611" customFormat="false" ht="15" hidden="false" customHeight="false" outlineLevel="0" collapsed="false">
      <c r="A2611" s="22" t="n">
        <v>46200</v>
      </c>
      <c r="B2611" s="19" t="s">
        <v>51</v>
      </c>
      <c r="C2611" s="19" t="s">
        <v>14</v>
      </c>
      <c r="D2611" s="19" t="s">
        <v>147</v>
      </c>
      <c r="E2611" s="20" t="n">
        <v>16835</v>
      </c>
      <c r="F2611" s="20" t="n">
        <v>0</v>
      </c>
    </row>
    <row r="2612" customFormat="false" ht="15" hidden="false" customHeight="false" outlineLevel="0" collapsed="false">
      <c r="A2612" s="22" t="n">
        <v>46200</v>
      </c>
      <c r="B2612" s="19" t="s">
        <v>51</v>
      </c>
      <c r="C2612" s="19" t="s">
        <v>13</v>
      </c>
      <c r="D2612" s="19" t="s">
        <v>166</v>
      </c>
      <c r="E2612" s="20" t="n">
        <v>699391</v>
      </c>
      <c r="F2612" s="20" t="n">
        <v>3775300</v>
      </c>
    </row>
    <row r="2613" customFormat="false" ht="15" hidden="false" customHeight="false" outlineLevel="0" collapsed="false">
      <c r="A2613" s="22" t="n">
        <v>46201</v>
      </c>
      <c r="B2613" s="19" t="s">
        <v>51</v>
      </c>
      <c r="C2613" s="19" t="s">
        <v>12</v>
      </c>
      <c r="D2613" s="19" t="s">
        <v>165</v>
      </c>
      <c r="E2613" s="20" t="n">
        <v>60187</v>
      </c>
      <c r="F2613" s="20" t="n">
        <v>296000</v>
      </c>
    </row>
    <row r="2614" customFormat="false" ht="15" hidden="false" customHeight="false" outlineLevel="0" collapsed="false">
      <c r="A2614" s="22" t="n">
        <v>46201</v>
      </c>
      <c r="B2614" s="19" t="s">
        <v>51</v>
      </c>
      <c r="C2614" s="19" t="s">
        <v>12</v>
      </c>
      <c r="D2614" s="19" t="s">
        <v>138</v>
      </c>
      <c r="E2614" s="20" t="n">
        <v>34404</v>
      </c>
      <c r="F2614" s="20" t="n">
        <v>175000</v>
      </c>
    </row>
    <row r="2615" customFormat="false" ht="15" hidden="false" customHeight="false" outlineLevel="0" collapsed="false">
      <c r="A2615" s="22" t="n">
        <v>46201</v>
      </c>
      <c r="B2615" s="19" t="s">
        <v>51</v>
      </c>
      <c r="C2615" s="19" t="s">
        <v>11</v>
      </c>
      <c r="D2615" s="19" t="s">
        <v>145</v>
      </c>
      <c r="E2615" s="20" t="n">
        <v>200000</v>
      </c>
      <c r="F2615" s="20" t="n">
        <v>885000</v>
      </c>
    </row>
    <row r="2616" customFormat="false" ht="15" hidden="false" customHeight="false" outlineLevel="0" collapsed="false">
      <c r="A2616" s="22" t="n">
        <v>46201</v>
      </c>
      <c r="B2616" s="19" t="s">
        <v>51</v>
      </c>
      <c r="C2616" s="19" t="s">
        <v>12</v>
      </c>
      <c r="D2616" s="19" t="s">
        <v>164</v>
      </c>
      <c r="E2616" s="20" t="n">
        <v>5159</v>
      </c>
      <c r="F2616" s="20" t="n">
        <v>0</v>
      </c>
    </row>
    <row r="2617" customFormat="false" ht="15" hidden="false" customHeight="false" outlineLevel="0" collapsed="false">
      <c r="A2617" s="22" t="n">
        <v>46201</v>
      </c>
      <c r="B2617" s="19" t="s">
        <v>51</v>
      </c>
      <c r="C2617" s="19" t="s">
        <v>11</v>
      </c>
      <c r="D2617" s="19" t="s">
        <v>144</v>
      </c>
      <c r="E2617" s="20" t="n">
        <v>14827</v>
      </c>
      <c r="F2617" s="20" t="n">
        <v>0</v>
      </c>
    </row>
    <row r="2618" customFormat="false" ht="15" hidden="false" customHeight="false" outlineLevel="0" collapsed="false">
      <c r="A2618" s="22" t="n">
        <v>46201</v>
      </c>
      <c r="B2618" s="19" t="s">
        <v>51</v>
      </c>
      <c r="C2618" s="19" t="s">
        <v>14</v>
      </c>
      <c r="D2618" s="19" t="s">
        <v>73</v>
      </c>
      <c r="E2618" s="20" t="n">
        <v>820</v>
      </c>
      <c r="F2618" s="20" t="n">
        <v>0</v>
      </c>
    </row>
    <row r="2619" customFormat="false" ht="15" hidden="false" customHeight="false" outlineLevel="0" collapsed="false">
      <c r="A2619" s="22" t="n">
        <v>46201</v>
      </c>
      <c r="B2619" s="19" t="s">
        <v>51</v>
      </c>
      <c r="C2619" s="19" t="s">
        <v>14</v>
      </c>
      <c r="D2619" s="19" t="s">
        <v>142</v>
      </c>
      <c r="E2619" s="20" t="n">
        <v>673</v>
      </c>
      <c r="F2619" s="20" t="n">
        <v>0</v>
      </c>
    </row>
    <row r="2620" customFormat="false" ht="15" hidden="false" customHeight="false" outlineLevel="0" collapsed="false">
      <c r="A2620" s="22" t="n">
        <v>46201</v>
      </c>
      <c r="B2620" s="19" t="s">
        <v>51</v>
      </c>
      <c r="C2620" s="19" t="s">
        <v>12</v>
      </c>
      <c r="D2620" s="19" t="s">
        <v>122</v>
      </c>
      <c r="E2620" s="20" t="n">
        <v>135618</v>
      </c>
      <c r="F2620" s="20" t="n">
        <v>597000</v>
      </c>
    </row>
    <row r="2621" customFormat="false" ht="15" hidden="false" customHeight="false" outlineLevel="0" collapsed="false">
      <c r="A2621" s="22" t="n">
        <v>46201</v>
      </c>
      <c r="B2621" s="19" t="s">
        <v>51</v>
      </c>
      <c r="C2621" s="19" t="s">
        <v>13</v>
      </c>
      <c r="D2621" s="19" t="s">
        <v>166</v>
      </c>
      <c r="E2621" s="20" t="n">
        <v>143411</v>
      </c>
      <c r="F2621" s="20" t="n">
        <v>383000</v>
      </c>
    </row>
    <row r="2622" customFormat="false" ht="15" hidden="false" customHeight="false" outlineLevel="0" collapsed="false">
      <c r="A2622" s="22" t="n">
        <v>46201</v>
      </c>
      <c r="B2622" s="19" t="s">
        <v>51</v>
      </c>
      <c r="C2622" s="19" t="s">
        <v>12</v>
      </c>
      <c r="D2622" s="19" t="s">
        <v>162</v>
      </c>
      <c r="E2622" s="20" t="n">
        <v>39927</v>
      </c>
      <c r="F2622" s="20" t="n">
        <v>195000</v>
      </c>
    </row>
    <row r="2623" customFormat="false" ht="15" hidden="false" customHeight="false" outlineLevel="0" collapsed="false">
      <c r="A2623" s="22" t="n">
        <v>46201</v>
      </c>
      <c r="B2623" s="19" t="s">
        <v>51</v>
      </c>
      <c r="C2623" s="19" t="s">
        <v>14</v>
      </c>
      <c r="D2623" s="19" t="s">
        <v>147</v>
      </c>
      <c r="E2623" s="20" t="n">
        <v>12882</v>
      </c>
      <c r="F2623" s="20" t="n">
        <v>39000</v>
      </c>
    </row>
    <row r="2624" customFormat="false" ht="15" hidden="false" customHeight="false" outlineLevel="0" collapsed="false">
      <c r="A2624" s="22" t="n">
        <v>46201</v>
      </c>
      <c r="B2624" s="19" t="s">
        <v>51</v>
      </c>
      <c r="C2624" s="19" t="s">
        <v>12</v>
      </c>
      <c r="D2624" s="19" t="s">
        <v>169</v>
      </c>
      <c r="E2624" s="20" t="n">
        <v>42544</v>
      </c>
      <c r="F2624" s="20" t="n">
        <v>175000</v>
      </c>
    </row>
    <row r="2625" customFormat="false" ht="15" hidden="false" customHeight="false" outlineLevel="0" collapsed="false">
      <c r="A2625" s="22" t="n">
        <v>46201</v>
      </c>
      <c r="B2625" s="19" t="s">
        <v>51</v>
      </c>
      <c r="C2625" s="19" t="s">
        <v>13</v>
      </c>
      <c r="D2625" s="19" t="s">
        <v>167</v>
      </c>
      <c r="E2625" s="20" t="n">
        <v>38449</v>
      </c>
      <c r="F2625" s="20" t="n">
        <v>195000</v>
      </c>
    </row>
    <row r="2626" customFormat="false" ht="15" hidden="false" customHeight="false" outlineLevel="0" collapsed="false">
      <c r="A2626" s="22" t="n">
        <v>46202</v>
      </c>
      <c r="B2626" s="19" t="s">
        <v>51</v>
      </c>
      <c r="C2626" s="19" t="s">
        <v>12</v>
      </c>
      <c r="D2626" s="19" t="s">
        <v>138</v>
      </c>
      <c r="E2626" s="20" t="n">
        <v>317569</v>
      </c>
      <c r="F2626" s="20" t="n">
        <v>1764000</v>
      </c>
    </row>
    <row r="2627" customFormat="false" ht="15" hidden="false" customHeight="false" outlineLevel="0" collapsed="false">
      <c r="A2627" s="22" t="n">
        <v>46202</v>
      </c>
      <c r="B2627" s="19" t="s">
        <v>51</v>
      </c>
      <c r="C2627" s="19" t="s">
        <v>12</v>
      </c>
      <c r="D2627" s="19" t="s">
        <v>165</v>
      </c>
      <c r="E2627" s="20" t="n">
        <v>21115</v>
      </c>
      <c r="F2627" s="20" t="n">
        <v>109000</v>
      </c>
    </row>
    <row r="2628" customFormat="false" ht="15" hidden="false" customHeight="false" outlineLevel="0" collapsed="false">
      <c r="A2628" s="22" t="n">
        <v>46202</v>
      </c>
      <c r="B2628" s="19" t="s">
        <v>51</v>
      </c>
      <c r="C2628" s="19" t="s">
        <v>11</v>
      </c>
      <c r="D2628" s="19" t="s">
        <v>145</v>
      </c>
      <c r="E2628" s="20" t="n">
        <v>155395</v>
      </c>
      <c r="F2628" s="20" t="n">
        <v>584100</v>
      </c>
    </row>
    <row r="2629" customFormat="false" ht="15" hidden="false" customHeight="false" outlineLevel="0" collapsed="false">
      <c r="A2629" s="22" t="n">
        <v>46202</v>
      </c>
      <c r="B2629" s="19" t="s">
        <v>51</v>
      </c>
      <c r="C2629" s="19" t="s">
        <v>14</v>
      </c>
      <c r="D2629" s="19" t="s">
        <v>142</v>
      </c>
      <c r="E2629" s="20" t="n">
        <v>25987</v>
      </c>
      <c r="F2629" s="20" t="n">
        <v>79000</v>
      </c>
    </row>
    <row r="2630" customFormat="false" ht="15" hidden="false" customHeight="false" outlineLevel="0" collapsed="false">
      <c r="A2630" s="22" t="n">
        <v>46202</v>
      </c>
      <c r="B2630" s="19" t="s">
        <v>51</v>
      </c>
      <c r="C2630" s="19" t="s">
        <v>12</v>
      </c>
      <c r="D2630" s="19" t="s">
        <v>164</v>
      </c>
      <c r="E2630" s="20" t="n">
        <v>5041</v>
      </c>
      <c r="F2630" s="20" t="n">
        <v>0</v>
      </c>
    </row>
    <row r="2631" customFormat="false" ht="15" hidden="false" customHeight="false" outlineLevel="0" collapsed="false">
      <c r="A2631" s="22" t="n">
        <v>46202</v>
      </c>
      <c r="B2631" s="19" t="s">
        <v>51</v>
      </c>
      <c r="C2631" s="19" t="s">
        <v>11</v>
      </c>
      <c r="D2631" s="19" t="s">
        <v>144</v>
      </c>
      <c r="E2631" s="20" t="n">
        <v>6497</v>
      </c>
      <c r="F2631" s="20" t="n">
        <v>0</v>
      </c>
    </row>
    <row r="2632" customFormat="false" ht="15" hidden="false" customHeight="false" outlineLevel="0" collapsed="false">
      <c r="A2632" s="22" t="n">
        <v>46202</v>
      </c>
      <c r="B2632" s="19" t="s">
        <v>51</v>
      </c>
      <c r="C2632" s="19" t="s">
        <v>14</v>
      </c>
      <c r="D2632" s="19" t="s">
        <v>73</v>
      </c>
      <c r="E2632" s="20" t="n">
        <v>439</v>
      </c>
      <c r="F2632" s="20" t="n">
        <v>0</v>
      </c>
    </row>
    <row r="2633" customFormat="false" ht="15" hidden="false" customHeight="false" outlineLevel="0" collapsed="false">
      <c r="A2633" s="22" t="n">
        <v>46202</v>
      </c>
      <c r="B2633" s="19" t="s">
        <v>51</v>
      </c>
      <c r="C2633" s="19" t="s">
        <v>13</v>
      </c>
      <c r="D2633" s="19" t="s">
        <v>166</v>
      </c>
      <c r="E2633" s="20" t="n">
        <v>593520</v>
      </c>
      <c r="F2633" s="20" t="n">
        <v>3275100</v>
      </c>
    </row>
    <row r="2634" customFormat="false" ht="15" hidden="false" customHeight="false" outlineLevel="0" collapsed="false">
      <c r="A2634" s="22" t="n">
        <v>46202</v>
      </c>
      <c r="B2634" s="19" t="s">
        <v>51</v>
      </c>
      <c r="C2634" s="19" t="s">
        <v>12</v>
      </c>
      <c r="D2634" s="19" t="s">
        <v>122</v>
      </c>
      <c r="E2634" s="20" t="n">
        <v>162661</v>
      </c>
      <c r="F2634" s="20" t="n">
        <v>398000</v>
      </c>
    </row>
    <row r="2635" customFormat="false" ht="15" hidden="false" customHeight="false" outlineLevel="0" collapsed="false">
      <c r="A2635" s="22" t="n">
        <v>46202</v>
      </c>
      <c r="B2635" s="19" t="s">
        <v>51</v>
      </c>
      <c r="C2635" s="19" t="s">
        <v>13</v>
      </c>
      <c r="D2635" s="19" t="s">
        <v>167</v>
      </c>
      <c r="E2635" s="20" t="n">
        <v>106771</v>
      </c>
      <c r="F2635" s="20" t="n">
        <v>653000</v>
      </c>
    </row>
    <row r="2636" customFormat="false" ht="15" hidden="false" customHeight="false" outlineLevel="0" collapsed="false">
      <c r="A2636" s="22" t="n">
        <v>46202</v>
      </c>
      <c r="B2636" s="19" t="s">
        <v>51</v>
      </c>
      <c r="C2636" s="19" t="s">
        <v>12</v>
      </c>
      <c r="D2636" s="19" t="s">
        <v>169</v>
      </c>
      <c r="E2636" s="20" t="n">
        <v>144230</v>
      </c>
      <c r="F2636" s="20" t="n">
        <v>821900</v>
      </c>
    </row>
    <row r="2637" customFormat="false" ht="15" hidden="false" customHeight="false" outlineLevel="0" collapsed="false">
      <c r="A2637" s="22" t="n">
        <v>46202</v>
      </c>
      <c r="B2637" s="19" t="s">
        <v>51</v>
      </c>
      <c r="C2637" s="19" t="s">
        <v>14</v>
      </c>
      <c r="D2637" s="19" t="s">
        <v>147</v>
      </c>
      <c r="E2637" s="20" t="n">
        <v>31448</v>
      </c>
      <c r="F2637" s="20" t="n">
        <v>148000</v>
      </c>
    </row>
    <row r="2638" customFormat="false" ht="15" hidden="false" customHeight="false" outlineLevel="0" collapsed="false">
      <c r="A2638" s="22" t="n">
        <v>46203</v>
      </c>
      <c r="B2638" s="19" t="s">
        <v>51</v>
      </c>
      <c r="C2638" s="19" t="s">
        <v>12</v>
      </c>
      <c r="D2638" s="19" t="s">
        <v>138</v>
      </c>
      <c r="E2638" s="20" t="n">
        <v>680000</v>
      </c>
      <c r="F2638" s="20" t="n">
        <v>4864760</v>
      </c>
    </row>
    <row r="2639" customFormat="false" ht="15" hidden="false" customHeight="false" outlineLevel="0" collapsed="false">
      <c r="A2639" s="22" t="n">
        <v>46203</v>
      </c>
      <c r="B2639" s="19" t="s">
        <v>51</v>
      </c>
      <c r="C2639" s="19" t="s">
        <v>12</v>
      </c>
      <c r="D2639" s="19" t="s">
        <v>165</v>
      </c>
      <c r="E2639" s="20" t="n">
        <v>104455</v>
      </c>
      <c r="F2639" s="20" t="n">
        <v>624760</v>
      </c>
    </row>
    <row r="2640" customFormat="false" ht="15" hidden="false" customHeight="false" outlineLevel="0" collapsed="false">
      <c r="A2640" s="22" t="n">
        <v>46203</v>
      </c>
      <c r="B2640" s="19" t="s">
        <v>51</v>
      </c>
      <c r="C2640" s="19" t="s">
        <v>14</v>
      </c>
      <c r="D2640" s="19" t="s">
        <v>73</v>
      </c>
      <c r="E2640" s="20" t="n">
        <v>48458</v>
      </c>
      <c r="F2640" s="20" t="n">
        <v>257000</v>
      </c>
    </row>
    <row r="2641" customFormat="false" ht="15" hidden="false" customHeight="false" outlineLevel="0" collapsed="false">
      <c r="A2641" s="22" t="n">
        <v>46203</v>
      </c>
      <c r="B2641" s="19" t="s">
        <v>51</v>
      </c>
      <c r="C2641" s="19" t="s">
        <v>14</v>
      </c>
      <c r="D2641" s="19" t="s">
        <v>142</v>
      </c>
      <c r="E2641" s="20" t="n">
        <v>27320</v>
      </c>
      <c r="F2641" s="20" t="n">
        <v>316000</v>
      </c>
    </row>
    <row r="2642" customFormat="false" ht="15" hidden="false" customHeight="false" outlineLevel="0" collapsed="false">
      <c r="A2642" s="22" t="n">
        <v>46203</v>
      </c>
      <c r="B2642" s="19" t="s">
        <v>51</v>
      </c>
      <c r="C2642" s="19" t="s">
        <v>12</v>
      </c>
      <c r="D2642" s="19" t="s">
        <v>164</v>
      </c>
      <c r="E2642" s="20" t="n">
        <v>1200</v>
      </c>
      <c r="F2642" s="20" t="n">
        <v>0</v>
      </c>
    </row>
    <row r="2643" customFormat="false" ht="15" hidden="false" customHeight="false" outlineLevel="0" collapsed="false">
      <c r="A2643" s="22" t="n">
        <v>46203</v>
      </c>
      <c r="B2643" s="19" t="s">
        <v>51</v>
      </c>
      <c r="C2643" s="19" t="s">
        <v>11</v>
      </c>
      <c r="D2643" s="19" t="s">
        <v>145</v>
      </c>
      <c r="E2643" s="20" t="n">
        <v>19597</v>
      </c>
      <c r="F2643" s="20" t="n">
        <v>0</v>
      </c>
    </row>
    <row r="2644" customFormat="false" ht="15" hidden="false" customHeight="false" outlineLevel="0" collapsed="false">
      <c r="A2644" s="22" t="n">
        <v>46203</v>
      </c>
      <c r="B2644" s="19" t="s">
        <v>51</v>
      </c>
      <c r="C2644" s="19" t="s">
        <v>11</v>
      </c>
      <c r="D2644" s="19" t="s">
        <v>144</v>
      </c>
      <c r="E2644" s="20" t="n">
        <v>8883</v>
      </c>
      <c r="F2644" s="20" t="n">
        <v>259700</v>
      </c>
    </row>
    <row r="2645" customFormat="false" ht="15" hidden="false" customHeight="false" outlineLevel="0" collapsed="false">
      <c r="A2645" s="22" t="n">
        <v>46203</v>
      </c>
      <c r="B2645" s="19" t="s">
        <v>51</v>
      </c>
      <c r="C2645" s="19" t="s">
        <v>13</v>
      </c>
      <c r="D2645" s="19" t="s">
        <v>166</v>
      </c>
      <c r="E2645" s="20" t="n">
        <v>738775</v>
      </c>
      <c r="F2645" s="20" t="n">
        <v>3866640</v>
      </c>
    </row>
    <row r="2646" customFormat="false" ht="15" hidden="false" customHeight="false" outlineLevel="0" collapsed="false">
      <c r="A2646" s="22" t="n">
        <v>46203</v>
      </c>
      <c r="B2646" s="19" t="s">
        <v>51</v>
      </c>
      <c r="C2646" s="19" t="s">
        <v>12</v>
      </c>
      <c r="D2646" s="19" t="s">
        <v>169</v>
      </c>
      <c r="E2646" s="20" t="n">
        <v>550000</v>
      </c>
      <c r="F2646" s="20" t="n">
        <v>3603800</v>
      </c>
    </row>
    <row r="2647" customFormat="false" ht="15" hidden="false" customHeight="false" outlineLevel="0" collapsed="false">
      <c r="A2647" s="22" t="n">
        <v>46203</v>
      </c>
      <c r="B2647" s="19" t="s">
        <v>51</v>
      </c>
      <c r="C2647" s="19" t="s">
        <v>12</v>
      </c>
      <c r="D2647" s="19" t="s">
        <v>122</v>
      </c>
      <c r="E2647" s="20" t="n">
        <v>54507</v>
      </c>
      <c r="F2647" s="20" t="n">
        <v>0</v>
      </c>
    </row>
    <row r="2648" customFormat="false" ht="15" hidden="false" customHeight="false" outlineLevel="0" collapsed="false">
      <c r="A2648" s="22" t="n">
        <v>46203</v>
      </c>
      <c r="B2648" s="19" t="s">
        <v>51</v>
      </c>
      <c r="C2648" s="19" t="s">
        <v>13</v>
      </c>
      <c r="D2648" s="19" t="s">
        <v>167</v>
      </c>
      <c r="E2648" s="20" t="n">
        <v>243719</v>
      </c>
      <c r="F2648" s="20" t="n">
        <v>984500</v>
      </c>
    </row>
    <row r="2649" customFormat="false" ht="15" hidden="false" customHeight="false" outlineLevel="0" collapsed="false">
      <c r="A2649" s="22" t="n">
        <v>46203</v>
      </c>
      <c r="B2649" s="19" t="s">
        <v>51</v>
      </c>
      <c r="C2649" s="19" t="s">
        <v>14</v>
      </c>
      <c r="D2649" s="19" t="s">
        <v>147</v>
      </c>
      <c r="E2649" s="20" t="n">
        <v>51683</v>
      </c>
      <c r="F2649" s="20" t="n">
        <v>257000</v>
      </c>
    </row>
    <row r="2650" customFormat="false" ht="15" hidden="false" customHeight="false" outlineLevel="0" collapsed="false">
      <c r="A2650" s="22" t="n">
        <v>46203</v>
      </c>
      <c r="B2650" s="19" t="s">
        <v>51</v>
      </c>
      <c r="C2650" s="19" t="s">
        <v>12</v>
      </c>
      <c r="D2650" s="19" t="s">
        <v>162</v>
      </c>
      <c r="E2650" s="20" t="n">
        <v>10804</v>
      </c>
      <c r="F2650" s="20" t="n">
        <v>0</v>
      </c>
    </row>
    <row r="2651" customFormat="false" ht="15" hidden="false" customHeight="false" outlineLevel="0" collapsed="false">
      <c r="A2651" s="22" t="n">
        <v>46204</v>
      </c>
      <c r="B2651" s="19" t="s">
        <v>51</v>
      </c>
      <c r="C2651" s="19" t="s">
        <v>12</v>
      </c>
      <c r="D2651" s="19" t="s">
        <v>138</v>
      </c>
      <c r="E2651" s="20" t="n">
        <v>900000</v>
      </c>
      <c r="F2651" s="20" t="n">
        <v>5814340</v>
      </c>
    </row>
    <row r="2652" customFormat="false" ht="15" hidden="false" customHeight="false" outlineLevel="0" collapsed="false">
      <c r="A2652" s="22" t="n">
        <v>46204</v>
      </c>
      <c r="B2652" s="19" t="s">
        <v>51</v>
      </c>
      <c r="C2652" s="19" t="s">
        <v>12</v>
      </c>
      <c r="D2652" s="19" t="s">
        <v>165</v>
      </c>
      <c r="E2652" s="20" t="n">
        <v>81349</v>
      </c>
      <c r="F2652" s="20" t="n">
        <v>394760</v>
      </c>
    </row>
    <row r="2653" customFormat="false" ht="15" hidden="false" customHeight="false" outlineLevel="0" collapsed="false">
      <c r="A2653" s="22" t="n">
        <v>46204</v>
      </c>
      <c r="B2653" s="19" t="s">
        <v>51</v>
      </c>
      <c r="C2653" s="19" t="s">
        <v>14</v>
      </c>
      <c r="D2653" s="19" t="s">
        <v>73</v>
      </c>
      <c r="E2653" s="20" t="n">
        <v>135882</v>
      </c>
      <c r="F2653" s="20" t="n">
        <v>662000</v>
      </c>
    </row>
    <row r="2654" customFormat="false" ht="15" hidden="false" customHeight="false" outlineLevel="0" collapsed="false">
      <c r="A2654" s="22" t="n">
        <v>46204</v>
      </c>
      <c r="B2654" s="19" t="s">
        <v>51</v>
      </c>
      <c r="C2654" s="19" t="s">
        <v>11</v>
      </c>
      <c r="D2654" s="19" t="s">
        <v>144</v>
      </c>
      <c r="E2654" s="20" t="n">
        <v>24152</v>
      </c>
      <c r="F2654" s="20" t="n">
        <v>0</v>
      </c>
    </row>
    <row r="2655" customFormat="false" ht="15" hidden="false" customHeight="false" outlineLevel="0" collapsed="false">
      <c r="A2655" s="22" t="n">
        <v>46204</v>
      </c>
      <c r="B2655" s="19" t="s">
        <v>51</v>
      </c>
      <c r="C2655" s="19" t="s">
        <v>11</v>
      </c>
      <c r="D2655" s="19" t="s">
        <v>145</v>
      </c>
      <c r="E2655" s="20" t="n">
        <v>24509</v>
      </c>
      <c r="F2655" s="20" t="n">
        <v>0</v>
      </c>
    </row>
    <row r="2656" customFormat="false" ht="15" hidden="false" customHeight="false" outlineLevel="0" collapsed="false">
      <c r="A2656" s="22" t="n">
        <v>46204</v>
      </c>
      <c r="B2656" s="19" t="s">
        <v>51</v>
      </c>
      <c r="C2656" s="19" t="s">
        <v>14</v>
      </c>
      <c r="D2656" s="19" t="s">
        <v>142</v>
      </c>
      <c r="E2656" s="20" t="n">
        <v>40107</v>
      </c>
      <c r="F2656" s="20" t="n">
        <v>158000</v>
      </c>
    </row>
    <row r="2657" customFormat="false" ht="15" hidden="false" customHeight="false" outlineLevel="0" collapsed="false">
      <c r="A2657" s="22" t="n">
        <v>46204</v>
      </c>
      <c r="B2657" s="19" t="s">
        <v>51</v>
      </c>
      <c r="C2657" s="19" t="s">
        <v>12</v>
      </c>
      <c r="D2657" s="19" t="s">
        <v>164</v>
      </c>
      <c r="E2657" s="20" t="n">
        <v>3994</v>
      </c>
      <c r="F2657" s="20" t="n">
        <v>0</v>
      </c>
    </row>
    <row r="2658" customFormat="false" ht="15" hidden="false" customHeight="false" outlineLevel="0" collapsed="false">
      <c r="A2658" s="22" t="n">
        <v>46204</v>
      </c>
      <c r="B2658" s="19" t="s">
        <v>51</v>
      </c>
      <c r="C2658" s="19" t="s">
        <v>12</v>
      </c>
      <c r="D2658" s="19" t="s">
        <v>122</v>
      </c>
      <c r="E2658" s="20" t="n">
        <v>260686</v>
      </c>
      <c r="F2658" s="20" t="n">
        <v>597000</v>
      </c>
    </row>
    <row r="2659" customFormat="false" ht="15" hidden="false" customHeight="false" outlineLevel="0" collapsed="false">
      <c r="A2659" s="22" t="n">
        <v>46204</v>
      </c>
      <c r="B2659" s="19" t="s">
        <v>51</v>
      </c>
      <c r="C2659" s="19" t="s">
        <v>13</v>
      </c>
      <c r="D2659" s="19" t="s">
        <v>166</v>
      </c>
      <c r="E2659" s="20" t="n">
        <v>516854</v>
      </c>
      <c r="F2659" s="20" t="n">
        <v>2507000</v>
      </c>
    </row>
    <row r="2660" customFormat="false" ht="15" hidden="false" customHeight="false" outlineLevel="0" collapsed="false">
      <c r="A2660" s="22" t="n">
        <v>46204</v>
      </c>
      <c r="B2660" s="19" t="s">
        <v>51</v>
      </c>
      <c r="C2660" s="19" t="s">
        <v>14</v>
      </c>
      <c r="D2660" s="19" t="s">
        <v>147</v>
      </c>
      <c r="E2660" s="20" t="n">
        <v>129071</v>
      </c>
      <c r="F2660" s="20" t="n">
        <v>559640</v>
      </c>
    </row>
    <row r="2661" customFormat="false" ht="15" hidden="false" customHeight="false" outlineLevel="0" collapsed="false">
      <c r="A2661" s="22" t="n">
        <v>46204</v>
      </c>
      <c r="B2661" s="19" t="s">
        <v>51</v>
      </c>
      <c r="C2661" s="19" t="s">
        <v>12</v>
      </c>
      <c r="D2661" s="19" t="s">
        <v>169</v>
      </c>
      <c r="E2661" s="20" t="n">
        <v>161752</v>
      </c>
      <c r="F2661" s="20" t="n">
        <v>0</v>
      </c>
    </row>
    <row r="2662" customFormat="false" ht="15" hidden="false" customHeight="false" outlineLevel="0" collapsed="false">
      <c r="A2662" s="22" t="n">
        <v>46204</v>
      </c>
      <c r="B2662" s="19" t="s">
        <v>51</v>
      </c>
      <c r="C2662" s="19" t="s">
        <v>13</v>
      </c>
      <c r="D2662" s="19" t="s">
        <v>167</v>
      </c>
      <c r="E2662" s="20" t="n">
        <v>64521</v>
      </c>
      <c r="F2662" s="20" t="n">
        <v>338100</v>
      </c>
    </row>
    <row r="2663" customFormat="false" ht="15" hidden="false" customHeight="false" outlineLevel="0" collapsed="false">
      <c r="A2663" s="22" t="n">
        <v>46204</v>
      </c>
      <c r="B2663" s="19" t="s">
        <v>51</v>
      </c>
      <c r="C2663" s="19" t="s">
        <v>12</v>
      </c>
      <c r="D2663" s="19" t="s">
        <v>162</v>
      </c>
      <c r="E2663" s="20" t="n">
        <v>16061</v>
      </c>
      <c r="F2663" s="20" t="n">
        <v>0</v>
      </c>
    </row>
    <row r="2664" customFormat="false" ht="15" hidden="false" customHeight="false" outlineLevel="0" collapsed="false">
      <c r="A2664" s="22" t="n">
        <v>46205</v>
      </c>
      <c r="B2664" s="19" t="s">
        <v>51</v>
      </c>
      <c r="C2664" s="19" t="s">
        <v>12</v>
      </c>
      <c r="D2664" s="19" t="s">
        <v>138</v>
      </c>
      <c r="E2664" s="20" t="n">
        <v>323659</v>
      </c>
      <c r="F2664" s="20" t="n">
        <v>960240</v>
      </c>
    </row>
    <row r="2665" customFormat="false" ht="15" hidden="false" customHeight="false" outlineLevel="0" collapsed="false">
      <c r="A2665" s="22" t="n">
        <v>46205</v>
      </c>
      <c r="B2665" s="19" t="s">
        <v>51</v>
      </c>
      <c r="C2665" s="19" t="s">
        <v>12</v>
      </c>
      <c r="D2665" s="19" t="s">
        <v>165</v>
      </c>
      <c r="E2665" s="20" t="n">
        <v>103655</v>
      </c>
      <c r="F2665" s="20" t="n">
        <v>623280</v>
      </c>
    </row>
    <row r="2666" customFormat="false" ht="15" hidden="false" customHeight="false" outlineLevel="0" collapsed="false">
      <c r="A2666" s="22" t="n">
        <v>46205</v>
      </c>
      <c r="B2666" s="19" t="s">
        <v>51</v>
      </c>
      <c r="C2666" s="19" t="s">
        <v>14</v>
      </c>
      <c r="D2666" s="19" t="s">
        <v>73</v>
      </c>
      <c r="E2666" s="20" t="n">
        <v>33528</v>
      </c>
      <c r="F2666" s="20" t="n">
        <v>115000</v>
      </c>
    </row>
    <row r="2667" customFormat="false" ht="15" hidden="false" customHeight="false" outlineLevel="0" collapsed="false">
      <c r="A2667" s="22" t="n">
        <v>46205</v>
      </c>
      <c r="B2667" s="19" t="s">
        <v>51</v>
      </c>
      <c r="C2667" s="19" t="s">
        <v>12</v>
      </c>
      <c r="D2667" s="19" t="s">
        <v>164</v>
      </c>
      <c r="E2667" s="20" t="n">
        <v>3319</v>
      </c>
      <c r="F2667" s="20" t="n">
        <v>0</v>
      </c>
    </row>
    <row r="2668" customFormat="false" ht="15" hidden="false" customHeight="false" outlineLevel="0" collapsed="false">
      <c r="A2668" s="22" t="n">
        <v>46205</v>
      </c>
      <c r="B2668" s="19" t="s">
        <v>51</v>
      </c>
      <c r="C2668" s="19" t="s">
        <v>11</v>
      </c>
      <c r="D2668" s="19" t="s">
        <v>144</v>
      </c>
      <c r="E2668" s="20" t="n">
        <v>28108</v>
      </c>
      <c r="F2668" s="20" t="n">
        <v>0</v>
      </c>
    </row>
    <row r="2669" customFormat="false" ht="15" hidden="false" customHeight="false" outlineLevel="0" collapsed="false">
      <c r="A2669" s="22" t="n">
        <v>46205</v>
      </c>
      <c r="B2669" s="19" t="s">
        <v>51</v>
      </c>
      <c r="C2669" s="19" t="s">
        <v>11</v>
      </c>
      <c r="D2669" s="19" t="s">
        <v>145</v>
      </c>
      <c r="E2669" s="20" t="n">
        <v>8685</v>
      </c>
      <c r="F2669" s="20" t="n">
        <v>0</v>
      </c>
    </row>
    <row r="2670" customFormat="false" ht="15" hidden="false" customHeight="false" outlineLevel="0" collapsed="false">
      <c r="A2670" s="22" t="n">
        <v>46205</v>
      </c>
      <c r="B2670" s="19" t="s">
        <v>51</v>
      </c>
      <c r="C2670" s="19" t="s">
        <v>14</v>
      </c>
      <c r="D2670" s="19" t="s">
        <v>142</v>
      </c>
      <c r="E2670" s="20" t="n">
        <v>2151</v>
      </c>
      <c r="F2670" s="20" t="n">
        <v>0</v>
      </c>
    </row>
    <row r="2671" customFormat="false" ht="15" hidden="false" customHeight="false" outlineLevel="0" collapsed="false">
      <c r="A2671" s="22" t="n">
        <v>46205</v>
      </c>
      <c r="B2671" s="19" t="s">
        <v>51</v>
      </c>
      <c r="C2671" s="19" t="s">
        <v>12</v>
      </c>
      <c r="D2671" s="19" t="s">
        <v>122</v>
      </c>
      <c r="E2671" s="20" t="n">
        <v>445144</v>
      </c>
      <c r="F2671" s="20" t="n">
        <v>2183000</v>
      </c>
    </row>
    <row r="2672" customFormat="false" ht="15" hidden="false" customHeight="false" outlineLevel="0" collapsed="false">
      <c r="A2672" s="22" t="n">
        <v>46205</v>
      </c>
      <c r="B2672" s="19" t="s">
        <v>51</v>
      </c>
      <c r="C2672" s="19" t="s">
        <v>13</v>
      </c>
      <c r="D2672" s="19" t="s">
        <v>166</v>
      </c>
      <c r="E2672" s="20" t="n">
        <v>486620</v>
      </c>
      <c r="F2672" s="20" t="n">
        <v>2829120</v>
      </c>
    </row>
    <row r="2673" customFormat="false" ht="15" hidden="false" customHeight="false" outlineLevel="0" collapsed="false">
      <c r="A2673" s="22" t="n">
        <v>46205</v>
      </c>
      <c r="B2673" s="19" t="s">
        <v>51</v>
      </c>
      <c r="C2673" s="19" t="s">
        <v>12</v>
      </c>
      <c r="D2673" s="19" t="s">
        <v>169</v>
      </c>
      <c r="E2673" s="20" t="n">
        <v>220623</v>
      </c>
      <c r="F2673" s="20" t="n">
        <v>1142360</v>
      </c>
    </row>
    <row r="2674" customFormat="false" ht="15" hidden="false" customHeight="false" outlineLevel="0" collapsed="false">
      <c r="A2674" s="22" t="n">
        <v>46205</v>
      </c>
      <c r="B2674" s="19" t="s">
        <v>51</v>
      </c>
      <c r="C2674" s="19" t="s">
        <v>14</v>
      </c>
      <c r="D2674" s="19" t="s">
        <v>147</v>
      </c>
      <c r="E2674" s="20" t="n">
        <v>59957</v>
      </c>
      <c r="F2674" s="20" t="n">
        <v>297000</v>
      </c>
    </row>
    <row r="2675" customFormat="false" ht="15" hidden="false" customHeight="false" outlineLevel="0" collapsed="false">
      <c r="A2675" s="22" t="n">
        <v>46205</v>
      </c>
      <c r="B2675" s="19" t="s">
        <v>51</v>
      </c>
      <c r="C2675" s="19" t="s">
        <v>13</v>
      </c>
      <c r="D2675" s="19" t="s">
        <v>167</v>
      </c>
      <c r="E2675" s="20" t="n">
        <v>73113</v>
      </c>
      <c r="F2675" s="20" t="n">
        <v>390000</v>
      </c>
    </row>
    <row r="2676" customFormat="false" ht="15" hidden="false" customHeight="false" outlineLevel="0" collapsed="false">
      <c r="A2676" s="22" t="n">
        <v>46206</v>
      </c>
      <c r="B2676" s="19" t="s">
        <v>51</v>
      </c>
      <c r="C2676" s="19" t="s">
        <v>12</v>
      </c>
      <c r="D2676" s="19" t="s">
        <v>138</v>
      </c>
      <c r="E2676" s="20" t="n">
        <v>278411</v>
      </c>
      <c r="F2676" s="20" t="n">
        <v>2049197</v>
      </c>
    </row>
    <row r="2677" customFormat="false" ht="15" hidden="false" customHeight="false" outlineLevel="0" collapsed="false">
      <c r="A2677" s="22" t="n">
        <v>46206</v>
      </c>
      <c r="B2677" s="19" t="s">
        <v>51</v>
      </c>
      <c r="C2677" s="19" t="s">
        <v>12</v>
      </c>
      <c r="D2677" s="19" t="s">
        <v>165</v>
      </c>
      <c r="E2677" s="20" t="n">
        <v>109385</v>
      </c>
      <c r="F2677" s="20" t="n">
        <v>606000</v>
      </c>
    </row>
    <row r="2678" customFormat="false" ht="15" hidden="false" customHeight="false" outlineLevel="0" collapsed="false">
      <c r="A2678" s="22" t="n">
        <v>46206</v>
      </c>
      <c r="B2678" s="19" t="s">
        <v>51</v>
      </c>
      <c r="C2678" s="19" t="s">
        <v>12</v>
      </c>
      <c r="D2678" s="19" t="s">
        <v>164</v>
      </c>
      <c r="E2678" s="20" t="n">
        <v>19300</v>
      </c>
      <c r="F2678" s="20" t="n">
        <v>115000</v>
      </c>
    </row>
    <row r="2679" customFormat="false" ht="15" hidden="false" customHeight="false" outlineLevel="0" collapsed="false">
      <c r="A2679" s="22" t="n">
        <v>46206</v>
      </c>
      <c r="B2679" s="19" t="s">
        <v>51</v>
      </c>
      <c r="C2679" s="19" t="s">
        <v>14</v>
      </c>
      <c r="D2679" s="19" t="s">
        <v>73</v>
      </c>
      <c r="E2679" s="20" t="n">
        <v>89228</v>
      </c>
      <c r="F2679" s="20" t="n">
        <v>643000</v>
      </c>
    </row>
    <row r="2680" customFormat="false" ht="15" hidden="false" customHeight="false" outlineLevel="0" collapsed="false">
      <c r="A2680" s="22" t="n">
        <v>46206</v>
      </c>
      <c r="B2680" s="19" t="s">
        <v>51</v>
      </c>
      <c r="C2680" s="19" t="s">
        <v>11</v>
      </c>
      <c r="D2680" s="19" t="s">
        <v>144</v>
      </c>
      <c r="E2680" s="20" t="n">
        <v>20512</v>
      </c>
      <c r="F2680" s="20" t="n">
        <v>0</v>
      </c>
    </row>
    <row r="2681" customFormat="false" ht="15" hidden="false" customHeight="false" outlineLevel="0" collapsed="false">
      <c r="A2681" s="22" t="n">
        <v>46206</v>
      </c>
      <c r="B2681" s="19" t="s">
        <v>51</v>
      </c>
      <c r="C2681" s="19" t="s">
        <v>11</v>
      </c>
      <c r="D2681" s="19" t="s">
        <v>145</v>
      </c>
      <c r="E2681" s="20" t="n">
        <v>2556</v>
      </c>
      <c r="F2681" s="20" t="n">
        <v>0</v>
      </c>
    </row>
    <row r="2682" customFormat="false" ht="15" hidden="false" customHeight="false" outlineLevel="0" collapsed="false">
      <c r="A2682" s="22" t="n">
        <v>46206</v>
      </c>
      <c r="B2682" s="19" t="s">
        <v>51</v>
      </c>
      <c r="C2682" s="19" t="s">
        <v>14</v>
      </c>
      <c r="D2682" s="19" t="s">
        <v>142</v>
      </c>
      <c r="E2682" s="20" t="n">
        <v>1341</v>
      </c>
      <c r="F2682" s="20" t="n">
        <v>0</v>
      </c>
    </row>
    <row r="2683" customFormat="false" ht="15" hidden="false" customHeight="false" outlineLevel="0" collapsed="false">
      <c r="A2683" s="22" t="n">
        <v>46206</v>
      </c>
      <c r="B2683" s="19" t="s">
        <v>51</v>
      </c>
      <c r="C2683" s="19" t="s">
        <v>12</v>
      </c>
      <c r="D2683" s="19" t="s">
        <v>122</v>
      </c>
      <c r="E2683" s="20" t="n">
        <v>164420</v>
      </c>
      <c r="F2683" s="20" t="n">
        <v>605760</v>
      </c>
    </row>
    <row r="2684" customFormat="false" ht="15" hidden="false" customHeight="false" outlineLevel="0" collapsed="false">
      <c r="A2684" s="22" t="n">
        <v>46206</v>
      </c>
      <c r="B2684" s="19" t="s">
        <v>51</v>
      </c>
      <c r="C2684" s="19" t="s">
        <v>13</v>
      </c>
      <c r="D2684" s="19" t="s">
        <v>166</v>
      </c>
      <c r="E2684" s="20" t="n">
        <v>158920</v>
      </c>
      <c r="F2684" s="20" t="n">
        <v>874000</v>
      </c>
    </row>
    <row r="2685" customFormat="false" ht="15" hidden="false" customHeight="false" outlineLevel="0" collapsed="false">
      <c r="A2685" s="22" t="n">
        <v>46206</v>
      </c>
      <c r="B2685" s="19" t="s">
        <v>51</v>
      </c>
      <c r="C2685" s="19" t="s">
        <v>12</v>
      </c>
      <c r="D2685" s="19" t="s">
        <v>169</v>
      </c>
      <c r="E2685" s="20" t="n">
        <v>125120</v>
      </c>
      <c r="F2685" s="20" t="n">
        <v>841623</v>
      </c>
    </row>
    <row r="2686" customFormat="false" ht="15" hidden="false" customHeight="false" outlineLevel="0" collapsed="false">
      <c r="A2686" s="22" t="n">
        <v>46206</v>
      </c>
      <c r="B2686" s="19" t="s">
        <v>51</v>
      </c>
      <c r="C2686" s="19" t="s">
        <v>13</v>
      </c>
      <c r="D2686" s="19" t="s">
        <v>167</v>
      </c>
      <c r="E2686" s="20" t="n">
        <v>143071</v>
      </c>
      <c r="F2686" s="20" t="n">
        <v>780000</v>
      </c>
    </row>
    <row r="2687" customFormat="false" ht="15" hidden="false" customHeight="false" outlineLevel="0" collapsed="false">
      <c r="A2687" s="22" t="n">
        <v>46206</v>
      </c>
      <c r="B2687" s="19" t="s">
        <v>51</v>
      </c>
      <c r="C2687" s="19" t="s">
        <v>14</v>
      </c>
      <c r="D2687" s="19" t="s">
        <v>147</v>
      </c>
      <c r="E2687" s="20" t="n">
        <v>20316</v>
      </c>
      <c r="F2687" s="20" t="n">
        <v>0</v>
      </c>
    </row>
    <row r="2688" customFormat="false" ht="15" hidden="false" customHeight="false" outlineLevel="0" collapsed="false">
      <c r="A2688" s="22" t="n">
        <v>46206</v>
      </c>
      <c r="B2688" s="19" t="s">
        <v>51</v>
      </c>
      <c r="C2688" s="19" t="s">
        <v>13</v>
      </c>
      <c r="D2688" s="19" t="s">
        <v>163</v>
      </c>
      <c r="E2688" s="20" t="n">
        <v>71360</v>
      </c>
      <c r="F2688" s="20" t="n">
        <v>0</v>
      </c>
    </row>
    <row r="2689" customFormat="false" ht="15" hidden="false" customHeight="false" outlineLevel="0" collapsed="false">
      <c r="A2689" s="22" t="n">
        <v>46207</v>
      </c>
      <c r="B2689" s="19" t="s">
        <v>51</v>
      </c>
      <c r="C2689" s="19" t="s">
        <v>12</v>
      </c>
      <c r="D2689" s="19" t="s">
        <v>138</v>
      </c>
      <c r="E2689" s="20" t="n">
        <v>303701</v>
      </c>
      <c r="F2689" s="20" t="n">
        <v>1597000</v>
      </c>
    </row>
    <row r="2690" customFormat="false" ht="15" hidden="false" customHeight="false" outlineLevel="0" collapsed="false">
      <c r="A2690" s="22" t="n">
        <v>46207</v>
      </c>
      <c r="B2690" s="19" t="s">
        <v>51</v>
      </c>
      <c r="C2690" s="19" t="s">
        <v>12</v>
      </c>
      <c r="D2690" s="19" t="s">
        <v>165</v>
      </c>
      <c r="E2690" s="20" t="n">
        <v>19401</v>
      </c>
      <c r="F2690" s="20" t="n">
        <v>0</v>
      </c>
    </row>
    <row r="2691" customFormat="false" ht="15" hidden="false" customHeight="false" outlineLevel="0" collapsed="false">
      <c r="A2691" s="22" t="n">
        <v>46207</v>
      </c>
      <c r="B2691" s="19" t="s">
        <v>51</v>
      </c>
      <c r="C2691" s="19" t="s">
        <v>14</v>
      </c>
      <c r="D2691" s="19" t="s">
        <v>73</v>
      </c>
      <c r="E2691" s="20" t="n">
        <v>92561</v>
      </c>
      <c r="F2691" s="20" t="n">
        <v>455602</v>
      </c>
    </row>
    <row r="2692" customFormat="false" ht="15" hidden="false" customHeight="false" outlineLevel="0" collapsed="false">
      <c r="A2692" s="22" t="n">
        <v>46207</v>
      </c>
      <c r="B2692" s="19" t="s">
        <v>51</v>
      </c>
      <c r="C2692" s="19" t="s">
        <v>11</v>
      </c>
      <c r="D2692" s="19" t="s">
        <v>144</v>
      </c>
      <c r="E2692" s="20" t="n">
        <v>33585</v>
      </c>
      <c r="F2692" s="20" t="n">
        <v>0</v>
      </c>
    </row>
    <row r="2693" customFormat="false" ht="15" hidden="false" customHeight="false" outlineLevel="0" collapsed="false">
      <c r="A2693" s="22" t="n">
        <v>46207</v>
      </c>
      <c r="B2693" s="19" t="s">
        <v>51</v>
      </c>
      <c r="C2693" s="19" t="s">
        <v>12</v>
      </c>
      <c r="D2693" s="19" t="s">
        <v>164</v>
      </c>
      <c r="E2693" s="20" t="n">
        <v>3621</v>
      </c>
      <c r="F2693" s="20" t="n">
        <v>0</v>
      </c>
    </row>
    <row r="2694" customFormat="false" ht="15" hidden="false" customHeight="false" outlineLevel="0" collapsed="false">
      <c r="A2694" s="22" t="n">
        <v>46207</v>
      </c>
      <c r="B2694" s="19" t="s">
        <v>51</v>
      </c>
      <c r="C2694" s="19" t="s">
        <v>11</v>
      </c>
      <c r="D2694" s="19" t="s">
        <v>145</v>
      </c>
      <c r="E2694" s="20" t="n">
        <v>5427</v>
      </c>
      <c r="F2694" s="20" t="n">
        <v>0</v>
      </c>
    </row>
    <row r="2695" customFormat="false" ht="15" hidden="false" customHeight="false" outlineLevel="0" collapsed="false">
      <c r="A2695" s="22" t="n">
        <v>46207</v>
      </c>
      <c r="B2695" s="19" t="s">
        <v>51</v>
      </c>
      <c r="C2695" s="19" t="s">
        <v>14</v>
      </c>
      <c r="D2695" s="19" t="s">
        <v>142</v>
      </c>
      <c r="E2695" s="20" t="n">
        <v>2553</v>
      </c>
      <c r="F2695" s="20" t="n">
        <v>0</v>
      </c>
    </row>
    <row r="2696" customFormat="false" ht="15" hidden="false" customHeight="false" outlineLevel="0" collapsed="false">
      <c r="A2696" s="22" t="n">
        <v>46207</v>
      </c>
      <c r="B2696" s="19" t="s">
        <v>51</v>
      </c>
      <c r="C2696" s="19" t="s">
        <v>13</v>
      </c>
      <c r="D2696" s="19" t="s">
        <v>166</v>
      </c>
      <c r="E2696" s="20" t="n">
        <v>986129</v>
      </c>
      <c r="F2696" s="20" t="n">
        <v>5053000</v>
      </c>
    </row>
    <row r="2697" customFormat="false" ht="15" hidden="false" customHeight="false" outlineLevel="0" collapsed="false">
      <c r="A2697" s="22" t="n">
        <v>46207</v>
      </c>
      <c r="B2697" s="19" t="s">
        <v>51</v>
      </c>
      <c r="C2697" s="19" t="s">
        <v>12</v>
      </c>
      <c r="D2697" s="19" t="s">
        <v>122</v>
      </c>
      <c r="E2697" s="20" t="n">
        <v>126760</v>
      </c>
      <c r="F2697" s="20" t="n">
        <v>597000</v>
      </c>
    </row>
    <row r="2698" customFormat="false" ht="15" hidden="false" customHeight="false" outlineLevel="0" collapsed="false">
      <c r="A2698" s="22" t="n">
        <v>46207</v>
      </c>
      <c r="B2698" s="19" t="s">
        <v>51</v>
      </c>
      <c r="C2698" s="19" t="s">
        <v>12</v>
      </c>
      <c r="D2698" s="19" t="s">
        <v>169</v>
      </c>
      <c r="E2698" s="20" t="n">
        <v>175718</v>
      </c>
      <c r="F2698" s="20" t="n">
        <v>797500</v>
      </c>
    </row>
    <row r="2699" customFormat="false" ht="15" hidden="false" customHeight="false" outlineLevel="0" collapsed="false">
      <c r="A2699" s="22" t="n">
        <v>46207</v>
      </c>
      <c r="B2699" s="19" t="s">
        <v>51</v>
      </c>
      <c r="C2699" s="19" t="s">
        <v>14</v>
      </c>
      <c r="D2699" s="19" t="s">
        <v>147</v>
      </c>
      <c r="E2699" s="20" t="n">
        <v>61992</v>
      </c>
      <c r="F2699" s="20" t="n">
        <v>346000</v>
      </c>
    </row>
    <row r="2700" customFormat="false" ht="15" hidden="false" customHeight="false" outlineLevel="0" collapsed="false">
      <c r="A2700" s="22" t="n">
        <v>46207</v>
      </c>
      <c r="B2700" s="19" t="s">
        <v>51</v>
      </c>
      <c r="C2700" s="19" t="s">
        <v>13</v>
      </c>
      <c r="D2700" s="19" t="s">
        <v>167</v>
      </c>
      <c r="E2700" s="20" t="n">
        <v>108600</v>
      </c>
      <c r="F2700" s="20" t="n">
        <v>655398</v>
      </c>
    </row>
    <row r="2701" customFormat="false" ht="15" hidden="false" customHeight="false" outlineLevel="0" collapsed="false">
      <c r="A2701" s="22" t="n">
        <v>46208</v>
      </c>
      <c r="B2701" s="19" t="s">
        <v>51</v>
      </c>
      <c r="C2701" s="19" t="s">
        <v>12</v>
      </c>
      <c r="D2701" s="19" t="s">
        <v>138</v>
      </c>
      <c r="E2701" s="20" t="n">
        <v>84352</v>
      </c>
      <c r="F2701" s="20" t="n">
        <v>260000</v>
      </c>
    </row>
    <row r="2702" customFormat="false" ht="15" hidden="false" customHeight="false" outlineLevel="0" collapsed="false">
      <c r="A2702" s="22" t="n">
        <v>46208</v>
      </c>
      <c r="B2702" s="19" t="s">
        <v>51</v>
      </c>
      <c r="C2702" s="19" t="s">
        <v>12</v>
      </c>
      <c r="D2702" s="19" t="s">
        <v>165</v>
      </c>
      <c r="E2702" s="20" t="n">
        <v>25492</v>
      </c>
      <c r="F2702" s="20" t="n">
        <v>109000</v>
      </c>
    </row>
    <row r="2703" customFormat="false" ht="15" hidden="false" customHeight="false" outlineLevel="0" collapsed="false">
      <c r="A2703" s="22" t="n">
        <v>46208</v>
      </c>
      <c r="B2703" s="19" t="s">
        <v>51</v>
      </c>
      <c r="C2703" s="19" t="s">
        <v>11</v>
      </c>
      <c r="D2703" s="19" t="s">
        <v>144</v>
      </c>
      <c r="E2703" s="20" t="n">
        <v>48278</v>
      </c>
      <c r="F2703" s="20" t="n">
        <v>295000</v>
      </c>
    </row>
    <row r="2704" customFormat="false" ht="15" hidden="false" customHeight="false" outlineLevel="0" collapsed="false">
      <c r="A2704" s="22" t="n">
        <v>46208</v>
      </c>
      <c r="B2704" s="19" t="s">
        <v>51</v>
      </c>
      <c r="C2704" s="19" t="s">
        <v>12</v>
      </c>
      <c r="D2704" s="19" t="s">
        <v>164</v>
      </c>
      <c r="E2704" s="20" t="n">
        <v>1135</v>
      </c>
      <c r="F2704" s="20" t="n">
        <v>0</v>
      </c>
    </row>
    <row r="2705" customFormat="false" ht="15" hidden="false" customHeight="false" outlineLevel="0" collapsed="false">
      <c r="A2705" s="22" t="n">
        <v>46208</v>
      </c>
      <c r="B2705" s="19" t="s">
        <v>51</v>
      </c>
      <c r="C2705" s="19" t="s">
        <v>14</v>
      </c>
      <c r="D2705" s="19" t="s">
        <v>73</v>
      </c>
      <c r="E2705" s="20" t="n">
        <v>15358</v>
      </c>
      <c r="F2705" s="20" t="n">
        <v>0</v>
      </c>
    </row>
    <row r="2706" customFormat="false" ht="15" hidden="false" customHeight="false" outlineLevel="0" collapsed="false">
      <c r="A2706" s="22" t="n">
        <v>46208</v>
      </c>
      <c r="B2706" s="19" t="s">
        <v>51</v>
      </c>
      <c r="C2706" s="19" t="s">
        <v>11</v>
      </c>
      <c r="D2706" s="19" t="s">
        <v>145</v>
      </c>
      <c r="E2706" s="20" t="n">
        <v>5232</v>
      </c>
      <c r="F2706" s="20" t="n">
        <v>0</v>
      </c>
    </row>
    <row r="2707" customFormat="false" ht="15" hidden="false" customHeight="false" outlineLevel="0" collapsed="false">
      <c r="A2707" s="22" t="n">
        <v>46208</v>
      </c>
      <c r="B2707" s="19" t="s">
        <v>51</v>
      </c>
      <c r="C2707" s="19" t="s">
        <v>14</v>
      </c>
      <c r="D2707" s="19" t="s">
        <v>142</v>
      </c>
      <c r="E2707" s="20" t="n">
        <v>336</v>
      </c>
      <c r="F2707" s="20" t="n">
        <v>0</v>
      </c>
    </row>
    <row r="2708" customFormat="false" ht="15" hidden="false" customHeight="false" outlineLevel="0" collapsed="false">
      <c r="A2708" s="22" t="n">
        <v>46208</v>
      </c>
      <c r="B2708" s="19" t="s">
        <v>51</v>
      </c>
      <c r="C2708" s="19" t="s">
        <v>13</v>
      </c>
      <c r="D2708" s="19" t="s">
        <v>166</v>
      </c>
      <c r="E2708" s="20" t="n">
        <v>537528</v>
      </c>
      <c r="F2708" s="20" t="n">
        <v>2004100</v>
      </c>
    </row>
    <row r="2709" customFormat="false" ht="15" hidden="false" customHeight="false" outlineLevel="0" collapsed="false">
      <c r="A2709" s="22" t="n">
        <v>46208</v>
      </c>
      <c r="B2709" s="19" t="s">
        <v>51</v>
      </c>
      <c r="C2709" s="19" t="s">
        <v>12</v>
      </c>
      <c r="D2709" s="19" t="s">
        <v>122</v>
      </c>
      <c r="E2709" s="20" t="n">
        <v>123861</v>
      </c>
      <c r="F2709" s="20" t="n">
        <v>398000</v>
      </c>
    </row>
    <row r="2710" customFormat="false" ht="15" hidden="false" customHeight="false" outlineLevel="0" collapsed="false">
      <c r="A2710" s="22" t="n">
        <v>46208</v>
      </c>
      <c r="B2710" s="19" t="s">
        <v>51</v>
      </c>
      <c r="C2710" s="19" t="s">
        <v>14</v>
      </c>
      <c r="D2710" s="19" t="s">
        <v>147</v>
      </c>
      <c r="E2710" s="20" t="n">
        <v>48107</v>
      </c>
      <c r="F2710" s="20" t="n">
        <v>310660</v>
      </c>
    </row>
    <row r="2711" customFormat="false" ht="15" hidden="false" customHeight="false" outlineLevel="0" collapsed="false">
      <c r="A2711" s="22" t="n">
        <v>46208</v>
      </c>
      <c r="B2711" s="19" t="s">
        <v>51</v>
      </c>
      <c r="C2711" s="19" t="s">
        <v>12</v>
      </c>
      <c r="D2711" s="19" t="s">
        <v>169</v>
      </c>
      <c r="E2711" s="20" t="n">
        <v>69747</v>
      </c>
      <c r="F2711" s="20" t="n">
        <v>289100</v>
      </c>
    </row>
    <row r="2712" customFormat="false" ht="15" hidden="false" customHeight="false" outlineLevel="0" collapsed="false">
      <c r="A2712" s="22" t="n">
        <v>46208</v>
      </c>
      <c r="B2712" s="19" t="s">
        <v>51</v>
      </c>
      <c r="C2712" s="19" t="s">
        <v>13</v>
      </c>
      <c r="D2712" s="19" t="s">
        <v>167</v>
      </c>
      <c r="E2712" s="20" t="n">
        <v>22272</v>
      </c>
      <c r="F2712" s="20" t="n">
        <v>0</v>
      </c>
    </row>
    <row r="2713" customFormat="false" ht="15" hidden="false" customHeight="false" outlineLevel="0" collapsed="false">
      <c r="A2713" s="22" t="n">
        <v>46209</v>
      </c>
      <c r="B2713" s="19" t="s">
        <v>51</v>
      </c>
      <c r="C2713" s="19" t="s">
        <v>12</v>
      </c>
      <c r="D2713" s="19" t="s">
        <v>138</v>
      </c>
      <c r="E2713" s="20" t="n">
        <v>233360</v>
      </c>
      <c r="F2713" s="20" t="n">
        <v>1365000</v>
      </c>
    </row>
    <row r="2714" customFormat="false" ht="15" hidden="false" customHeight="false" outlineLevel="0" collapsed="false">
      <c r="A2714" s="22" t="n">
        <v>46209</v>
      </c>
      <c r="B2714" s="19" t="s">
        <v>51</v>
      </c>
      <c r="C2714" s="19" t="s">
        <v>12</v>
      </c>
      <c r="D2714" s="19" t="s">
        <v>165</v>
      </c>
      <c r="E2714" s="20" t="n">
        <v>13478</v>
      </c>
      <c r="F2714" s="20" t="n">
        <v>0</v>
      </c>
    </row>
    <row r="2715" customFormat="false" ht="15" hidden="false" customHeight="false" outlineLevel="0" collapsed="false">
      <c r="A2715" s="22" t="n">
        <v>46209</v>
      </c>
      <c r="B2715" s="19" t="s">
        <v>51</v>
      </c>
      <c r="C2715" s="19" t="s">
        <v>14</v>
      </c>
      <c r="D2715" s="19" t="s">
        <v>73</v>
      </c>
      <c r="E2715" s="20" t="n">
        <v>86819</v>
      </c>
      <c r="F2715" s="20" t="n">
        <v>479260</v>
      </c>
    </row>
    <row r="2716" customFormat="false" ht="15" hidden="false" customHeight="false" outlineLevel="0" collapsed="false">
      <c r="A2716" s="22" t="n">
        <v>46209</v>
      </c>
      <c r="B2716" s="19" t="s">
        <v>51</v>
      </c>
      <c r="C2716" s="19" t="s">
        <v>12</v>
      </c>
      <c r="D2716" s="19" t="s">
        <v>164</v>
      </c>
      <c r="E2716" s="20" t="n">
        <v>2499</v>
      </c>
      <c r="F2716" s="20" t="n">
        <v>0</v>
      </c>
    </row>
    <row r="2717" customFormat="false" ht="15" hidden="false" customHeight="false" outlineLevel="0" collapsed="false">
      <c r="A2717" s="22" t="n">
        <v>46209</v>
      </c>
      <c r="B2717" s="19" t="s">
        <v>51</v>
      </c>
      <c r="C2717" s="19" t="s">
        <v>14</v>
      </c>
      <c r="D2717" s="19" t="s">
        <v>142</v>
      </c>
      <c r="E2717" s="20" t="n">
        <v>11112</v>
      </c>
      <c r="F2717" s="20" t="n">
        <v>77420</v>
      </c>
    </row>
    <row r="2718" customFormat="false" ht="15" hidden="false" customHeight="false" outlineLevel="0" collapsed="false">
      <c r="A2718" s="22" t="n">
        <v>46209</v>
      </c>
      <c r="B2718" s="19" t="s">
        <v>51</v>
      </c>
      <c r="C2718" s="19" t="s">
        <v>11</v>
      </c>
      <c r="D2718" s="19" t="s">
        <v>145</v>
      </c>
      <c r="E2718" s="20" t="n">
        <v>3227</v>
      </c>
      <c r="F2718" s="20" t="n">
        <v>0</v>
      </c>
    </row>
    <row r="2719" customFormat="false" ht="15" hidden="false" customHeight="false" outlineLevel="0" collapsed="false">
      <c r="A2719" s="22" t="n">
        <v>46209</v>
      </c>
      <c r="B2719" s="19" t="s">
        <v>51</v>
      </c>
      <c r="C2719" s="19" t="s">
        <v>11</v>
      </c>
      <c r="D2719" s="19" t="s">
        <v>144</v>
      </c>
      <c r="E2719" s="20" t="n">
        <v>520</v>
      </c>
      <c r="F2719" s="20" t="n">
        <v>0</v>
      </c>
    </row>
    <row r="2720" customFormat="false" ht="15" hidden="false" customHeight="false" outlineLevel="0" collapsed="false">
      <c r="A2720" s="22" t="n">
        <v>46209</v>
      </c>
      <c r="B2720" s="19" t="s">
        <v>51</v>
      </c>
      <c r="C2720" s="19" t="s">
        <v>12</v>
      </c>
      <c r="D2720" s="19" t="s">
        <v>122</v>
      </c>
      <c r="E2720" s="20" t="n">
        <v>465375</v>
      </c>
      <c r="F2720" s="20" t="n">
        <v>2456000</v>
      </c>
    </row>
    <row r="2721" customFormat="false" ht="15" hidden="false" customHeight="false" outlineLevel="0" collapsed="false">
      <c r="A2721" s="22" t="n">
        <v>46209</v>
      </c>
      <c r="B2721" s="19" t="s">
        <v>51</v>
      </c>
      <c r="C2721" s="19" t="s">
        <v>13</v>
      </c>
      <c r="D2721" s="19" t="s">
        <v>166</v>
      </c>
      <c r="E2721" s="20" t="n">
        <v>956795</v>
      </c>
      <c r="F2721" s="20" t="n">
        <v>5371200</v>
      </c>
    </row>
    <row r="2722" customFormat="false" ht="15" hidden="false" customHeight="false" outlineLevel="0" collapsed="false">
      <c r="A2722" s="22" t="n">
        <v>46209</v>
      </c>
      <c r="B2722" s="19" t="s">
        <v>51</v>
      </c>
      <c r="C2722" s="19" t="s">
        <v>12</v>
      </c>
      <c r="D2722" s="19" t="s">
        <v>169</v>
      </c>
      <c r="E2722" s="20" t="n">
        <v>574766</v>
      </c>
      <c r="F2722" s="20" t="n">
        <v>3200500</v>
      </c>
    </row>
    <row r="2723" customFormat="false" ht="15" hidden="false" customHeight="false" outlineLevel="0" collapsed="false">
      <c r="A2723" s="22" t="n">
        <v>46209</v>
      </c>
      <c r="B2723" s="19" t="s">
        <v>51</v>
      </c>
      <c r="C2723" s="19" t="s">
        <v>13</v>
      </c>
      <c r="D2723" s="19" t="s">
        <v>167</v>
      </c>
      <c r="E2723" s="20" t="n">
        <v>104248</v>
      </c>
      <c r="F2723" s="20" t="n">
        <v>585000</v>
      </c>
    </row>
    <row r="2724" customFormat="false" ht="15" hidden="false" customHeight="false" outlineLevel="0" collapsed="false">
      <c r="A2724" s="22" t="n">
        <v>46209</v>
      </c>
      <c r="B2724" s="19" t="s">
        <v>51</v>
      </c>
      <c r="C2724" s="19" t="s">
        <v>14</v>
      </c>
      <c r="D2724" s="19" t="s">
        <v>147</v>
      </c>
      <c r="E2724" s="20" t="n">
        <v>15159</v>
      </c>
      <c r="F2724" s="20" t="n">
        <v>0</v>
      </c>
    </row>
    <row r="2725" customFormat="false" ht="15" hidden="false" customHeight="false" outlineLevel="0" collapsed="false">
      <c r="A2725" s="22" t="n">
        <v>46210</v>
      </c>
      <c r="B2725" s="19" t="s">
        <v>51</v>
      </c>
      <c r="C2725" s="19" t="s">
        <v>12</v>
      </c>
      <c r="D2725" s="19" t="s">
        <v>138</v>
      </c>
      <c r="E2725" s="20" t="n">
        <v>549992</v>
      </c>
      <c r="F2725" s="20" t="n">
        <v>3604220</v>
      </c>
    </row>
    <row r="2726" customFormat="false" ht="15" hidden="false" customHeight="false" outlineLevel="0" collapsed="false">
      <c r="A2726" s="22" t="n">
        <v>46210</v>
      </c>
      <c r="B2726" s="19" t="s">
        <v>51</v>
      </c>
      <c r="C2726" s="19" t="s">
        <v>12</v>
      </c>
      <c r="D2726" s="19" t="s">
        <v>165</v>
      </c>
      <c r="E2726" s="20" t="n">
        <v>277671</v>
      </c>
      <c r="F2726" s="20" t="n">
        <v>1279980</v>
      </c>
    </row>
    <row r="2727" customFormat="false" ht="15" hidden="false" customHeight="false" outlineLevel="0" collapsed="false">
      <c r="A2727" s="22" t="n">
        <v>46210</v>
      </c>
      <c r="B2727" s="19" t="s">
        <v>51</v>
      </c>
      <c r="C2727" s="19" t="s">
        <v>14</v>
      </c>
      <c r="D2727" s="19" t="s">
        <v>73</v>
      </c>
      <c r="E2727" s="20" t="n">
        <v>350000</v>
      </c>
      <c r="F2727" s="20" t="n">
        <v>2011660</v>
      </c>
    </row>
    <row r="2728" customFormat="false" ht="15" hidden="false" customHeight="false" outlineLevel="0" collapsed="false">
      <c r="A2728" s="22" t="n">
        <v>46210</v>
      </c>
      <c r="B2728" s="19" t="s">
        <v>51</v>
      </c>
      <c r="C2728" s="19" t="s">
        <v>11</v>
      </c>
      <c r="D2728" s="19" t="s">
        <v>144</v>
      </c>
      <c r="E2728" s="20" t="n">
        <v>69599</v>
      </c>
      <c r="F2728" s="20" t="n">
        <v>295000</v>
      </c>
    </row>
    <row r="2729" customFormat="false" ht="15" hidden="false" customHeight="false" outlineLevel="0" collapsed="false">
      <c r="A2729" s="22" t="n">
        <v>46210</v>
      </c>
      <c r="B2729" s="19" t="s">
        <v>51</v>
      </c>
      <c r="C2729" s="19" t="s">
        <v>12</v>
      </c>
      <c r="D2729" s="19" t="s">
        <v>164</v>
      </c>
      <c r="E2729" s="20" t="n">
        <v>12569</v>
      </c>
      <c r="F2729" s="20" t="n">
        <v>0</v>
      </c>
    </row>
    <row r="2730" customFormat="false" ht="15" hidden="false" customHeight="false" outlineLevel="0" collapsed="false">
      <c r="A2730" s="22" t="n">
        <v>46210</v>
      </c>
      <c r="B2730" s="19" t="s">
        <v>51</v>
      </c>
      <c r="C2730" s="19" t="s">
        <v>11</v>
      </c>
      <c r="D2730" s="19" t="s">
        <v>145</v>
      </c>
      <c r="E2730" s="20" t="n">
        <v>76308</v>
      </c>
      <c r="F2730" s="20" t="n">
        <v>0</v>
      </c>
    </row>
    <row r="2731" customFormat="false" ht="15" hidden="false" customHeight="false" outlineLevel="0" collapsed="false">
      <c r="A2731" s="22" t="n">
        <v>46210</v>
      </c>
      <c r="B2731" s="19" t="s">
        <v>51</v>
      </c>
      <c r="C2731" s="19" t="s">
        <v>14</v>
      </c>
      <c r="D2731" s="19" t="s">
        <v>142</v>
      </c>
      <c r="E2731" s="20" t="n">
        <v>76210</v>
      </c>
      <c r="F2731" s="20" t="n">
        <v>588000</v>
      </c>
    </row>
    <row r="2732" customFormat="false" ht="15" hidden="false" customHeight="false" outlineLevel="0" collapsed="false">
      <c r="A2732" s="22" t="n">
        <v>46210</v>
      </c>
      <c r="B2732" s="19" t="s">
        <v>51</v>
      </c>
      <c r="C2732" s="19" t="s">
        <v>12</v>
      </c>
      <c r="D2732" s="19" t="s">
        <v>170</v>
      </c>
      <c r="E2732" s="20" t="n">
        <v>300000</v>
      </c>
      <c r="F2732" s="20" t="n">
        <v>3529240</v>
      </c>
    </row>
    <row r="2733" customFormat="false" ht="15" hidden="false" customHeight="false" outlineLevel="0" collapsed="false">
      <c r="A2733" s="22" t="n">
        <v>46210</v>
      </c>
      <c r="B2733" s="19" t="s">
        <v>51</v>
      </c>
      <c r="C2733" s="19" t="s">
        <v>13</v>
      </c>
      <c r="D2733" s="19" t="s">
        <v>166</v>
      </c>
      <c r="E2733" s="20" t="n">
        <v>1000000</v>
      </c>
      <c r="F2733" s="20" t="n">
        <v>6631640</v>
      </c>
    </row>
    <row r="2734" customFormat="false" ht="15" hidden="false" customHeight="false" outlineLevel="0" collapsed="false">
      <c r="A2734" s="22" t="n">
        <v>46210</v>
      </c>
      <c r="B2734" s="19" t="s">
        <v>51</v>
      </c>
      <c r="C2734" s="19" t="s">
        <v>12</v>
      </c>
      <c r="D2734" s="19" t="s">
        <v>169</v>
      </c>
      <c r="E2734" s="20" t="n">
        <v>700000</v>
      </c>
      <c r="F2734" s="20" t="n">
        <v>4034720</v>
      </c>
    </row>
    <row r="2735" customFormat="false" ht="15" hidden="false" customHeight="false" outlineLevel="0" collapsed="false">
      <c r="A2735" s="22" t="n">
        <v>46210</v>
      </c>
      <c r="B2735" s="19" t="s">
        <v>51</v>
      </c>
      <c r="C2735" s="19" t="s">
        <v>14</v>
      </c>
      <c r="D2735" s="19" t="s">
        <v>147</v>
      </c>
      <c r="E2735" s="20" t="n">
        <v>227243</v>
      </c>
      <c r="F2735" s="20" t="n">
        <v>1179440</v>
      </c>
    </row>
    <row r="2736" customFormat="false" ht="15" hidden="false" customHeight="false" outlineLevel="0" collapsed="false">
      <c r="A2736" s="22" t="n">
        <v>46210</v>
      </c>
      <c r="B2736" s="19" t="s">
        <v>51</v>
      </c>
      <c r="C2736" s="19" t="s">
        <v>13</v>
      </c>
      <c r="D2736" s="19" t="s">
        <v>167</v>
      </c>
      <c r="E2736" s="20" t="n">
        <v>99319</v>
      </c>
      <c r="F2736" s="20" t="n">
        <v>505000</v>
      </c>
    </row>
    <row r="2737" customFormat="false" ht="15" hidden="false" customHeight="false" outlineLevel="0" collapsed="false">
      <c r="A2737" s="22" t="n">
        <v>46210</v>
      </c>
      <c r="B2737" s="19" t="s">
        <v>51</v>
      </c>
      <c r="C2737" s="19" t="s">
        <v>12</v>
      </c>
      <c r="D2737" s="19" t="s">
        <v>122</v>
      </c>
      <c r="E2737" s="20" t="n">
        <v>267283</v>
      </c>
      <c r="F2737" s="20" t="n">
        <v>1096040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5" min="4" style="0" width="55"/>
    <col collapsed="false" customWidth="true" hidden="false" outlineLevel="0" max="7" min="6" style="0" width="16"/>
  </cols>
  <sheetData>
    <row r="1" customFormat="false" ht="15" hidden="false" customHeight="false" outlineLevel="0" collapsed="false">
      <c r="A1" s="18" t="s">
        <v>53</v>
      </c>
      <c r="B1" s="18" t="s">
        <v>46</v>
      </c>
      <c r="C1" s="18" t="s">
        <v>54</v>
      </c>
      <c r="D1" s="18" t="s">
        <v>171</v>
      </c>
      <c r="E1" s="18" t="s">
        <v>55</v>
      </c>
      <c r="F1" s="18" t="s">
        <v>56</v>
      </c>
      <c r="G1" s="18" t="s">
        <v>57</v>
      </c>
    </row>
    <row r="2" customFormat="false" ht="15" hidden="false" customHeight="false" outlineLevel="0" collapsed="false">
      <c r="A2" s="22" t="n">
        <v>46113</v>
      </c>
      <c r="B2" s="19" t="s">
        <v>50</v>
      </c>
      <c r="C2" s="19" t="s">
        <v>11</v>
      </c>
      <c r="D2" s="19" t="s">
        <v>27</v>
      </c>
      <c r="E2" s="19" t="s">
        <v>63</v>
      </c>
      <c r="F2" s="20" t="n">
        <v>15595</v>
      </c>
      <c r="G2" s="20" t="n">
        <v>165750</v>
      </c>
    </row>
    <row r="3" customFormat="false" ht="15" hidden="false" customHeight="false" outlineLevel="0" collapsed="false">
      <c r="A3" s="22" t="n">
        <v>46113</v>
      </c>
      <c r="B3" s="19" t="s">
        <v>50</v>
      </c>
      <c r="C3" s="19" t="s">
        <v>13</v>
      </c>
      <c r="D3" s="19" t="s">
        <v>44</v>
      </c>
      <c r="E3" s="19" t="s">
        <v>64</v>
      </c>
      <c r="F3" s="20" t="n">
        <v>656110</v>
      </c>
      <c r="G3" s="20" t="n">
        <v>3616343</v>
      </c>
    </row>
    <row r="4" customFormat="false" ht="15" hidden="false" customHeight="false" outlineLevel="0" collapsed="false">
      <c r="A4" s="22" t="n">
        <v>46113</v>
      </c>
      <c r="B4" s="19" t="s">
        <v>50</v>
      </c>
      <c r="C4" s="19" t="s">
        <v>12</v>
      </c>
      <c r="D4" s="19" t="s">
        <v>31</v>
      </c>
      <c r="E4" s="19" t="s">
        <v>65</v>
      </c>
      <c r="F4" s="20" t="n">
        <v>400000</v>
      </c>
      <c r="G4" s="20" t="n">
        <v>2233024</v>
      </c>
    </row>
    <row r="5" customFormat="false" ht="15" hidden="false" customHeight="false" outlineLevel="0" collapsed="false">
      <c r="A5" s="22" t="n">
        <v>46113</v>
      </c>
      <c r="B5" s="19" t="s">
        <v>50</v>
      </c>
      <c r="C5" s="19" t="s">
        <v>12</v>
      </c>
      <c r="D5" s="19" t="s">
        <v>37</v>
      </c>
      <c r="E5" s="19" t="s">
        <v>66</v>
      </c>
      <c r="F5" s="20" t="n">
        <v>25869</v>
      </c>
      <c r="G5" s="20" t="n">
        <v>99000</v>
      </c>
    </row>
    <row r="6" customFormat="false" ht="15" hidden="false" customHeight="false" outlineLevel="0" collapsed="false">
      <c r="A6" s="22" t="n">
        <v>46113</v>
      </c>
      <c r="B6" s="19" t="s">
        <v>50</v>
      </c>
      <c r="C6" s="19" t="s">
        <v>15</v>
      </c>
      <c r="D6" s="19" t="s">
        <v>45</v>
      </c>
      <c r="E6" s="19" t="s">
        <v>67</v>
      </c>
      <c r="F6" s="20" t="n">
        <v>13764</v>
      </c>
      <c r="G6" s="20" t="n">
        <v>0</v>
      </c>
    </row>
    <row r="7" customFormat="false" ht="15" hidden="false" customHeight="false" outlineLevel="0" collapsed="false">
      <c r="A7" s="22" t="n">
        <v>46113</v>
      </c>
      <c r="B7" s="19" t="s">
        <v>50</v>
      </c>
      <c r="C7" s="19" t="s">
        <v>13</v>
      </c>
      <c r="D7" s="19" t="s">
        <v>43</v>
      </c>
      <c r="E7" s="19" t="s">
        <v>68</v>
      </c>
      <c r="F7" s="20" t="n">
        <v>80769</v>
      </c>
      <c r="G7" s="20" t="n">
        <v>453920</v>
      </c>
    </row>
    <row r="8" customFormat="false" ht="15" hidden="false" customHeight="false" outlineLevel="0" collapsed="false">
      <c r="A8" s="22" t="n">
        <v>46113</v>
      </c>
      <c r="B8" s="19" t="s">
        <v>50</v>
      </c>
      <c r="C8" s="19" t="s">
        <v>11</v>
      </c>
      <c r="D8" s="19" t="s">
        <v>28</v>
      </c>
      <c r="E8" s="19" t="s">
        <v>69</v>
      </c>
      <c r="F8" s="20" t="n">
        <v>18378</v>
      </c>
      <c r="G8" s="20" t="n">
        <v>0</v>
      </c>
    </row>
    <row r="9" customFormat="false" ht="15" hidden="false" customHeight="false" outlineLevel="0" collapsed="false">
      <c r="A9" s="22" t="n">
        <v>46113</v>
      </c>
      <c r="B9" s="19" t="s">
        <v>50</v>
      </c>
      <c r="C9" s="19" t="s">
        <v>70</v>
      </c>
      <c r="D9" s="19" t="s">
        <v>23</v>
      </c>
      <c r="E9" s="19" t="s">
        <v>71</v>
      </c>
      <c r="F9" s="20" t="n">
        <v>6536</v>
      </c>
      <c r="G9" s="20" t="n">
        <v>0</v>
      </c>
    </row>
    <row r="10" customFormat="false" ht="15" hidden="false" customHeight="false" outlineLevel="0" collapsed="false">
      <c r="A10" s="22" t="n">
        <v>46114</v>
      </c>
      <c r="B10" s="19" t="s">
        <v>50</v>
      </c>
      <c r="C10" s="19" t="s">
        <v>11</v>
      </c>
      <c r="D10" s="19" t="s">
        <v>27</v>
      </c>
      <c r="E10" s="19" t="s">
        <v>63</v>
      </c>
      <c r="F10" s="20" t="n">
        <v>9562</v>
      </c>
      <c r="G10" s="20" t="n">
        <v>0</v>
      </c>
    </row>
    <row r="11" customFormat="false" ht="15" hidden="false" customHeight="false" outlineLevel="0" collapsed="false">
      <c r="A11" s="22" t="n">
        <v>46114</v>
      </c>
      <c r="B11" s="19" t="s">
        <v>50</v>
      </c>
      <c r="C11" s="19" t="s">
        <v>13</v>
      </c>
      <c r="D11" s="19" t="s">
        <v>44</v>
      </c>
      <c r="E11" s="19" t="s">
        <v>64</v>
      </c>
      <c r="F11" s="20" t="n">
        <v>658177</v>
      </c>
      <c r="G11" s="20" t="n">
        <v>3763113</v>
      </c>
    </row>
    <row r="12" customFormat="false" ht="15" hidden="false" customHeight="false" outlineLevel="0" collapsed="false">
      <c r="A12" s="22" t="n">
        <v>46114</v>
      </c>
      <c r="B12" s="19" t="s">
        <v>50</v>
      </c>
      <c r="C12" s="19" t="s">
        <v>12</v>
      </c>
      <c r="D12" s="19" t="s">
        <v>37</v>
      </c>
      <c r="E12" s="19" t="s">
        <v>66</v>
      </c>
      <c r="F12" s="20" t="n">
        <v>90232</v>
      </c>
      <c r="G12" s="20" t="n">
        <v>625849</v>
      </c>
    </row>
    <row r="13" customFormat="false" ht="15" hidden="false" customHeight="false" outlineLevel="0" collapsed="false">
      <c r="A13" s="22" t="n">
        <v>46114</v>
      </c>
      <c r="B13" s="19" t="s">
        <v>50</v>
      </c>
      <c r="C13" s="19" t="s">
        <v>12</v>
      </c>
      <c r="D13" s="19" t="s">
        <v>31</v>
      </c>
      <c r="E13" s="19" t="s">
        <v>65</v>
      </c>
      <c r="F13" s="20" t="n">
        <v>433443</v>
      </c>
      <c r="G13" s="20" t="n">
        <v>1812914</v>
      </c>
    </row>
    <row r="14" customFormat="false" ht="15" hidden="false" customHeight="false" outlineLevel="0" collapsed="false">
      <c r="A14" s="22" t="n">
        <v>46114</v>
      </c>
      <c r="B14" s="19" t="s">
        <v>50</v>
      </c>
      <c r="C14" s="19" t="s">
        <v>15</v>
      </c>
      <c r="D14" s="19" t="s">
        <v>45</v>
      </c>
      <c r="E14" s="19" t="s">
        <v>67</v>
      </c>
      <c r="F14" s="20" t="n">
        <v>44331</v>
      </c>
      <c r="G14" s="20" t="n">
        <v>208698</v>
      </c>
    </row>
    <row r="15" customFormat="false" ht="15" hidden="false" customHeight="false" outlineLevel="0" collapsed="false">
      <c r="A15" s="22" t="n">
        <v>46114</v>
      </c>
      <c r="B15" s="19" t="s">
        <v>50</v>
      </c>
      <c r="C15" s="19" t="s">
        <v>11</v>
      </c>
      <c r="D15" s="19" t="s">
        <v>28</v>
      </c>
      <c r="E15" s="19" t="s">
        <v>69</v>
      </c>
      <c r="F15" s="20" t="n">
        <v>58722</v>
      </c>
      <c r="G15" s="20" t="n">
        <v>35000</v>
      </c>
    </row>
    <row r="16" customFormat="false" ht="15" hidden="false" customHeight="false" outlineLevel="0" collapsed="false">
      <c r="A16" s="22" t="n">
        <v>46114</v>
      </c>
      <c r="B16" s="19" t="s">
        <v>50</v>
      </c>
      <c r="C16" s="19" t="s">
        <v>13</v>
      </c>
      <c r="D16" s="19" t="s">
        <v>43</v>
      </c>
      <c r="E16" s="19" t="s">
        <v>68</v>
      </c>
      <c r="F16" s="20" t="n">
        <v>64240</v>
      </c>
      <c r="G16" s="20" t="n">
        <v>536144</v>
      </c>
    </row>
    <row r="17" customFormat="false" ht="15" hidden="false" customHeight="false" outlineLevel="0" collapsed="false">
      <c r="A17" s="22" t="n">
        <v>46114</v>
      </c>
      <c r="B17" s="19" t="s">
        <v>50</v>
      </c>
      <c r="C17" s="19" t="s">
        <v>70</v>
      </c>
      <c r="D17" s="19" t="s">
        <v>23</v>
      </c>
      <c r="E17" s="19" t="s">
        <v>71</v>
      </c>
      <c r="F17" s="20" t="n">
        <v>3217</v>
      </c>
      <c r="G17" s="20" t="n">
        <v>0</v>
      </c>
    </row>
    <row r="18" customFormat="false" ht="15" hidden="false" customHeight="false" outlineLevel="0" collapsed="false">
      <c r="A18" s="22" t="n">
        <v>46115</v>
      </c>
      <c r="B18" s="19" t="s">
        <v>50</v>
      </c>
      <c r="C18" s="19" t="s">
        <v>11</v>
      </c>
      <c r="D18" s="19" t="s">
        <v>27</v>
      </c>
      <c r="E18" s="19" t="s">
        <v>63</v>
      </c>
      <c r="F18" s="20" t="n">
        <v>4264</v>
      </c>
      <c r="G18" s="20" t="n">
        <v>37830</v>
      </c>
    </row>
    <row r="19" customFormat="false" ht="15" hidden="false" customHeight="false" outlineLevel="0" collapsed="false">
      <c r="A19" s="22" t="n">
        <v>46115</v>
      </c>
      <c r="B19" s="19" t="s">
        <v>50</v>
      </c>
      <c r="C19" s="19" t="s">
        <v>13</v>
      </c>
      <c r="D19" s="19" t="s">
        <v>44</v>
      </c>
      <c r="E19" s="19" t="s">
        <v>64</v>
      </c>
      <c r="F19" s="20" t="n">
        <v>500000</v>
      </c>
      <c r="G19" s="20" t="n">
        <v>3439475</v>
      </c>
    </row>
    <row r="20" customFormat="false" ht="15" hidden="false" customHeight="false" outlineLevel="0" collapsed="false">
      <c r="A20" s="22" t="n">
        <v>46115</v>
      </c>
      <c r="B20" s="19" t="s">
        <v>50</v>
      </c>
      <c r="C20" s="19" t="s">
        <v>12</v>
      </c>
      <c r="D20" s="19" t="s">
        <v>37</v>
      </c>
      <c r="E20" s="19" t="s">
        <v>66</v>
      </c>
      <c r="F20" s="20" t="n">
        <v>227504</v>
      </c>
      <c r="G20" s="20" t="n">
        <v>1088239</v>
      </c>
    </row>
    <row r="21" customFormat="false" ht="15" hidden="false" customHeight="false" outlineLevel="0" collapsed="false">
      <c r="A21" s="22" t="n">
        <v>46115</v>
      </c>
      <c r="B21" s="19" t="s">
        <v>50</v>
      </c>
      <c r="C21" s="19" t="s">
        <v>12</v>
      </c>
      <c r="D21" s="19" t="s">
        <v>31</v>
      </c>
      <c r="E21" s="19" t="s">
        <v>65</v>
      </c>
      <c r="F21" s="20" t="n">
        <v>154025</v>
      </c>
      <c r="G21" s="20" t="n">
        <v>650363</v>
      </c>
    </row>
    <row r="22" customFormat="false" ht="15" hidden="false" customHeight="false" outlineLevel="0" collapsed="false">
      <c r="A22" s="22" t="n">
        <v>46115</v>
      </c>
      <c r="B22" s="19" t="s">
        <v>50</v>
      </c>
      <c r="C22" s="19" t="s">
        <v>15</v>
      </c>
      <c r="D22" s="19" t="s">
        <v>45</v>
      </c>
      <c r="E22" s="19" t="s">
        <v>67</v>
      </c>
      <c r="F22" s="20" t="n">
        <v>53247</v>
      </c>
      <c r="G22" s="20" t="n">
        <v>220800</v>
      </c>
    </row>
    <row r="23" customFormat="false" ht="15" hidden="false" customHeight="false" outlineLevel="0" collapsed="false">
      <c r="A23" s="22" t="n">
        <v>46115</v>
      </c>
      <c r="B23" s="19" t="s">
        <v>50</v>
      </c>
      <c r="C23" s="19" t="s">
        <v>13</v>
      </c>
      <c r="D23" s="19" t="s">
        <v>43</v>
      </c>
      <c r="E23" s="19" t="s">
        <v>68</v>
      </c>
      <c r="F23" s="20" t="n">
        <v>184669</v>
      </c>
      <c r="G23" s="20" t="n">
        <v>1112093</v>
      </c>
    </row>
    <row r="24" customFormat="false" ht="15" hidden="false" customHeight="false" outlineLevel="0" collapsed="false">
      <c r="A24" s="22" t="n">
        <v>46115</v>
      </c>
      <c r="B24" s="19" t="s">
        <v>50</v>
      </c>
      <c r="C24" s="19" t="s">
        <v>11</v>
      </c>
      <c r="D24" s="19" t="s">
        <v>28</v>
      </c>
      <c r="E24" s="19" t="s">
        <v>69</v>
      </c>
      <c r="F24" s="20" t="n">
        <v>42177</v>
      </c>
      <c r="G24" s="20" t="n">
        <v>141250</v>
      </c>
    </row>
    <row r="25" customFormat="false" ht="15" hidden="false" customHeight="false" outlineLevel="0" collapsed="false">
      <c r="A25" s="22" t="n">
        <v>46115</v>
      </c>
      <c r="B25" s="19" t="s">
        <v>50</v>
      </c>
      <c r="C25" s="19" t="s">
        <v>70</v>
      </c>
      <c r="D25" s="19" t="s">
        <v>23</v>
      </c>
      <c r="E25" s="19" t="s">
        <v>71</v>
      </c>
      <c r="F25" s="20" t="n">
        <v>28142</v>
      </c>
      <c r="G25" s="20" t="n">
        <v>135586</v>
      </c>
    </row>
    <row r="26" customFormat="false" ht="15" hidden="false" customHeight="false" outlineLevel="0" collapsed="false">
      <c r="A26" s="22" t="n">
        <v>46116</v>
      </c>
      <c r="B26" s="19" t="s">
        <v>50</v>
      </c>
      <c r="C26" s="19" t="s">
        <v>11</v>
      </c>
      <c r="D26" s="19" t="s">
        <v>27</v>
      </c>
      <c r="E26" s="19" t="s">
        <v>63</v>
      </c>
      <c r="F26" s="20" t="n">
        <v>41198</v>
      </c>
      <c r="G26" s="20" t="n">
        <v>177710</v>
      </c>
    </row>
    <row r="27" customFormat="false" ht="15" hidden="false" customHeight="false" outlineLevel="0" collapsed="false">
      <c r="A27" s="22" t="n">
        <v>46116</v>
      </c>
      <c r="B27" s="19" t="s">
        <v>50</v>
      </c>
      <c r="C27" s="19" t="s">
        <v>12</v>
      </c>
      <c r="D27" s="19" t="s">
        <v>37</v>
      </c>
      <c r="E27" s="19" t="s">
        <v>66</v>
      </c>
      <c r="F27" s="20" t="n">
        <v>148264</v>
      </c>
      <c r="G27" s="20" t="n">
        <v>554878</v>
      </c>
    </row>
    <row r="28" customFormat="false" ht="15" hidden="false" customHeight="false" outlineLevel="0" collapsed="false">
      <c r="A28" s="22" t="n">
        <v>46116</v>
      </c>
      <c r="B28" s="19" t="s">
        <v>50</v>
      </c>
      <c r="C28" s="19" t="s">
        <v>13</v>
      </c>
      <c r="D28" s="19" t="s">
        <v>44</v>
      </c>
      <c r="E28" s="19" t="s">
        <v>64</v>
      </c>
      <c r="F28" s="20" t="n">
        <v>800000</v>
      </c>
      <c r="G28" s="20" t="n">
        <v>5223207</v>
      </c>
    </row>
    <row r="29" customFormat="false" ht="15" hidden="false" customHeight="false" outlineLevel="0" collapsed="false">
      <c r="A29" s="22" t="n">
        <v>46116</v>
      </c>
      <c r="B29" s="19" t="s">
        <v>50</v>
      </c>
      <c r="C29" s="19" t="s">
        <v>15</v>
      </c>
      <c r="D29" s="19" t="s">
        <v>45</v>
      </c>
      <c r="E29" s="19" t="s">
        <v>67</v>
      </c>
      <c r="F29" s="20" t="n">
        <v>200000</v>
      </c>
      <c r="G29" s="20" t="n">
        <v>998373</v>
      </c>
    </row>
    <row r="30" customFormat="false" ht="15" hidden="false" customHeight="false" outlineLevel="0" collapsed="false">
      <c r="A30" s="22" t="n">
        <v>46116</v>
      </c>
      <c r="B30" s="19" t="s">
        <v>50</v>
      </c>
      <c r="C30" s="19" t="s">
        <v>12</v>
      </c>
      <c r="D30" s="19" t="s">
        <v>31</v>
      </c>
      <c r="E30" s="19" t="s">
        <v>65</v>
      </c>
      <c r="F30" s="20" t="n">
        <v>500000</v>
      </c>
      <c r="G30" s="20" t="n">
        <v>2839436</v>
      </c>
    </row>
    <row r="31" customFormat="false" ht="15" hidden="false" customHeight="false" outlineLevel="0" collapsed="false">
      <c r="A31" s="22" t="n">
        <v>46116</v>
      </c>
      <c r="B31" s="19" t="s">
        <v>50</v>
      </c>
      <c r="C31" s="19" t="s">
        <v>11</v>
      </c>
      <c r="D31" s="19" t="s">
        <v>28</v>
      </c>
      <c r="E31" s="19" t="s">
        <v>69</v>
      </c>
      <c r="F31" s="20" t="n">
        <v>64524</v>
      </c>
      <c r="G31" s="20" t="n">
        <v>209499</v>
      </c>
    </row>
    <row r="32" customFormat="false" ht="15" hidden="false" customHeight="false" outlineLevel="0" collapsed="false">
      <c r="A32" s="22" t="n">
        <v>46116</v>
      </c>
      <c r="B32" s="19" t="s">
        <v>50</v>
      </c>
      <c r="C32" s="19" t="s">
        <v>13</v>
      </c>
      <c r="D32" s="19" t="s">
        <v>43</v>
      </c>
      <c r="E32" s="19" t="s">
        <v>68</v>
      </c>
      <c r="F32" s="20" t="n">
        <v>95997</v>
      </c>
      <c r="G32" s="20" t="n">
        <v>173528</v>
      </c>
    </row>
    <row r="33" customFormat="false" ht="15" hidden="false" customHeight="false" outlineLevel="0" collapsed="false">
      <c r="A33" s="22" t="n">
        <v>46116</v>
      </c>
      <c r="B33" s="19" t="s">
        <v>50</v>
      </c>
      <c r="C33" s="19" t="s">
        <v>70</v>
      </c>
      <c r="D33" s="19" t="s">
        <v>23</v>
      </c>
      <c r="E33" s="19" t="s">
        <v>71</v>
      </c>
      <c r="F33" s="20" t="n">
        <v>48777</v>
      </c>
      <c r="G33" s="20" t="n">
        <v>140650</v>
      </c>
    </row>
    <row r="34" customFormat="false" ht="15" hidden="false" customHeight="false" outlineLevel="0" collapsed="false">
      <c r="A34" s="22" t="n">
        <v>46117</v>
      </c>
      <c r="B34" s="19" t="s">
        <v>50</v>
      </c>
      <c r="C34" s="19" t="s">
        <v>11</v>
      </c>
      <c r="D34" s="19" t="s">
        <v>27</v>
      </c>
      <c r="E34" s="19" t="s">
        <v>63</v>
      </c>
      <c r="F34" s="20" t="n">
        <v>4916</v>
      </c>
      <c r="G34" s="20" t="n">
        <v>0</v>
      </c>
    </row>
    <row r="35" customFormat="false" ht="15" hidden="false" customHeight="false" outlineLevel="0" collapsed="false">
      <c r="A35" s="22" t="n">
        <v>46117</v>
      </c>
      <c r="B35" s="19" t="s">
        <v>50</v>
      </c>
      <c r="C35" s="19" t="s">
        <v>13</v>
      </c>
      <c r="D35" s="19" t="s">
        <v>44</v>
      </c>
      <c r="E35" s="19" t="s">
        <v>64</v>
      </c>
      <c r="F35" s="20" t="n">
        <v>349674</v>
      </c>
      <c r="G35" s="20" t="n">
        <v>1461704</v>
      </c>
    </row>
    <row r="36" customFormat="false" ht="15" hidden="false" customHeight="false" outlineLevel="0" collapsed="false">
      <c r="A36" s="22" t="n">
        <v>46117</v>
      </c>
      <c r="B36" s="19" t="s">
        <v>50</v>
      </c>
      <c r="C36" s="19" t="s">
        <v>15</v>
      </c>
      <c r="D36" s="19" t="s">
        <v>45</v>
      </c>
      <c r="E36" s="19" t="s">
        <v>67</v>
      </c>
      <c r="F36" s="20" t="n">
        <v>81340</v>
      </c>
      <c r="G36" s="20" t="n">
        <v>0</v>
      </c>
    </row>
    <row r="37" customFormat="false" ht="15" hidden="false" customHeight="false" outlineLevel="0" collapsed="false">
      <c r="A37" s="22" t="n">
        <v>46117</v>
      </c>
      <c r="B37" s="19" t="s">
        <v>50</v>
      </c>
      <c r="C37" s="19" t="s">
        <v>12</v>
      </c>
      <c r="D37" s="19" t="s">
        <v>37</v>
      </c>
      <c r="E37" s="19" t="s">
        <v>66</v>
      </c>
      <c r="F37" s="20" t="n">
        <v>31813</v>
      </c>
      <c r="G37" s="20" t="n">
        <v>0</v>
      </c>
    </row>
    <row r="38" customFormat="false" ht="15" hidden="false" customHeight="false" outlineLevel="0" collapsed="false">
      <c r="A38" s="22" t="n">
        <v>46117</v>
      </c>
      <c r="B38" s="19" t="s">
        <v>50</v>
      </c>
      <c r="C38" s="19" t="s">
        <v>12</v>
      </c>
      <c r="D38" s="19" t="s">
        <v>31</v>
      </c>
      <c r="E38" s="19" t="s">
        <v>65</v>
      </c>
      <c r="F38" s="20" t="n">
        <v>200000</v>
      </c>
      <c r="G38" s="20" t="n">
        <v>0</v>
      </c>
    </row>
    <row r="39" customFormat="false" ht="15" hidden="false" customHeight="false" outlineLevel="0" collapsed="false">
      <c r="A39" s="22" t="n">
        <v>46117</v>
      </c>
      <c r="B39" s="19" t="s">
        <v>50</v>
      </c>
      <c r="C39" s="19" t="s">
        <v>13</v>
      </c>
      <c r="D39" s="19" t="s">
        <v>43</v>
      </c>
      <c r="E39" s="19" t="s">
        <v>68</v>
      </c>
      <c r="F39" s="20" t="n">
        <v>20271</v>
      </c>
      <c r="G39" s="20" t="n">
        <v>0</v>
      </c>
    </row>
    <row r="40" customFormat="false" ht="15" hidden="false" customHeight="false" outlineLevel="0" collapsed="false">
      <c r="A40" s="22" t="n">
        <v>46117</v>
      </c>
      <c r="B40" s="19" t="s">
        <v>50</v>
      </c>
      <c r="C40" s="19" t="s">
        <v>11</v>
      </c>
      <c r="D40" s="19" t="s">
        <v>28</v>
      </c>
      <c r="E40" s="19" t="s">
        <v>69</v>
      </c>
      <c r="F40" s="20" t="n">
        <v>6513</v>
      </c>
      <c r="G40" s="20" t="n">
        <v>0</v>
      </c>
    </row>
    <row r="41" customFormat="false" ht="15" hidden="false" customHeight="false" outlineLevel="0" collapsed="false">
      <c r="A41" s="22" t="n">
        <v>46117</v>
      </c>
      <c r="B41" s="19" t="s">
        <v>50</v>
      </c>
      <c r="C41" s="19" t="s">
        <v>70</v>
      </c>
      <c r="D41" s="19" t="s">
        <v>23</v>
      </c>
      <c r="E41" s="19" t="s">
        <v>71</v>
      </c>
      <c r="F41" s="20" t="n">
        <v>8950</v>
      </c>
      <c r="G41" s="20" t="n">
        <v>0</v>
      </c>
    </row>
    <row r="42" customFormat="false" ht="15" hidden="false" customHeight="false" outlineLevel="0" collapsed="false">
      <c r="A42" s="22" t="n">
        <v>46118</v>
      </c>
      <c r="B42" s="19" t="s">
        <v>50</v>
      </c>
      <c r="C42" s="19" t="s">
        <v>11</v>
      </c>
      <c r="D42" s="19" t="s">
        <v>27</v>
      </c>
      <c r="E42" s="19" t="s">
        <v>63</v>
      </c>
      <c r="F42" s="20" t="n">
        <v>15643</v>
      </c>
      <c r="G42" s="20" t="n">
        <v>126750</v>
      </c>
    </row>
    <row r="43" customFormat="false" ht="15" hidden="false" customHeight="false" outlineLevel="0" collapsed="false">
      <c r="A43" s="22" t="n">
        <v>46118</v>
      </c>
      <c r="B43" s="19" t="s">
        <v>50</v>
      </c>
      <c r="C43" s="19" t="s">
        <v>12</v>
      </c>
      <c r="D43" s="19" t="s">
        <v>37</v>
      </c>
      <c r="E43" s="19" t="s">
        <v>66</v>
      </c>
      <c r="F43" s="20" t="n">
        <v>200000</v>
      </c>
      <c r="G43" s="20" t="n">
        <v>1635527</v>
      </c>
    </row>
    <row r="44" customFormat="false" ht="15" hidden="false" customHeight="false" outlineLevel="0" collapsed="false">
      <c r="A44" s="22" t="n">
        <v>46118</v>
      </c>
      <c r="B44" s="19" t="s">
        <v>50</v>
      </c>
      <c r="C44" s="19" t="s">
        <v>13</v>
      </c>
      <c r="D44" s="19" t="s">
        <v>44</v>
      </c>
      <c r="E44" s="19" t="s">
        <v>64</v>
      </c>
      <c r="F44" s="20" t="n">
        <v>565908</v>
      </c>
      <c r="G44" s="20" t="n">
        <v>3144598</v>
      </c>
    </row>
    <row r="45" customFormat="false" ht="15" hidden="false" customHeight="false" outlineLevel="0" collapsed="false">
      <c r="A45" s="22" t="n">
        <v>46118</v>
      </c>
      <c r="B45" s="19" t="s">
        <v>50</v>
      </c>
      <c r="C45" s="19" t="s">
        <v>12</v>
      </c>
      <c r="D45" s="19" t="s">
        <v>29</v>
      </c>
      <c r="E45" s="19" t="s">
        <v>75</v>
      </c>
      <c r="F45" s="20" t="n">
        <v>46100</v>
      </c>
      <c r="G45" s="20" t="n">
        <v>0</v>
      </c>
    </row>
    <row r="46" customFormat="false" ht="15" hidden="false" customHeight="false" outlineLevel="0" collapsed="false">
      <c r="A46" s="22" t="n">
        <v>46118</v>
      </c>
      <c r="B46" s="19" t="s">
        <v>50</v>
      </c>
      <c r="C46" s="19" t="s">
        <v>12</v>
      </c>
      <c r="D46" s="19" t="s">
        <v>30</v>
      </c>
      <c r="E46" s="19" t="s">
        <v>76</v>
      </c>
      <c r="F46" s="20" t="n">
        <v>153307</v>
      </c>
      <c r="G46" s="20" t="n">
        <v>273004</v>
      </c>
    </row>
    <row r="47" customFormat="false" ht="15" hidden="false" customHeight="false" outlineLevel="0" collapsed="false">
      <c r="A47" s="22" t="n">
        <v>46118</v>
      </c>
      <c r="B47" s="19" t="s">
        <v>50</v>
      </c>
      <c r="C47" s="19" t="s">
        <v>14</v>
      </c>
      <c r="D47" s="19" t="s">
        <v>38</v>
      </c>
      <c r="E47" s="19" t="s">
        <v>77</v>
      </c>
      <c r="F47" s="20" t="n">
        <v>107959</v>
      </c>
      <c r="G47" s="20" t="n">
        <v>143560</v>
      </c>
    </row>
    <row r="48" customFormat="false" ht="15" hidden="false" customHeight="false" outlineLevel="0" collapsed="false">
      <c r="A48" s="22" t="n">
        <v>46118</v>
      </c>
      <c r="B48" s="19" t="s">
        <v>50</v>
      </c>
      <c r="C48" s="19" t="s">
        <v>12</v>
      </c>
      <c r="D48" s="19" t="s">
        <v>31</v>
      </c>
      <c r="E48" s="19" t="s">
        <v>65</v>
      </c>
      <c r="F48" s="20" t="n">
        <v>124291</v>
      </c>
      <c r="G48" s="20" t="n">
        <v>590527</v>
      </c>
    </row>
    <row r="49" customFormat="false" ht="15" hidden="false" customHeight="false" outlineLevel="0" collapsed="false">
      <c r="A49" s="22" t="n">
        <v>46118</v>
      </c>
      <c r="B49" s="19" t="s">
        <v>50</v>
      </c>
      <c r="C49" s="19" t="s">
        <v>13</v>
      </c>
      <c r="D49" s="19" t="s">
        <v>43</v>
      </c>
      <c r="E49" s="19" t="s">
        <v>68</v>
      </c>
      <c r="F49" s="20" t="n">
        <v>142120</v>
      </c>
      <c r="G49" s="20" t="n">
        <v>979309</v>
      </c>
    </row>
    <row r="50" customFormat="false" ht="15" hidden="false" customHeight="false" outlineLevel="0" collapsed="false">
      <c r="A50" s="22" t="n">
        <v>46118</v>
      </c>
      <c r="B50" s="19" t="s">
        <v>50</v>
      </c>
      <c r="C50" s="19" t="s">
        <v>11</v>
      </c>
      <c r="D50" s="19" t="s">
        <v>28</v>
      </c>
      <c r="E50" s="19" t="s">
        <v>69</v>
      </c>
      <c r="F50" s="20" t="n">
        <v>26276</v>
      </c>
      <c r="G50" s="20" t="n">
        <v>252800</v>
      </c>
    </row>
    <row r="51" customFormat="false" ht="15" hidden="false" customHeight="false" outlineLevel="0" collapsed="false">
      <c r="A51" s="22" t="n">
        <v>46118</v>
      </c>
      <c r="B51" s="19" t="s">
        <v>50</v>
      </c>
      <c r="C51" s="19" t="s">
        <v>70</v>
      </c>
      <c r="D51" s="19" t="s">
        <v>23</v>
      </c>
      <c r="E51" s="19" t="s">
        <v>71</v>
      </c>
      <c r="F51" s="20" t="n">
        <v>62744</v>
      </c>
      <c r="G51" s="20" t="n">
        <v>281300</v>
      </c>
    </row>
    <row r="52" customFormat="false" ht="15" hidden="false" customHeight="false" outlineLevel="0" collapsed="false">
      <c r="A52" s="22" t="n">
        <v>46118</v>
      </c>
      <c r="B52" s="19" t="s">
        <v>50</v>
      </c>
      <c r="C52" s="19" t="s">
        <v>15</v>
      </c>
      <c r="D52" s="19" t="s">
        <v>45</v>
      </c>
      <c r="E52" s="19" t="s">
        <v>67</v>
      </c>
      <c r="F52" s="20" t="n">
        <v>15258</v>
      </c>
      <c r="G52" s="20" t="n">
        <v>0</v>
      </c>
    </row>
    <row r="53" customFormat="false" ht="15" hidden="false" customHeight="false" outlineLevel="0" collapsed="false">
      <c r="A53" s="22" t="n">
        <v>46118</v>
      </c>
      <c r="B53" s="19" t="s">
        <v>50</v>
      </c>
      <c r="C53" s="19" t="s">
        <v>12</v>
      </c>
      <c r="D53" s="19" t="s">
        <v>36</v>
      </c>
      <c r="E53" s="19" t="s">
        <v>78</v>
      </c>
      <c r="F53" s="20" t="n">
        <v>6398</v>
      </c>
      <c r="G53" s="20" t="n">
        <v>0</v>
      </c>
    </row>
    <row r="54" customFormat="false" ht="15" hidden="false" customHeight="false" outlineLevel="0" collapsed="false">
      <c r="A54" s="22" t="n">
        <v>46119</v>
      </c>
      <c r="B54" s="19" t="s">
        <v>50</v>
      </c>
      <c r="C54" s="19" t="s">
        <v>11</v>
      </c>
      <c r="D54" s="19" t="s">
        <v>27</v>
      </c>
      <c r="E54" s="19" t="s">
        <v>63</v>
      </c>
      <c r="F54" s="20" t="n">
        <v>6701</v>
      </c>
      <c r="G54" s="20" t="n">
        <v>0</v>
      </c>
    </row>
    <row r="55" customFormat="false" ht="15" hidden="false" customHeight="false" outlineLevel="0" collapsed="false">
      <c r="A55" s="22" t="n">
        <v>46119</v>
      </c>
      <c r="B55" s="19" t="s">
        <v>50</v>
      </c>
      <c r="C55" s="19" t="s">
        <v>13</v>
      </c>
      <c r="D55" s="19" t="s">
        <v>44</v>
      </c>
      <c r="E55" s="19" t="s">
        <v>64</v>
      </c>
      <c r="F55" s="20" t="n">
        <v>1200000</v>
      </c>
      <c r="G55" s="20" t="n">
        <v>6820023</v>
      </c>
    </row>
    <row r="56" customFormat="false" ht="15" hidden="false" customHeight="false" outlineLevel="0" collapsed="false">
      <c r="A56" s="22" t="n">
        <v>46119</v>
      </c>
      <c r="B56" s="19" t="s">
        <v>50</v>
      </c>
      <c r="C56" s="19" t="s">
        <v>12</v>
      </c>
      <c r="D56" s="19" t="s">
        <v>37</v>
      </c>
      <c r="E56" s="19" t="s">
        <v>66</v>
      </c>
      <c r="F56" s="20" t="n">
        <v>193611</v>
      </c>
      <c r="G56" s="20" t="n">
        <v>0</v>
      </c>
    </row>
    <row r="57" customFormat="false" ht="15" hidden="false" customHeight="false" outlineLevel="0" collapsed="false">
      <c r="A57" s="22" t="n">
        <v>46119</v>
      </c>
      <c r="B57" s="19" t="s">
        <v>50</v>
      </c>
      <c r="C57" s="19" t="s">
        <v>12</v>
      </c>
      <c r="D57" s="19" t="s">
        <v>29</v>
      </c>
      <c r="E57" s="19" t="s">
        <v>75</v>
      </c>
      <c r="F57" s="20" t="n">
        <v>32797</v>
      </c>
      <c r="G57" s="20" t="n">
        <v>0</v>
      </c>
    </row>
    <row r="58" customFormat="false" ht="15" hidden="false" customHeight="false" outlineLevel="0" collapsed="false">
      <c r="A58" s="22" t="n">
        <v>46119</v>
      </c>
      <c r="B58" s="19" t="s">
        <v>50</v>
      </c>
      <c r="C58" s="19" t="s">
        <v>13</v>
      </c>
      <c r="D58" s="19" t="s">
        <v>43</v>
      </c>
      <c r="E58" s="19" t="s">
        <v>68</v>
      </c>
      <c r="F58" s="20" t="n">
        <v>215609</v>
      </c>
      <c r="G58" s="20" t="n">
        <v>1580612</v>
      </c>
    </row>
    <row r="59" customFormat="false" ht="15" hidden="false" customHeight="false" outlineLevel="0" collapsed="false">
      <c r="A59" s="22" t="n">
        <v>46119</v>
      </c>
      <c r="B59" s="19" t="s">
        <v>50</v>
      </c>
      <c r="C59" s="19" t="s">
        <v>14</v>
      </c>
      <c r="D59" s="19" t="s">
        <v>38</v>
      </c>
      <c r="E59" s="19" t="s">
        <v>77</v>
      </c>
      <c r="F59" s="20" t="n">
        <v>199110</v>
      </c>
      <c r="G59" s="20" t="n">
        <v>0</v>
      </c>
    </row>
    <row r="60" customFormat="false" ht="15" hidden="false" customHeight="false" outlineLevel="0" collapsed="false">
      <c r="A60" s="22" t="n">
        <v>46119</v>
      </c>
      <c r="B60" s="19" t="s">
        <v>50</v>
      </c>
      <c r="C60" s="19" t="s">
        <v>12</v>
      </c>
      <c r="D60" s="19" t="s">
        <v>30</v>
      </c>
      <c r="E60" s="19" t="s">
        <v>76</v>
      </c>
      <c r="F60" s="20" t="n">
        <v>299412</v>
      </c>
      <c r="G60" s="20" t="n">
        <v>164148</v>
      </c>
    </row>
    <row r="61" customFormat="false" ht="15" hidden="false" customHeight="false" outlineLevel="0" collapsed="false">
      <c r="A61" s="22" t="n">
        <v>46119</v>
      </c>
      <c r="B61" s="19" t="s">
        <v>50</v>
      </c>
      <c r="C61" s="19" t="s">
        <v>12</v>
      </c>
      <c r="D61" s="19" t="s">
        <v>31</v>
      </c>
      <c r="E61" s="19" t="s">
        <v>65</v>
      </c>
      <c r="F61" s="20" t="n">
        <v>299850</v>
      </c>
      <c r="G61" s="20" t="n">
        <v>1140578</v>
      </c>
    </row>
    <row r="62" customFormat="false" ht="15" hidden="false" customHeight="false" outlineLevel="0" collapsed="false">
      <c r="A62" s="22" t="n">
        <v>46119</v>
      </c>
      <c r="B62" s="19" t="s">
        <v>50</v>
      </c>
      <c r="C62" s="19" t="s">
        <v>15</v>
      </c>
      <c r="D62" s="19" t="s">
        <v>45</v>
      </c>
      <c r="E62" s="19" t="s">
        <v>67</v>
      </c>
      <c r="F62" s="20" t="n">
        <v>31725</v>
      </c>
      <c r="G62" s="20" t="n">
        <v>0</v>
      </c>
    </row>
    <row r="63" customFormat="false" ht="15" hidden="false" customHeight="false" outlineLevel="0" collapsed="false">
      <c r="A63" s="22" t="n">
        <v>46119</v>
      </c>
      <c r="B63" s="19" t="s">
        <v>50</v>
      </c>
      <c r="C63" s="19" t="s">
        <v>11</v>
      </c>
      <c r="D63" s="19" t="s">
        <v>28</v>
      </c>
      <c r="E63" s="19" t="s">
        <v>69</v>
      </c>
      <c r="F63" s="20" t="n">
        <v>27118</v>
      </c>
      <c r="G63" s="20" t="n">
        <v>142868</v>
      </c>
    </row>
    <row r="64" customFormat="false" ht="15" hidden="false" customHeight="false" outlineLevel="0" collapsed="false">
      <c r="A64" s="22" t="n">
        <v>46119</v>
      </c>
      <c r="B64" s="19" t="s">
        <v>50</v>
      </c>
      <c r="C64" s="19" t="s">
        <v>70</v>
      </c>
      <c r="D64" s="19" t="s">
        <v>23</v>
      </c>
      <c r="E64" s="19" t="s">
        <v>71</v>
      </c>
      <c r="F64" s="20" t="n">
        <v>61959</v>
      </c>
      <c r="G64" s="20" t="n">
        <v>185650</v>
      </c>
    </row>
    <row r="65" customFormat="false" ht="15" hidden="false" customHeight="false" outlineLevel="0" collapsed="false">
      <c r="A65" s="22" t="n">
        <v>46119</v>
      </c>
      <c r="B65" s="19" t="s">
        <v>50</v>
      </c>
      <c r="C65" s="19" t="s">
        <v>12</v>
      </c>
      <c r="D65" s="19" t="s">
        <v>36</v>
      </c>
      <c r="E65" s="19" t="s">
        <v>78</v>
      </c>
      <c r="F65" s="20" t="n">
        <v>270</v>
      </c>
      <c r="G65" s="20" t="n">
        <v>0</v>
      </c>
    </row>
    <row r="66" customFormat="false" ht="15" hidden="false" customHeight="false" outlineLevel="0" collapsed="false">
      <c r="A66" s="22" t="n">
        <v>46120</v>
      </c>
      <c r="B66" s="19" t="s">
        <v>50</v>
      </c>
      <c r="C66" s="19" t="s">
        <v>11</v>
      </c>
      <c r="D66" s="19" t="s">
        <v>27</v>
      </c>
      <c r="E66" s="19" t="s">
        <v>63</v>
      </c>
      <c r="F66" s="20" t="n">
        <v>7315</v>
      </c>
      <c r="G66" s="20" t="n">
        <v>36582</v>
      </c>
    </row>
    <row r="67" customFormat="false" ht="15" hidden="false" customHeight="false" outlineLevel="0" collapsed="false">
      <c r="A67" s="22" t="n">
        <v>46120</v>
      </c>
      <c r="B67" s="19" t="s">
        <v>50</v>
      </c>
      <c r="C67" s="19" t="s">
        <v>13</v>
      </c>
      <c r="D67" s="19" t="s">
        <v>44</v>
      </c>
      <c r="E67" s="19" t="s">
        <v>64</v>
      </c>
      <c r="F67" s="20" t="n">
        <v>518346</v>
      </c>
      <c r="G67" s="20" t="n">
        <v>2925436</v>
      </c>
    </row>
    <row r="68" customFormat="false" ht="15" hidden="false" customHeight="false" outlineLevel="0" collapsed="false">
      <c r="A68" s="22" t="n">
        <v>46120</v>
      </c>
      <c r="B68" s="19" t="s">
        <v>50</v>
      </c>
      <c r="C68" s="19" t="s">
        <v>12</v>
      </c>
      <c r="D68" s="19" t="s">
        <v>29</v>
      </c>
      <c r="E68" s="19" t="s">
        <v>75</v>
      </c>
      <c r="F68" s="20" t="n">
        <v>40260</v>
      </c>
      <c r="G68" s="20" t="n">
        <v>239590</v>
      </c>
    </row>
    <row r="69" customFormat="false" ht="15" hidden="false" customHeight="false" outlineLevel="0" collapsed="false">
      <c r="A69" s="22" t="n">
        <v>46120</v>
      </c>
      <c r="B69" s="19" t="s">
        <v>50</v>
      </c>
      <c r="C69" s="19" t="s">
        <v>12</v>
      </c>
      <c r="D69" s="19" t="s">
        <v>30</v>
      </c>
      <c r="E69" s="19" t="s">
        <v>76</v>
      </c>
      <c r="F69" s="20" t="n">
        <v>300000</v>
      </c>
      <c r="G69" s="20" t="n">
        <v>0</v>
      </c>
    </row>
    <row r="70" customFormat="false" ht="15" hidden="false" customHeight="false" outlineLevel="0" collapsed="false">
      <c r="A70" s="22" t="n">
        <v>46120</v>
      </c>
      <c r="B70" s="19" t="s">
        <v>50</v>
      </c>
      <c r="C70" s="19" t="s">
        <v>11</v>
      </c>
      <c r="D70" s="19" t="s">
        <v>28</v>
      </c>
      <c r="E70" s="19" t="s">
        <v>69</v>
      </c>
      <c r="F70" s="20" t="n">
        <v>163259</v>
      </c>
      <c r="G70" s="20" t="n">
        <v>890986</v>
      </c>
    </row>
    <row r="71" customFormat="false" ht="15" hidden="false" customHeight="false" outlineLevel="0" collapsed="false">
      <c r="A71" s="22" t="n">
        <v>46120</v>
      </c>
      <c r="B71" s="19" t="s">
        <v>50</v>
      </c>
      <c r="C71" s="19" t="s">
        <v>12</v>
      </c>
      <c r="D71" s="19" t="s">
        <v>37</v>
      </c>
      <c r="E71" s="19" t="s">
        <v>66</v>
      </c>
      <c r="F71" s="20" t="n">
        <v>56648</v>
      </c>
      <c r="G71" s="20" t="n">
        <v>360950</v>
      </c>
    </row>
    <row r="72" customFormat="false" ht="15" hidden="false" customHeight="false" outlineLevel="0" collapsed="false">
      <c r="A72" s="22" t="n">
        <v>46120</v>
      </c>
      <c r="B72" s="19" t="s">
        <v>50</v>
      </c>
      <c r="C72" s="19" t="s">
        <v>14</v>
      </c>
      <c r="D72" s="19" t="s">
        <v>38</v>
      </c>
      <c r="E72" s="19" t="s">
        <v>77</v>
      </c>
      <c r="F72" s="20" t="n">
        <v>196563</v>
      </c>
      <c r="G72" s="20" t="n">
        <v>96030</v>
      </c>
    </row>
    <row r="73" customFormat="false" ht="15" hidden="false" customHeight="false" outlineLevel="0" collapsed="false">
      <c r="A73" s="22" t="n">
        <v>46120</v>
      </c>
      <c r="B73" s="19" t="s">
        <v>50</v>
      </c>
      <c r="C73" s="19" t="s">
        <v>12</v>
      </c>
      <c r="D73" s="19" t="s">
        <v>31</v>
      </c>
      <c r="E73" s="19" t="s">
        <v>65</v>
      </c>
      <c r="F73" s="20" t="n">
        <v>99978</v>
      </c>
      <c r="G73" s="20" t="n">
        <v>264000</v>
      </c>
    </row>
    <row r="74" customFormat="false" ht="15" hidden="false" customHeight="false" outlineLevel="0" collapsed="false">
      <c r="A74" s="22" t="n">
        <v>46120</v>
      </c>
      <c r="B74" s="19" t="s">
        <v>50</v>
      </c>
      <c r="C74" s="19" t="s">
        <v>15</v>
      </c>
      <c r="D74" s="19" t="s">
        <v>45</v>
      </c>
      <c r="E74" s="19" t="s">
        <v>67</v>
      </c>
      <c r="F74" s="20" t="n">
        <v>42847</v>
      </c>
      <c r="G74" s="20" t="n">
        <v>258100</v>
      </c>
    </row>
    <row r="75" customFormat="false" ht="15" hidden="false" customHeight="false" outlineLevel="0" collapsed="false">
      <c r="A75" s="22" t="n">
        <v>46120</v>
      </c>
      <c r="B75" s="19" t="s">
        <v>50</v>
      </c>
      <c r="C75" s="19" t="s">
        <v>13</v>
      </c>
      <c r="D75" s="19" t="s">
        <v>43</v>
      </c>
      <c r="E75" s="19" t="s">
        <v>68</v>
      </c>
      <c r="F75" s="20" t="n">
        <v>123583</v>
      </c>
      <c r="G75" s="20" t="n">
        <v>291000</v>
      </c>
    </row>
    <row r="76" customFormat="false" ht="15" hidden="false" customHeight="false" outlineLevel="0" collapsed="false">
      <c r="A76" s="22" t="n">
        <v>46120</v>
      </c>
      <c r="B76" s="19" t="s">
        <v>50</v>
      </c>
      <c r="C76" s="19" t="s">
        <v>70</v>
      </c>
      <c r="D76" s="19" t="s">
        <v>23</v>
      </c>
      <c r="E76" s="19" t="s">
        <v>71</v>
      </c>
      <c r="F76" s="20" t="n">
        <v>38611</v>
      </c>
      <c r="G76" s="20" t="n">
        <v>110580</v>
      </c>
    </row>
    <row r="77" customFormat="false" ht="15" hidden="false" customHeight="false" outlineLevel="0" collapsed="false">
      <c r="A77" s="22" t="n">
        <v>46121</v>
      </c>
      <c r="B77" s="19" t="s">
        <v>50</v>
      </c>
      <c r="C77" s="19" t="s">
        <v>11</v>
      </c>
      <c r="D77" s="19" t="s">
        <v>27</v>
      </c>
      <c r="E77" s="19" t="s">
        <v>63</v>
      </c>
      <c r="F77" s="20" t="n">
        <v>53097</v>
      </c>
      <c r="G77" s="20" t="n">
        <v>251131</v>
      </c>
    </row>
    <row r="78" customFormat="false" ht="15" hidden="false" customHeight="false" outlineLevel="0" collapsed="false">
      <c r="A78" s="22" t="n">
        <v>46121</v>
      </c>
      <c r="B78" s="19" t="s">
        <v>50</v>
      </c>
      <c r="C78" s="19" t="s">
        <v>13</v>
      </c>
      <c r="D78" s="19" t="s">
        <v>44</v>
      </c>
      <c r="E78" s="19" t="s">
        <v>64</v>
      </c>
      <c r="F78" s="20" t="n">
        <v>600000</v>
      </c>
      <c r="G78" s="20" t="n">
        <v>3643503</v>
      </c>
    </row>
    <row r="79" customFormat="false" ht="15" hidden="false" customHeight="false" outlineLevel="0" collapsed="false">
      <c r="A79" s="22" t="n">
        <v>46121</v>
      </c>
      <c r="B79" s="19" t="s">
        <v>50</v>
      </c>
      <c r="C79" s="19" t="s">
        <v>15</v>
      </c>
      <c r="D79" s="19" t="s">
        <v>45</v>
      </c>
      <c r="E79" s="19" t="s">
        <v>67</v>
      </c>
      <c r="F79" s="20" t="n">
        <v>32555</v>
      </c>
      <c r="G79" s="20" t="n">
        <v>107868</v>
      </c>
    </row>
    <row r="80" customFormat="false" ht="15" hidden="false" customHeight="false" outlineLevel="0" collapsed="false">
      <c r="A80" s="22" t="n">
        <v>46121</v>
      </c>
      <c r="B80" s="19" t="s">
        <v>50</v>
      </c>
      <c r="C80" s="19" t="s">
        <v>14</v>
      </c>
      <c r="D80" s="19" t="s">
        <v>38</v>
      </c>
      <c r="E80" s="19" t="s">
        <v>77</v>
      </c>
      <c r="F80" s="20" t="n">
        <v>56870</v>
      </c>
      <c r="G80" s="20" t="n">
        <v>99000</v>
      </c>
    </row>
    <row r="81" customFormat="false" ht="15" hidden="false" customHeight="false" outlineLevel="0" collapsed="false">
      <c r="A81" s="22" t="n">
        <v>46121</v>
      </c>
      <c r="B81" s="19" t="s">
        <v>50</v>
      </c>
      <c r="C81" s="19" t="s">
        <v>11</v>
      </c>
      <c r="D81" s="19" t="s">
        <v>28</v>
      </c>
      <c r="E81" s="19" t="s">
        <v>69</v>
      </c>
      <c r="F81" s="20" t="n">
        <v>78376</v>
      </c>
      <c r="G81" s="20" t="n">
        <v>289418</v>
      </c>
    </row>
    <row r="82" customFormat="false" ht="15" hidden="false" customHeight="false" outlineLevel="0" collapsed="false">
      <c r="A82" s="22" t="n">
        <v>46121</v>
      </c>
      <c r="B82" s="19" t="s">
        <v>50</v>
      </c>
      <c r="C82" s="19" t="s">
        <v>12</v>
      </c>
      <c r="D82" s="19" t="s">
        <v>31</v>
      </c>
      <c r="E82" s="19" t="s">
        <v>65</v>
      </c>
      <c r="F82" s="20" t="n">
        <v>139359</v>
      </c>
      <c r="G82" s="20" t="n">
        <v>294795</v>
      </c>
    </row>
    <row r="83" customFormat="false" ht="15" hidden="false" customHeight="false" outlineLevel="0" collapsed="false">
      <c r="A83" s="22" t="n">
        <v>46121</v>
      </c>
      <c r="B83" s="19" t="s">
        <v>50</v>
      </c>
      <c r="C83" s="19" t="s">
        <v>12</v>
      </c>
      <c r="D83" s="19" t="s">
        <v>37</v>
      </c>
      <c r="E83" s="19" t="s">
        <v>66</v>
      </c>
      <c r="F83" s="20" t="n">
        <v>24470</v>
      </c>
      <c r="G83" s="20" t="n">
        <v>96000</v>
      </c>
    </row>
    <row r="84" customFormat="false" ht="15" hidden="false" customHeight="false" outlineLevel="0" collapsed="false">
      <c r="A84" s="22" t="n">
        <v>46121</v>
      </c>
      <c r="B84" s="19" t="s">
        <v>50</v>
      </c>
      <c r="C84" s="19" t="s">
        <v>12</v>
      </c>
      <c r="D84" s="19" t="s">
        <v>30</v>
      </c>
      <c r="E84" s="19" t="s">
        <v>76</v>
      </c>
      <c r="F84" s="20" t="n">
        <v>100000</v>
      </c>
      <c r="G84" s="20" t="n">
        <v>139760</v>
      </c>
    </row>
    <row r="85" customFormat="false" ht="15" hidden="false" customHeight="false" outlineLevel="0" collapsed="false">
      <c r="A85" s="22" t="n">
        <v>46121</v>
      </c>
      <c r="B85" s="19" t="s">
        <v>50</v>
      </c>
      <c r="C85" s="19" t="s">
        <v>12</v>
      </c>
      <c r="D85" s="19" t="s">
        <v>29</v>
      </c>
      <c r="E85" s="19" t="s">
        <v>75</v>
      </c>
      <c r="F85" s="20" t="n">
        <v>44682</v>
      </c>
      <c r="G85" s="20" t="n">
        <v>225600</v>
      </c>
    </row>
    <row r="86" customFormat="false" ht="15" hidden="false" customHeight="false" outlineLevel="0" collapsed="false">
      <c r="A86" s="22" t="n">
        <v>46121</v>
      </c>
      <c r="B86" s="19" t="s">
        <v>50</v>
      </c>
      <c r="C86" s="19" t="s">
        <v>13</v>
      </c>
      <c r="D86" s="19" t="s">
        <v>43</v>
      </c>
      <c r="E86" s="19" t="s">
        <v>68</v>
      </c>
      <c r="F86" s="20" t="n">
        <v>29182</v>
      </c>
      <c r="G86" s="20" t="n">
        <v>0</v>
      </c>
    </row>
    <row r="87" customFormat="false" ht="15" hidden="false" customHeight="false" outlineLevel="0" collapsed="false">
      <c r="A87" s="22" t="n">
        <v>46121</v>
      </c>
      <c r="B87" s="19" t="s">
        <v>50</v>
      </c>
      <c r="C87" s="19" t="s">
        <v>12</v>
      </c>
      <c r="D87" s="19" t="s">
        <v>36</v>
      </c>
      <c r="E87" s="19" t="s">
        <v>78</v>
      </c>
      <c r="F87" s="20" t="n">
        <v>5660</v>
      </c>
      <c r="G87" s="20" t="n">
        <v>0</v>
      </c>
    </row>
    <row r="88" customFormat="false" ht="15" hidden="false" customHeight="false" outlineLevel="0" collapsed="false">
      <c r="A88" s="22" t="n">
        <v>46121</v>
      </c>
      <c r="B88" s="19" t="s">
        <v>50</v>
      </c>
      <c r="C88" s="19" t="s">
        <v>70</v>
      </c>
      <c r="D88" s="19" t="s">
        <v>23</v>
      </c>
      <c r="E88" s="19" t="s">
        <v>71</v>
      </c>
      <c r="F88" s="20" t="n">
        <v>3956</v>
      </c>
      <c r="G88" s="20" t="n">
        <v>0</v>
      </c>
    </row>
    <row r="89" customFormat="false" ht="15" hidden="false" customHeight="false" outlineLevel="0" collapsed="false">
      <c r="A89" s="22" t="n">
        <v>46122</v>
      </c>
      <c r="B89" s="19" t="s">
        <v>50</v>
      </c>
      <c r="C89" s="19" t="s">
        <v>11</v>
      </c>
      <c r="D89" s="19" t="s">
        <v>27</v>
      </c>
      <c r="E89" s="19" t="s">
        <v>63</v>
      </c>
      <c r="F89" s="20" t="n">
        <v>15583</v>
      </c>
      <c r="G89" s="20" t="n">
        <v>0</v>
      </c>
    </row>
    <row r="90" customFormat="false" ht="15" hidden="false" customHeight="false" outlineLevel="0" collapsed="false">
      <c r="A90" s="22" t="n">
        <v>46122</v>
      </c>
      <c r="B90" s="19" t="s">
        <v>50</v>
      </c>
      <c r="C90" s="19" t="s">
        <v>13</v>
      </c>
      <c r="D90" s="19" t="s">
        <v>44</v>
      </c>
      <c r="E90" s="19" t="s">
        <v>64</v>
      </c>
      <c r="F90" s="20" t="n">
        <v>150000</v>
      </c>
      <c r="G90" s="20" t="n">
        <v>691419</v>
      </c>
    </row>
    <row r="91" customFormat="false" ht="15" hidden="false" customHeight="false" outlineLevel="0" collapsed="false">
      <c r="A91" s="22" t="n">
        <v>46122</v>
      </c>
      <c r="B91" s="19" t="s">
        <v>50</v>
      </c>
      <c r="C91" s="19" t="s">
        <v>15</v>
      </c>
      <c r="D91" s="19" t="s">
        <v>45</v>
      </c>
      <c r="E91" s="19" t="s">
        <v>67</v>
      </c>
      <c r="F91" s="20" t="n">
        <v>110131</v>
      </c>
      <c r="G91" s="20" t="n">
        <v>443900</v>
      </c>
    </row>
    <row r="92" customFormat="false" ht="15" hidden="false" customHeight="false" outlineLevel="0" collapsed="false">
      <c r="A92" s="22" t="n">
        <v>46122</v>
      </c>
      <c r="B92" s="19" t="s">
        <v>50</v>
      </c>
      <c r="C92" s="19" t="s">
        <v>12</v>
      </c>
      <c r="D92" s="19" t="s">
        <v>29</v>
      </c>
      <c r="E92" s="19" t="s">
        <v>75</v>
      </c>
      <c r="F92" s="20" t="n">
        <v>160377</v>
      </c>
      <c r="G92" s="20" t="n">
        <v>888473</v>
      </c>
    </row>
    <row r="93" customFormat="false" ht="15" hidden="false" customHeight="false" outlineLevel="0" collapsed="false">
      <c r="A93" s="22" t="n">
        <v>46122</v>
      </c>
      <c r="B93" s="19" t="s">
        <v>50</v>
      </c>
      <c r="C93" s="19" t="s">
        <v>12</v>
      </c>
      <c r="D93" s="19" t="s">
        <v>37</v>
      </c>
      <c r="E93" s="19" t="s">
        <v>66</v>
      </c>
      <c r="F93" s="20" t="n">
        <v>71077</v>
      </c>
      <c r="G93" s="20" t="n">
        <v>299667</v>
      </c>
    </row>
    <row r="94" customFormat="false" ht="15" hidden="false" customHeight="false" outlineLevel="0" collapsed="false">
      <c r="A94" s="22" t="n">
        <v>46122</v>
      </c>
      <c r="B94" s="19" t="s">
        <v>50</v>
      </c>
      <c r="C94" s="19" t="s">
        <v>12</v>
      </c>
      <c r="D94" s="19" t="s">
        <v>31</v>
      </c>
      <c r="E94" s="19" t="s">
        <v>65</v>
      </c>
      <c r="F94" s="20" t="n">
        <v>414211</v>
      </c>
      <c r="G94" s="20" t="n">
        <v>1825888</v>
      </c>
    </row>
    <row r="95" customFormat="false" ht="15" hidden="false" customHeight="false" outlineLevel="0" collapsed="false">
      <c r="A95" s="22" t="n">
        <v>46122</v>
      </c>
      <c r="B95" s="19" t="s">
        <v>50</v>
      </c>
      <c r="C95" s="19" t="s">
        <v>13</v>
      </c>
      <c r="D95" s="19" t="s">
        <v>43</v>
      </c>
      <c r="E95" s="19" t="s">
        <v>68</v>
      </c>
      <c r="F95" s="20" t="n">
        <v>33827</v>
      </c>
      <c r="G95" s="20" t="n">
        <v>179450</v>
      </c>
    </row>
    <row r="96" customFormat="false" ht="15" hidden="false" customHeight="false" outlineLevel="0" collapsed="false">
      <c r="A96" s="22" t="n">
        <v>46122</v>
      </c>
      <c r="B96" s="19" t="s">
        <v>50</v>
      </c>
      <c r="C96" s="19" t="s">
        <v>11</v>
      </c>
      <c r="D96" s="19" t="s">
        <v>28</v>
      </c>
      <c r="E96" s="19" t="s">
        <v>69</v>
      </c>
      <c r="F96" s="20" t="n">
        <v>19972</v>
      </c>
      <c r="G96" s="20" t="n">
        <v>0</v>
      </c>
    </row>
    <row r="97" customFormat="false" ht="15" hidden="false" customHeight="false" outlineLevel="0" collapsed="false">
      <c r="A97" s="22" t="n">
        <v>46122</v>
      </c>
      <c r="B97" s="19" t="s">
        <v>50</v>
      </c>
      <c r="C97" s="19" t="s">
        <v>12</v>
      </c>
      <c r="D97" s="19" t="s">
        <v>30</v>
      </c>
      <c r="E97" s="19" t="s">
        <v>76</v>
      </c>
      <c r="F97" s="20" t="n">
        <v>100000</v>
      </c>
      <c r="G97" s="20" t="n">
        <v>0</v>
      </c>
    </row>
    <row r="98" customFormat="false" ht="15" hidden="false" customHeight="false" outlineLevel="0" collapsed="false">
      <c r="A98" s="22" t="n">
        <v>46122</v>
      </c>
      <c r="B98" s="19" t="s">
        <v>50</v>
      </c>
      <c r="C98" s="19" t="s">
        <v>70</v>
      </c>
      <c r="D98" s="19" t="s">
        <v>23</v>
      </c>
      <c r="E98" s="19" t="s">
        <v>71</v>
      </c>
      <c r="F98" s="20" t="n">
        <v>11066</v>
      </c>
      <c r="G98" s="20" t="n">
        <v>0</v>
      </c>
    </row>
    <row r="99" customFormat="false" ht="15" hidden="false" customHeight="false" outlineLevel="0" collapsed="false">
      <c r="A99" s="22" t="n">
        <v>46122</v>
      </c>
      <c r="B99" s="19" t="s">
        <v>50</v>
      </c>
      <c r="C99" s="19" t="s">
        <v>14</v>
      </c>
      <c r="D99" s="19" t="s">
        <v>38</v>
      </c>
      <c r="E99" s="19" t="s">
        <v>77</v>
      </c>
      <c r="F99" s="20" t="n">
        <v>4423</v>
      </c>
      <c r="G99" s="20" t="n">
        <v>0</v>
      </c>
    </row>
    <row r="100" customFormat="false" ht="15" hidden="false" customHeight="false" outlineLevel="0" collapsed="false">
      <c r="A100" s="22" t="n">
        <v>46122</v>
      </c>
      <c r="B100" s="19" t="s">
        <v>50</v>
      </c>
      <c r="C100" s="19" t="s">
        <v>12</v>
      </c>
      <c r="D100" s="19" t="s">
        <v>36</v>
      </c>
      <c r="E100" s="19" t="s">
        <v>78</v>
      </c>
      <c r="F100" s="20" t="n">
        <v>7040</v>
      </c>
      <c r="G100" s="20" t="n">
        <v>0</v>
      </c>
    </row>
    <row r="101" customFormat="false" ht="15" hidden="false" customHeight="false" outlineLevel="0" collapsed="false">
      <c r="A101" s="22" t="n">
        <v>46123</v>
      </c>
      <c r="B101" s="19" t="s">
        <v>50</v>
      </c>
      <c r="C101" s="19" t="s">
        <v>11</v>
      </c>
      <c r="D101" s="19" t="s">
        <v>27</v>
      </c>
      <c r="E101" s="19" t="s">
        <v>63</v>
      </c>
      <c r="F101" s="20" t="n">
        <v>7762</v>
      </c>
      <c r="G101" s="20" t="n">
        <v>39000</v>
      </c>
    </row>
    <row r="102" customFormat="false" ht="15" hidden="false" customHeight="false" outlineLevel="0" collapsed="false">
      <c r="A102" s="22" t="n">
        <v>46123</v>
      </c>
      <c r="B102" s="19" t="s">
        <v>50</v>
      </c>
      <c r="C102" s="19" t="s">
        <v>13</v>
      </c>
      <c r="D102" s="19" t="s">
        <v>44</v>
      </c>
      <c r="E102" s="19" t="s">
        <v>64</v>
      </c>
      <c r="F102" s="20" t="n">
        <v>164519</v>
      </c>
      <c r="G102" s="20" t="n">
        <v>928532</v>
      </c>
    </row>
    <row r="103" customFormat="false" ht="15" hidden="false" customHeight="false" outlineLevel="0" collapsed="false">
      <c r="A103" s="22" t="n">
        <v>46123</v>
      </c>
      <c r="B103" s="19" t="s">
        <v>50</v>
      </c>
      <c r="C103" s="19" t="s">
        <v>13</v>
      </c>
      <c r="D103" s="19" t="s">
        <v>43</v>
      </c>
      <c r="E103" s="19" t="s">
        <v>68</v>
      </c>
      <c r="F103" s="20" t="n">
        <v>115492</v>
      </c>
      <c r="G103" s="20" t="n">
        <v>496550</v>
      </c>
    </row>
    <row r="104" customFormat="false" ht="15" hidden="false" customHeight="false" outlineLevel="0" collapsed="false">
      <c r="A104" s="22" t="n">
        <v>46123</v>
      </c>
      <c r="B104" s="19" t="s">
        <v>50</v>
      </c>
      <c r="C104" s="19" t="s">
        <v>12</v>
      </c>
      <c r="D104" s="19" t="s">
        <v>37</v>
      </c>
      <c r="E104" s="19" t="s">
        <v>66</v>
      </c>
      <c r="F104" s="20" t="n">
        <v>51532</v>
      </c>
      <c r="G104" s="20" t="n">
        <v>231000</v>
      </c>
    </row>
    <row r="105" customFormat="false" ht="15" hidden="false" customHeight="false" outlineLevel="0" collapsed="false">
      <c r="A105" s="22" t="n">
        <v>46123</v>
      </c>
      <c r="B105" s="19" t="s">
        <v>50</v>
      </c>
      <c r="C105" s="19" t="s">
        <v>12</v>
      </c>
      <c r="D105" s="19" t="s">
        <v>29</v>
      </c>
      <c r="E105" s="19" t="s">
        <v>75</v>
      </c>
      <c r="F105" s="20" t="n">
        <v>51507</v>
      </c>
      <c r="G105" s="20" t="n">
        <v>225600</v>
      </c>
    </row>
    <row r="106" customFormat="false" ht="15" hidden="false" customHeight="false" outlineLevel="0" collapsed="false">
      <c r="A106" s="22" t="n">
        <v>46123</v>
      </c>
      <c r="B106" s="19" t="s">
        <v>50</v>
      </c>
      <c r="C106" s="19" t="s">
        <v>15</v>
      </c>
      <c r="D106" s="19" t="s">
        <v>45</v>
      </c>
      <c r="E106" s="19" t="s">
        <v>67</v>
      </c>
      <c r="F106" s="20" t="n">
        <v>36115</v>
      </c>
      <c r="G106" s="20" t="n">
        <v>146550</v>
      </c>
    </row>
    <row r="107" customFormat="false" ht="15" hidden="false" customHeight="false" outlineLevel="0" collapsed="false">
      <c r="A107" s="22" t="n">
        <v>46123</v>
      </c>
      <c r="B107" s="19" t="s">
        <v>50</v>
      </c>
      <c r="C107" s="19" t="s">
        <v>11</v>
      </c>
      <c r="D107" s="19" t="s">
        <v>28</v>
      </c>
      <c r="E107" s="19" t="s">
        <v>69</v>
      </c>
      <c r="F107" s="20" t="n">
        <v>62040</v>
      </c>
      <c r="G107" s="20" t="n">
        <v>140962</v>
      </c>
    </row>
    <row r="108" customFormat="false" ht="15" hidden="false" customHeight="false" outlineLevel="0" collapsed="false">
      <c r="A108" s="22" t="n">
        <v>46123</v>
      </c>
      <c r="B108" s="19" t="s">
        <v>50</v>
      </c>
      <c r="C108" s="19" t="s">
        <v>12</v>
      </c>
      <c r="D108" s="19" t="s">
        <v>31</v>
      </c>
      <c r="E108" s="19" t="s">
        <v>65</v>
      </c>
      <c r="F108" s="20" t="n">
        <v>114230</v>
      </c>
      <c r="G108" s="20" t="n">
        <v>260400</v>
      </c>
    </row>
    <row r="109" customFormat="false" ht="15" hidden="false" customHeight="false" outlineLevel="0" collapsed="false">
      <c r="A109" s="22" t="n">
        <v>46123</v>
      </c>
      <c r="B109" s="19" t="s">
        <v>50</v>
      </c>
      <c r="C109" s="19" t="s">
        <v>12</v>
      </c>
      <c r="D109" s="19" t="s">
        <v>30</v>
      </c>
      <c r="E109" s="19" t="s">
        <v>76</v>
      </c>
      <c r="F109" s="20" t="n">
        <v>75624</v>
      </c>
      <c r="G109" s="20" t="n">
        <v>337250</v>
      </c>
    </row>
    <row r="110" customFormat="false" ht="15" hidden="false" customHeight="false" outlineLevel="0" collapsed="false">
      <c r="A110" s="22" t="n">
        <v>46123</v>
      </c>
      <c r="B110" s="19" t="s">
        <v>50</v>
      </c>
      <c r="C110" s="19" t="s">
        <v>70</v>
      </c>
      <c r="D110" s="19" t="s">
        <v>23</v>
      </c>
      <c r="E110" s="19" t="s">
        <v>71</v>
      </c>
      <c r="F110" s="20" t="n">
        <v>57783</v>
      </c>
      <c r="G110" s="20" t="n">
        <v>281300</v>
      </c>
    </row>
    <row r="111" customFormat="false" ht="15" hidden="false" customHeight="false" outlineLevel="0" collapsed="false">
      <c r="A111" s="22" t="n">
        <v>46123</v>
      </c>
      <c r="B111" s="19" t="s">
        <v>50</v>
      </c>
      <c r="C111" s="19" t="s">
        <v>14</v>
      </c>
      <c r="D111" s="19" t="s">
        <v>38</v>
      </c>
      <c r="E111" s="19" t="s">
        <v>77</v>
      </c>
      <c r="F111" s="20" t="n">
        <v>3499</v>
      </c>
      <c r="G111" s="20" t="n">
        <v>0</v>
      </c>
    </row>
    <row r="112" customFormat="false" ht="15" hidden="false" customHeight="false" outlineLevel="0" collapsed="false">
      <c r="A112" s="22" t="n">
        <v>46123</v>
      </c>
      <c r="B112" s="19" t="s">
        <v>50</v>
      </c>
      <c r="C112" s="19" t="s">
        <v>12</v>
      </c>
      <c r="D112" s="19" t="s">
        <v>36</v>
      </c>
      <c r="E112" s="19" t="s">
        <v>78</v>
      </c>
      <c r="F112" s="20" t="n">
        <v>1593</v>
      </c>
      <c r="G112" s="20" t="n">
        <v>0</v>
      </c>
    </row>
    <row r="113" customFormat="false" ht="15" hidden="false" customHeight="false" outlineLevel="0" collapsed="false">
      <c r="A113" s="22" t="n">
        <v>46124</v>
      </c>
      <c r="B113" s="19" t="s">
        <v>50</v>
      </c>
      <c r="C113" s="19" t="s">
        <v>11</v>
      </c>
      <c r="D113" s="19" t="s">
        <v>27</v>
      </c>
      <c r="E113" s="19" t="s">
        <v>63</v>
      </c>
      <c r="F113" s="20" t="n">
        <v>11396</v>
      </c>
      <c r="G113" s="20" t="n">
        <v>39000</v>
      </c>
    </row>
    <row r="114" customFormat="false" ht="15" hidden="false" customHeight="false" outlineLevel="0" collapsed="false">
      <c r="A114" s="22" t="n">
        <v>46124</v>
      </c>
      <c r="B114" s="19" t="s">
        <v>50</v>
      </c>
      <c r="C114" s="19" t="s">
        <v>13</v>
      </c>
      <c r="D114" s="19" t="s">
        <v>44</v>
      </c>
      <c r="E114" s="19" t="s">
        <v>64</v>
      </c>
      <c r="F114" s="20" t="n">
        <v>597753</v>
      </c>
      <c r="G114" s="20" t="n">
        <v>2711913</v>
      </c>
    </row>
    <row r="115" customFormat="false" ht="15" hidden="false" customHeight="false" outlineLevel="0" collapsed="false">
      <c r="A115" s="22" t="n">
        <v>46124</v>
      </c>
      <c r="B115" s="19" t="s">
        <v>50</v>
      </c>
      <c r="C115" s="19" t="s">
        <v>12</v>
      </c>
      <c r="D115" s="19" t="s">
        <v>37</v>
      </c>
      <c r="E115" s="19" t="s">
        <v>66</v>
      </c>
      <c r="F115" s="20" t="n">
        <v>63885</v>
      </c>
      <c r="G115" s="20" t="n">
        <v>312163</v>
      </c>
    </row>
    <row r="116" customFormat="false" ht="15" hidden="false" customHeight="false" outlineLevel="0" collapsed="false">
      <c r="A116" s="22" t="n">
        <v>46124</v>
      </c>
      <c r="B116" s="19" t="s">
        <v>50</v>
      </c>
      <c r="C116" s="19" t="s">
        <v>13</v>
      </c>
      <c r="D116" s="19" t="s">
        <v>43</v>
      </c>
      <c r="E116" s="19" t="s">
        <v>68</v>
      </c>
      <c r="F116" s="20" t="n">
        <v>163382</v>
      </c>
      <c r="G116" s="20" t="n">
        <v>821700</v>
      </c>
    </row>
    <row r="117" customFormat="false" ht="15" hidden="false" customHeight="false" outlineLevel="0" collapsed="false">
      <c r="A117" s="22" t="n">
        <v>46124</v>
      </c>
      <c r="B117" s="19" t="s">
        <v>50</v>
      </c>
      <c r="C117" s="19" t="s">
        <v>12</v>
      </c>
      <c r="D117" s="19" t="s">
        <v>31</v>
      </c>
      <c r="E117" s="19" t="s">
        <v>65</v>
      </c>
      <c r="F117" s="20" t="n">
        <v>197024</v>
      </c>
      <c r="G117" s="20" t="n">
        <v>464500</v>
      </c>
    </row>
    <row r="118" customFormat="false" ht="15" hidden="false" customHeight="false" outlineLevel="0" collapsed="false">
      <c r="A118" s="22" t="n">
        <v>46124</v>
      </c>
      <c r="B118" s="19" t="s">
        <v>50</v>
      </c>
      <c r="C118" s="19" t="s">
        <v>12</v>
      </c>
      <c r="D118" s="19" t="s">
        <v>29</v>
      </c>
      <c r="E118" s="19" t="s">
        <v>75</v>
      </c>
      <c r="F118" s="20" t="n">
        <v>22566</v>
      </c>
      <c r="G118" s="20" t="n">
        <v>135000</v>
      </c>
    </row>
    <row r="119" customFormat="false" ht="15" hidden="false" customHeight="false" outlineLevel="0" collapsed="false">
      <c r="A119" s="22" t="n">
        <v>46124</v>
      </c>
      <c r="B119" s="19" t="s">
        <v>50</v>
      </c>
      <c r="C119" s="19" t="s">
        <v>15</v>
      </c>
      <c r="D119" s="19" t="s">
        <v>45</v>
      </c>
      <c r="E119" s="19" t="s">
        <v>67</v>
      </c>
      <c r="F119" s="20" t="n">
        <v>12442</v>
      </c>
      <c r="G119" s="20" t="n">
        <v>0</v>
      </c>
    </row>
    <row r="120" customFormat="false" ht="15" hidden="false" customHeight="false" outlineLevel="0" collapsed="false">
      <c r="A120" s="22" t="n">
        <v>46124</v>
      </c>
      <c r="B120" s="19" t="s">
        <v>50</v>
      </c>
      <c r="C120" s="19" t="s">
        <v>11</v>
      </c>
      <c r="D120" s="19" t="s">
        <v>28</v>
      </c>
      <c r="E120" s="19" t="s">
        <v>69</v>
      </c>
      <c r="F120" s="20" t="n">
        <v>23887</v>
      </c>
      <c r="G120" s="20" t="n">
        <v>0</v>
      </c>
    </row>
    <row r="121" customFormat="false" ht="15" hidden="false" customHeight="false" outlineLevel="0" collapsed="false">
      <c r="A121" s="22" t="n">
        <v>46124</v>
      </c>
      <c r="B121" s="19" t="s">
        <v>50</v>
      </c>
      <c r="C121" s="19" t="s">
        <v>12</v>
      </c>
      <c r="D121" s="19" t="s">
        <v>30</v>
      </c>
      <c r="E121" s="19" t="s">
        <v>76</v>
      </c>
      <c r="F121" s="20" t="n">
        <v>28983</v>
      </c>
      <c r="G121" s="20" t="n">
        <v>166185</v>
      </c>
    </row>
    <row r="122" customFormat="false" ht="15" hidden="false" customHeight="false" outlineLevel="0" collapsed="false">
      <c r="A122" s="22" t="n">
        <v>46124</v>
      </c>
      <c r="B122" s="19" t="s">
        <v>50</v>
      </c>
      <c r="C122" s="19" t="s">
        <v>70</v>
      </c>
      <c r="D122" s="19" t="s">
        <v>23</v>
      </c>
      <c r="E122" s="19" t="s">
        <v>71</v>
      </c>
      <c r="F122" s="20" t="n">
        <v>63059</v>
      </c>
      <c r="G122" s="20" t="n">
        <v>273704</v>
      </c>
    </row>
    <row r="123" customFormat="false" ht="15" hidden="false" customHeight="false" outlineLevel="0" collapsed="false">
      <c r="A123" s="22" t="n">
        <v>46124</v>
      </c>
      <c r="B123" s="19" t="s">
        <v>50</v>
      </c>
      <c r="C123" s="19" t="s">
        <v>14</v>
      </c>
      <c r="D123" s="19" t="s">
        <v>38</v>
      </c>
      <c r="E123" s="19" t="s">
        <v>77</v>
      </c>
      <c r="F123" s="20" t="n">
        <v>1215</v>
      </c>
      <c r="G123" s="20" t="n">
        <v>0</v>
      </c>
    </row>
    <row r="124" customFormat="false" ht="15" hidden="false" customHeight="false" outlineLevel="0" collapsed="false">
      <c r="A124" s="22" t="n">
        <v>46124</v>
      </c>
      <c r="B124" s="19" t="s">
        <v>50</v>
      </c>
      <c r="C124" s="19" t="s">
        <v>12</v>
      </c>
      <c r="D124" s="19" t="s">
        <v>36</v>
      </c>
      <c r="E124" s="19" t="s">
        <v>78</v>
      </c>
      <c r="F124" s="20" t="n">
        <v>9006</v>
      </c>
      <c r="G124" s="20" t="n">
        <v>0</v>
      </c>
    </row>
    <row r="125" customFormat="false" ht="15" hidden="false" customHeight="false" outlineLevel="0" collapsed="false">
      <c r="A125" s="22" t="n">
        <v>46125</v>
      </c>
      <c r="B125" s="19" t="s">
        <v>50</v>
      </c>
      <c r="C125" s="19" t="s">
        <v>11</v>
      </c>
      <c r="D125" s="19" t="s">
        <v>27</v>
      </c>
      <c r="E125" s="19" t="s">
        <v>63</v>
      </c>
      <c r="F125" s="20" t="n">
        <v>1742</v>
      </c>
      <c r="G125" s="20" t="n">
        <v>0</v>
      </c>
    </row>
    <row r="126" customFormat="false" ht="15" hidden="false" customHeight="false" outlineLevel="0" collapsed="false">
      <c r="A126" s="22" t="n">
        <v>46125</v>
      </c>
      <c r="B126" s="19" t="s">
        <v>50</v>
      </c>
      <c r="C126" s="19" t="s">
        <v>12</v>
      </c>
      <c r="D126" s="19" t="s">
        <v>37</v>
      </c>
      <c r="E126" s="19" t="s">
        <v>66</v>
      </c>
      <c r="F126" s="20" t="n">
        <v>281346</v>
      </c>
      <c r="G126" s="20" t="n">
        <v>1652062</v>
      </c>
    </row>
    <row r="127" customFormat="false" ht="15" hidden="false" customHeight="false" outlineLevel="0" collapsed="false">
      <c r="A127" s="22" t="n">
        <v>46125</v>
      </c>
      <c r="B127" s="19" t="s">
        <v>50</v>
      </c>
      <c r="C127" s="19" t="s">
        <v>13</v>
      </c>
      <c r="D127" s="19" t="s">
        <v>44</v>
      </c>
      <c r="E127" s="19" t="s">
        <v>64</v>
      </c>
      <c r="F127" s="20" t="n">
        <v>466450</v>
      </c>
      <c r="G127" s="20" t="n">
        <v>2721567</v>
      </c>
    </row>
    <row r="128" customFormat="false" ht="15" hidden="false" customHeight="false" outlineLevel="0" collapsed="false">
      <c r="A128" s="22" t="n">
        <v>46125</v>
      </c>
      <c r="B128" s="19" t="s">
        <v>50</v>
      </c>
      <c r="C128" s="19" t="s">
        <v>11</v>
      </c>
      <c r="D128" s="19" t="s">
        <v>28</v>
      </c>
      <c r="E128" s="19" t="s">
        <v>69</v>
      </c>
      <c r="F128" s="20" t="n">
        <v>95772</v>
      </c>
      <c r="G128" s="20" t="n">
        <v>436957</v>
      </c>
    </row>
    <row r="129" customFormat="false" ht="15" hidden="false" customHeight="false" outlineLevel="0" collapsed="false">
      <c r="A129" s="22" t="n">
        <v>46125</v>
      </c>
      <c r="B129" s="19" t="s">
        <v>50</v>
      </c>
      <c r="C129" s="19" t="s">
        <v>12</v>
      </c>
      <c r="D129" s="19" t="s">
        <v>31</v>
      </c>
      <c r="E129" s="19" t="s">
        <v>65</v>
      </c>
      <c r="F129" s="20" t="n">
        <v>122652</v>
      </c>
      <c r="G129" s="20" t="n">
        <v>358900</v>
      </c>
    </row>
    <row r="130" customFormat="false" ht="15" hidden="false" customHeight="false" outlineLevel="0" collapsed="false">
      <c r="A130" s="22" t="n">
        <v>46125</v>
      </c>
      <c r="B130" s="19" t="s">
        <v>50</v>
      </c>
      <c r="C130" s="19" t="s">
        <v>12</v>
      </c>
      <c r="D130" s="19" t="s">
        <v>29</v>
      </c>
      <c r="E130" s="19" t="s">
        <v>75</v>
      </c>
      <c r="F130" s="20" t="n">
        <v>75266</v>
      </c>
      <c r="G130" s="20" t="n">
        <v>371650</v>
      </c>
    </row>
    <row r="131" customFormat="false" ht="15" hidden="false" customHeight="false" outlineLevel="0" collapsed="false">
      <c r="A131" s="22" t="n">
        <v>46125</v>
      </c>
      <c r="B131" s="19" t="s">
        <v>50</v>
      </c>
      <c r="C131" s="19" t="s">
        <v>13</v>
      </c>
      <c r="D131" s="19" t="s">
        <v>43</v>
      </c>
      <c r="E131" s="19" t="s">
        <v>68</v>
      </c>
      <c r="F131" s="20" t="n">
        <v>85609</v>
      </c>
      <c r="G131" s="20" t="n">
        <v>952820</v>
      </c>
    </row>
    <row r="132" customFormat="false" ht="15" hidden="false" customHeight="false" outlineLevel="0" collapsed="false">
      <c r="A132" s="22" t="n">
        <v>46125</v>
      </c>
      <c r="B132" s="19" t="s">
        <v>50</v>
      </c>
      <c r="C132" s="19" t="s">
        <v>15</v>
      </c>
      <c r="D132" s="19" t="s">
        <v>45</v>
      </c>
      <c r="E132" s="19" t="s">
        <v>67</v>
      </c>
      <c r="F132" s="20" t="n">
        <v>11691</v>
      </c>
      <c r="G132" s="20" t="n">
        <v>35000</v>
      </c>
    </row>
    <row r="133" customFormat="false" ht="15" hidden="false" customHeight="false" outlineLevel="0" collapsed="false">
      <c r="A133" s="22" t="n">
        <v>46125</v>
      </c>
      <c r="B133" s="19" t="s">
        <v>50</v>
      </c>
      <c r="C133" s="19" t="s">
        <v>12</v>
      </c>
      <c r="D133" s="19" t="s">
        <v>30</v>
      </c>
      <c r="E133" s="19" t="s">
        <v>76</v>
      </c>
      <c r="F133" s="20" t="n">
        <v>21149</v>
      </c>
      <c r="G133" s="20" t="n">
        <v>0</v>
      </c>
    </row>
    <row r="134" customFormat="false" ht="15" hidden="false" customHeight="false" outlineLevel="0" collapsed="false">
      <c r="A134" s="22" t="n">
        <v>46125</v>
      </c>
      <c r="B134" s="19" t="s">
        <v>50</v>
      </c>
      <c r="C134" s="19" t="s">
        <v>70</v>
      </c>
      <c r="D134" s="19" t="s">
        <v>23</v>
      </c>
      <c r="E134" s="19" t="s">
        <v>71</v>
      </c>
      <c r="F134" s="20" t="n">
        <v>26578</v>
      </c>
      <c r="G134" s="20" t="n">
        <v>110580</v>
      </c>
    </row>
    <row r="135" customFormat="false" ht="15" hidden="false" customHeight="false" outlineLevel="0" collapsed="false">
      <c r="A135" s="22" t="n">
        <v>46125</v>
      </c>
      <c r="B135" s="19" t="s">
        <v>50</v>
      </c>
      <c r="C135" s="19" t="s">
        <v>14</v>
      </c>
      <c r="D135" s="19" t="s">
        <v>38</v>
      </c>
      <c r="E135" s="19" t="s">
        <v>77</v>
      </c>
      <c r="F135" s="20" t="n">
        <v>2733</v>
      </c>
      <c r="G135" s="20" t="n">
        <v>0</v>
      </c>
    </row>
    <row r="136" customFormat="false" ht="15" hidden="false" customHeight="false" outlineLevel="0" collapsed="false">
      <c r="A136" s="22" t="n">
        <v>46125</v>
      </c>
      <c r="B136" s="19" t="s">
        <v>50</v>
      </c>
      <c r="C136" s="19" t="s">
        <v>12</v>
      </c>
      <c r="D136" s="19" t="s">
        <v>36</v>
      </c>
      <c r="E136" s="19" t="s">
        <v>78</v>
      </c>
      <c r="F136" s="20" t="n">
        <v>21406</v>
      </c>
      <c r="G136" s="20" t="n">
        <v>0</v>
      </c>
    </row>
    <row r="137" customFormat="false" ht="15" hidden="false" customHeight="false" outlineLevel="0" collapsed="false">
      <c r="A137" s="22" t="n">
        <v>46126</v>
      </c>
      <c r="B137" s="19" t="s">
        <v>50</v>
      </c>
      <c r="C137" s="19" t="s">
        <v>11</v>
      </c>
      <c r="D137" s="19" t="s">
        <v>27</v>
      </c>
      <c r="E137" s="19" t="s">
        <v>63</v>
      </c>
      <c r="F137" s="20" t="n">
        <v>5636</v>
      </c>
      <c r="G137" s="20" t="n">
        <v>0</v>
      </c>
    </row>
    <row r="138" customFormat="false" ht="15" hidden="false" customHeight="false" outlineLevel="0" collapsed="false">
      <c r="A138" s="22" t="n">
        <v>46126</v>
      </c>
      <c r="B138" s="19" t="s">
        <v>50</v>
      </c>
      <c r="C138" s="19" t="s">
        <v>12</v>
      </c>
      <c r="D138" s="19" t="s">
        <v>37</v>
      </c>
      <c r="E138" s="19" t="s">
        <v>66</v>
      </c>
      <c r="F138" s="20" t="n">
        <v>222011</v>
      </c>
      <c r="G138" s="20" t="n">
        <v>879750</v>
      </c>
    </row>
    <row r="139" customFormat="false" ht="15" hidden="false" customHeight="false" outlineLevel="0" collapsed="false">
      <c r="A139" s="22" t="n">
        <v>46126</v>
      </c>
      <c r="B139" s="19" t="s">
        <v>50</v>
      </c>
      <c r="C139" s="19" t="s">
        <v>13</v>
      </c>
      <c r="D139" s="19" t="s">
        <v>44</v>
      </c>
      <c r="E139" s="19" t="s">
        <v>64</v>
      </c>
      <c r="F139" s="20" t="n">
        <v>482050</v>
      </c>
      <c r="G139" s="20" t="n">
        <v>2703746</v>
      </c>
    </row>
    <row r="140" customFormat="false" ht="15" hidden="false" customHeight="false" outlineLevel="0" collapsed="false">
      <c r="A140" s="22" t="n">
        <v>46126</v>
      </c>
      <c r="B140" s="19" t="s">
        <v>50</v>
      </c>
      <c r="C140" s="19" t="s">
        <v>13</v>
      </c>
      <c r="D140" s="19" t="s">
        <v>43</v>
      </c>
      <c r="E140" s="19" t="s">
        <v>68</v>
      </c>
      <c r="F140" s="20" t="n">
        <v>300000</v>
      </c>
      <c r="G140" s="20" t="n">
        <v>1672218</v>
      </c>
    </row>
    <row r="141" customFormat="false" ht="15" hidden="false" customHeight="false" outlineLevel="0" collapsed="false">
      <c r="A141" s="22" t="n">
        <v>46126</v>
      </c>
      <c r="B141" s="19" t="s">
        <v>50</v>
      </c>
      <c r="C141" s="19" t="s">
        <v>12</v>
      </c>
      <c r="D141" s="19" t="s">
        <v>31</v>
      </c>
      <c r="E141" s="19" t="s">
        <v>65</v>
      </c>
      <c r="F141" s="20" t="n">
        <v>301686</v>
      </c>
      <c r="G141" s="20" t="n">
        <v>1440220</v>
      </c>
    </row>
    <row r="142" customFormat="false" ht="15" hidden="false" customHeight="false" outlineLevel="0" collapsed="false">
      <c r="A142" s="22" t="n">
        <v>46126</v>
      </c>
      <c r="B142" s="19" t="s">
        <v>50</v>
      </c>
      <c r="C142" s="19" t="s">
        <v>11</v>
      </c>
      <c r="D142" s="19" t="s">
        <v>28</v>
      </c>
      <c r="E142" s="19" t="s">
        <v>69</v>
      </c>
      <c r="F142" s="20" t="n">
        <v>97650</v>
      </c>
      <c r="G142" s="20" t="n">
        <v>415425</v>
      </c>
    </row>
    <row r="143" customFormat="false" ht="15" hidden="false" customHeight="false" outlineLevel="0" collapsed="false">
      <c r="A143" s="22" t="n">
        <v>46126</v>
      </c>
      <c r="B143" s="19" t="s">
        <v>50</v>
      </c>
      <c r="C143" s="19" t="s">
        <v>12</v>
      </c>
      <c r="D143" s="19" t="s">
        <v>29</v>
      </c>
      <c r="E143" s="19" t="s">
        <v>75</v>
      </c>
      <c r="F143" s="20" t="n">
        <v>40731</v>
      </c>
      <c r="G143" s="20" t="n">
        <v>223250</v>
      </c>
    </row>
    <row r="144" customFormat="false" ht="15" hidden="false" customHeight="false" outlineLevel="0" collapsed="false">
      <c r="A144" s="22" t="n">
        <v>46126</v>
      </c>
      <c r="B144" s="19" t="s">
        <v>50</v>
      </c>
      <c r="C144" s="19" t="s">
        <v>15</v>
      </c>
      <c r="D144" s="19" t="s">
        <v>45</v>
      </c>
      <c r="E144" s="19" t="s">
        <v>67</v>
      </c>
      <c r="F144" s="20" t="n">
        <v>8934</v>
      </c>
      <c r="G144" s="20" t="n">
        <v>0</v>
      </c>
    </row>
    <row r="145" customFormat="false" ht="15" hidden="false" customHeight="false" outlineLevel="0" collapsed="false">
      <c r="A145" s="22" t="n">
        <v>46126</v>
      </c>
      <c r="B145" s="19" t="s">
        <v>50</v>
      </c>
      <c r="C145" s="19" t="s">
        <v>12</v>
      </c>
      <c r="D145" s="19" t="s">
        <v>30</v>
      </c>
      <c r="E145" s="19" t="s">
        <v>76</v>
      </c>
      <c r="F145" s="20" t="n">
        <v>27573</v>
      </c>
      <c r="G145" s="20" t="n">
        <v>111550</v>
      </c>
    </row>
    <row r="146" customFormat="false" ht="15" hidden="false" customHeight="false" outlineLevel="0" collapsed="false">
      <c r="A146" s="22" t="n">
        <v>46126</v>
      </c>
      <c r="B146" s="19" t="s">
        <v>50</v>
      </c>
      <c r="C146" s="19" t="s">
        <v>70</v>
      </c>
      <c r="D146" s="19" t="s">
        <v>23</v>
      </c>
      <c r="E146" s="19" t="s">
        <v>71</v>
      </c>
      <c r="F146" s="20" t="n">
        <v>12875</v>
      </c>
      <c r="G146" s="20" t="n">
        <v>0</v>
      </c>
    </row>
    <row r="147" customFormat="false" ht="15" hidden="false" customHeight="false" outlineLevel="0" collapsed="false">
      <c r="A147" s="22" t="n">
        <v>46126</v>
      </c>
      <c r="B147" s="19" t="s">
        <v>50</v>
      </c>
      <c r="C147" s="19" t="s">
        <v>12</v>
      </c>
      <c r="D147" s="19" t="s">
        <v>36</v>
      </c>
      <c r="E147" s="19" t="s">
        <v>78</v>
      </c>
      <c r="F147" s="20" t="n">
        <v>548</v>
      </c>
      <c r="G147" s="20" t="n">
        <v>0</v>
      </c>
    </row>
    <row r="148" customFormat="false" ht="15" hidden="false" customHeight="false" outlineLevel="0" collapsed="false">
      <c r="A148" s="22" t="n">
        <v>46126</v>
      </c>
      <c r="B148" s="19" t="s">
        <v>50</v>
      </c>
      <c r="C148" s="19" t="s">
        <v>14</v>
      </c>
      <c r="D148" s="19" t="s">
        <v>38</v>
      </c>
      <c r="E148" s="19" t="s">
        <v>77</v>
      </c>
      <c r="F148" s="20" t="n">
        <v>7178</v>
      </c>
      <c r="G148" s="20" t="n">
        <v>0</v>
      </c>
    </row>
    <row r="149" customFormat="false" ht="15" hidden="false" customHeight="false" outlineLevel="0" collapsed="false">
      <c r="A149" s="22" t="n">
        <v>46127</v>
      </c>
      <c r="B149" s="19" t="s">
        <v>50</v>
      </c>
      <c r="C149" s="19" t="s">
        <v>11</v>
      </c>
      <c r="D149" s="19" t="s">
        <v>27</v>
      </c>
      <c r="E149" s="19" t="s">
        <v>63</v>
      </c>
      <c r="F149" s="20" t="n">
        <v>5915</v>
      </c>
      <c r="G149" s="20" t="n">
        <v>0</v>
      </c>
    </row>
    <row r="150" customFormat="false" ht="15" hidden="false" customHeight="false" outlineLevel="0" collapsed="false">
      <c r="A150" s="22" t="n">
        <v>46127</v>
      </c>
      <c r="B150" s="19" t="s">
        <v>50</v>
      </c>
      <c r="C150" s="19" t="s">
        <v>12</v>
      </c>
      <c r="D150" s="19" t="s">
        <v>37</v>
      </c>
      <c r="E150" s="19" t="s">
        <v>66</v>
      </c>
      <c r="F150" s="20" t="n">
        <v>500000</v>
      </c>
      <c r="G150" s="20" t="n">
        <v>3088924</v>
      </c>
    </row>
    <row r="151" customFormat="false" ht="15" hidden="false" customHeight="false" outlineLevel="0" collapsed="false">
      <c r="A151" s="22" t="n">
        <v>46127</v>
      </c>
      <c r="B151" s="19" t="s">
        <v>50</v>
      </c>
      <c r="C151" s="19" t="s">
        <v>13</v>
      </c>
      <c r="D151" s="19" t="s">
        <v>44</v>
      </c>
      <c r="E151" s="19" t="s">
        <v>64</v>
      </c>
      <c r="F151" s="20" t="n">
        <v>900000</v>
      </c>
      <c r="G151" s="20" t="n">
        <v>7739714</v>
      </c>
    </row>
    <row r="152" customFormat="false" ht="15" hidden="false" customHeight="false" outlineLevel="0" collapsed="false">
      <c r="A152" s="22" t="n">
        <v>46127</v>
      </c>
      <c r="B152" s="19" t="s">
        <v>50</v>
      </c>
      <c r="C152" s="19" t="s">
        <v>15</v>
      </c>
      <c r="D152" s="19" t="s">
        <v>45</v>
      </c>
      <c r="E152" s="19" t="s">
        <v>67</v>
      </c>
      <c r="F152" s="20" t="n">
        <v>106995</v>
      </c>
      <c r="G152" s="20" t="n">
        <v>430136</v>
      </c>
    </row>
    <row r="153" customFormat="false" ht="15" hidden="false" customHeight="false" outlineLevel="0" collapsed="false">
      <c r="A153" s="22" t="n">
        <v>46127</v>
      </c>
      <c r="B153" s="19" t="s">
        <v>50</v>
      </c>
      <c r="C153" s="19" t="s">
        <v>12</v>
      </c>
      <c r="D153" s="19" t="s">
        <v>31</v>
      </c>
      <c r="E153" s="19" t="s">
        <v>65</v>
      </c>
      <c r="F153" s="20" t="n">
        <v>190062</v>
      </c>
      <c r="G153" s="20" t="n">
        <v>802829</v>
      </c>
    </row>
    <row r="154" customFormat="false" ht="15" hidden="false" customHeight="false" outlineLevel="0" collapsed="false">
      <c r="A154" s="22" t="n">
        <v>46127</v>
      </c>
      <c r="B154" s="19" t="s">
        <v>50</v>
      </c>
      <c r="C154" s="19" t="s">
        <v>13</v>
      </c>
      <c r="D154" s="19" t="s">
        <v>43</v>
      </c>
      <c r="E154" s="19" t="s">
        <v>68</v>
      </c>
      <c r="F154" s="20" t="n">
        <v>108765</v>
      </c>
      <c r="G154" s="20" t="n">
        <v>178340</v>
      </c>
    </row>
    <row r="155" customFormat="false" ht="15" hidden="false" customHeight="false" outlineLevel="0" collapsed="false">
      <c r="A155" s="22" t="n">
        <v>46127</v>
      </c>
      <c r="B155" s="19" t="s">
        <v>50</v>
      </c>
      <c r="C155" s="19" t="s">
        <v>14</v>
      </c>
      <c r="D155" s="19" t="s">
        <v>38</v>
      </c>
      <c r="E155" s="19" t="s">
        <v>77</v>
      </c>
      <c r="F155" s="20" t="n">
        <v>70930</v>
      </c>
      <c r="G155" s="20" t="n">
        <v>173401</v>
      </c>
    </row>
    <row r="156" customFormat="false" ht="15" hidden="false" customHeight="false" outlineLevel="0" collapsed="false">
      <c r="A156" s="22" t="n">
        <v>46127</v>
      </c>
      <c r="B156" s="19" t="s">
        <v>50</v>
      </c>
      <c r="C156" s="19" t="s">
        <v>11</v>
      </c>
      <c r="D156" s="19" t="s">
        <v>28</v>
      </c>
      <c r="E156" s="19" t="s">
        <v>69</v>
      </c>
      <c r="F156" s="20" t="n">
        <v>27813</v>
      </c>
      <c r="G156" s="20" t="n">
        <v>105526</v>
      </c>
    </row>
    <row r="157" customFormat="false" ht="15" hidden="false" customHeight="false" outlineLevel="0" collapsed="false">
      <c r="A157" s="22" t="n">
        <v>46127</v>
      </c>
      <c r="B157" s="19" t="s">
        <v>50</v>
      </c>
      <c r="C157" s="19" t="s">
        <v>12</v>
      </c>
      <c r="D157" s="19" t="s">
        <v>30</v>
      </c>
      <c r="E157" s="19" t="s">
        <v>76</v>
      </c>
      <c r="F157" s="20" t="n">
        <v>45853</v>
      </c>
      <c r="G157" s="20" t="n">
        <v>0</v>
      </c>
    </row>
    <row r="158" customFormat="false" ht="15" hidden="false" customHeight="false" outlineLevel="0" collapsed="false">
      <c r="A158" s="22" t="n">
        <v>46127</v>
      </c>
      <c r="B158" s="19" t="s">
        <v>50</v>
      </c>
      <c r="C158" s="19" t="s">
        <v>12</v>
      </c>
      <c r="D158" s="19" t="s">
        <v>29</v>
      </c>
      <c r="E158" s="19" t="s">
        <v>75</v>
      </c>
      <c r="F158" s="20" t="n">
        <v>5314</v>
      </c>
      <c r="G158" s="20" t="n">
        <v>0</v>
      </c>
    </row>
    <row r="159" customFormat="false" ht="15" hidden="false" customHeight="false" outlineLevel="0" collapsed="false">
      <c r="A159" s="22" t="n">
        <v>46127</v>
      </c>
      <c r="B159" s="19" t="s">
        <v>50</v>
      </c>
      <c r="C159" s="19" t="s">
        <v>70</v>
      </c>
      <c r="D159" s="19" t="s">
        <v>23</v>
      </c>
      <c r="E159" s="19" t="s">
        <v>71</v>
      </c>
      <c r="F159" s="20" t="n">
        <v>14066</v>
      </c>
      <c r="G159" s="20" t="n">
        <v>0</v>
      </c>
    </row>
    <row r="160" customFormat="false" ht="15" hidden="false" customHeight="false" outlineLevel="0" collapsed="false">
      <c r="A160" s="22" t="n">
        <v>46127</v>
      </c>
      <c r="B160" s="19" t="s">
        <v>50</v>
      </c>
      <c r="C160" s="19" t="s">
        <v>12</v>
      </c>
      <c r="D160" s="19" t="s">
        <v>36</v>
      </c>
      <c r="E160" s="19" t="s">
        <v>78</v>
      </c>
      <c r="F160" s="20" t="n">
        <v>2494</v>
      </c>
      <c r="G160" s="20" t="n">
        <v>0</v>
      </c>
    </row>
    <row r="161" customFormat="false" ht="15" hidden="false" customHeight="false" outlineLevel="0" collapsed="false">
      <c r="A161" s="22" t="n">
        <v>46128</v>
      </c>
      <c r="B161" s="19" t="s">
        <v>50</v>
      </c>
      <c r="C161" s="19" t="s">
        <v>11</v>
      </c>
      <c r="D161" s="19" t="s">
        <v>27</v>
      </c>
      <c r="E161" s="19" t="s">
        <v>63</v>
      </c>
      <c r="F161" s="20" t="n">
        <v>8648</v>
      </c>
      <c r="G161" s="20" t="n">
        <v>39000</v>
      </c>
    </row>
    <row r="162" customFormat="false" ht="15" hidden="false" customHeight="false" outlineLevel="0" collapsed="false">
      <c r="A162" s="22" t="n">
        <v>46128</v>
      </c>
      <c r="B162" s="19" t="s">
        <v>50</v>
      </c>
      <c r="C162" s="19" t="s">
        <v>12</v>
      </c>
      <c r="D162" s="19" t="s">
        <v>37</v>
      </c>
      <c r="E162" s="19" t="s">
        <v>66</v>
      </c>
      <c r="F162" s="20" t="n">
        <v>447956</v>
      </c>
      <c r="G162" s="20" t="n">
        <v>760937</v>
      </c>
    </row>
    <row r="163" customFormat="false" ht="15" hidden="false" customHeight="false" outlineLevel="0" collapsed="false">
      <c r="A163" s="22" t="n">
        <v>46128</v>
      </c>
      <c r="B163" s="19" t="s">
        <v>50</v>
      </c>
      <c r="C163" s="19" t="s">
        <v>13</v>
      </c>
      <c r="D163" s="19" t="s">
        <v>44</v>
      </c>
      <c r="E163" s="19" t="s">
        <v>64</v>
      </c>
      <c r="F163" s="20" t="n">
        <v>636572</v>
      </c>
      <c r="G163" s="20" t="n">
        <v>2659267</v>
      </c>
    </row>
    <row r="164" customFormat="false" ht="15" hidden="false" customHeight="false" outlineLevel="0" collapsed="false">
      <c r="A164" s="22" t="n">
        <v>46128</v>
      </c>
      <c r="B164" s="19" t="s">
        <v>50</v>
      </c>
      <c r="C164" s="19" t="s">
        <v>12</v>
      </c>
      <c r="D164" s="19" t="s">
        <v>31</v>
      </c>
      <c r="E164" s="19" t="s">
        <v>65</v>
      </c>
      <c r="F164" s="20" t="n">
        <v>228453</v>
      </c>
      <c r="G164" s="20" t="n">
        <v>1030100</v>
      </c>
    </row>
    <row r="165" customFormat="false" ht="15" hidden="false" customHeight="false" outlineLevel="0" collapsed="false">
      <c r="A165" s="22" t="n">
        <v>46128</v>
      </c>
      <c r="B165" s="19" t="s">
        <v>50</v>
      </c>
      <c r="C165" s="19" t="s">
        <v>15</v>
      </c>
      <c r="D165" s="19" t="s">
        <v>45</v>
      </c>
      <c r="E165" s="19" t="s">
        <v>67</v>
      </c>
      <c r="F165" s="20" t="n">
        <v>16516</v>
      </c>
      <c r="G165" s="20" t="n">
        <v>0</v>
      </c>
    </row>
    <row r="166" customFormat="false" ht="15" hidden="false" customHeight="false" outlineLevel="0" collapsed="false">
      <c r="A166" s="22" t="n">
        <v>46128</v>
      </c>
      <c r="B166" s="19" t="s">
        <v>50</v>
      </c>
      <c r="C166" s="19" t="s">
        <v>12</v>
      </c>
      <c r="D166" s="19" t="s">
        <v>30</v>
      </c>
      <c r="E166" s="19" t="s">
        <v>76</v>
      </c>
      <c r="F166" s="20" t="n">
        <v>68677</v>
      </c>
      <c r="G166" s="20" t="n">
        <v>355990</v>
      </c>
    </row>
    <row r="167" customFormat="false" ht="15" hidden="false" customHeight="false" outlineLevel="0" collapsed="false">
      <c r="A167" s="22" t="n">
        <v>46128</v>
      </c>
      <c r="B167" s="19" t="s">
        <v>50</v>
      </c>
      <c r="C167" s="19" t="s">
        <v>11</v>
      </c>
      <c r="D167" s="19" t="s">
        <v>28</v>
      </c>
      <c r="E167" s="19" t="s">
        <v>69</v>
      </c>
      <c r="F167" s="20" t="n">
        <v>25701</v>
      </c>
      <c r="G167" s="20" t="n">
        <v>111550</v>
      </c>
    </row>
    <row r="168" customFormat="false" ht="15" hidden="false" customHeight="false" outlineLevel="0" collapsed="false">
      <c r="A168" s="22" t="n">
        <v>46128</v>
      </c>
      <c r="B168" s="19" t="s">
        <v>50</v>
      </c>
      <c r="C168" s="19" t="s">
        <v>70</v>
      </c>
      <c r="D168" s="19" t="s">
        <v>23</v>
      </c>
      <c r="E168" s="19" t="s">
        <v>71</v>
      </c>
      <c r="F168" s="20" t="n">
        <v>100000</v>
      </c>
      <c r="G168" s="20" t="n">
        <v>566950</v>
      </c>
    </row>
    <row r="169" customFormat="false" ht="15" hidden="false" customHeight="false" outlineLevel="0" collapsed="false">
      <c r="A169" s="22" t="n">
        <v>46128</v>
      </c>
      <c r="B169" s="19" t="s">
        <v>50</v>
      </c>
      <c r="C169" s="19" t="s">
        <v>12</v>
      </c>
      <c r="D169" s="19" t="s">
        <v>29</v>
      </c>
      <c r="E169" s="19" t="s">
        <v>75</v>
      </c>
      <c r="F169" s="20" t="n">
        <v>14553</v>
      </c>
      <c r="G169" s="20" t="n">
        <v>0</v>
      </c>
    </row>
    <row r="170" customFormat="false" ht="15" hidden="false" customHeight="false" outlineLevel="0" collapsed="false">
      <c r="A170" s="22" t="n">
        <v>46128</v>
      </c>
      <c r="B170" s="19" t="s">
        <v>50</v>
      </c>
      <c r="C170" s="19" t="s">
        <v>13</v>
      </c>
      <c r="D170" s="19" t="s">
        <v>43</v>
      </c>
      <c r="E170" s="19" t="s">
        <v>68</v>
      </c>
      <c r="F170" s="20" t="n">
        <v>6262</v>
      </c>
      <c r="G170" s="20" t="n">
        <v>0</v>
      </c>
    </row>
    <row r="171" customFormat="false" ht="15" hidden="false" customHeight="false" outlineLevel="0" collapsed="false">
      <c r="A171" s="22" t="n">
        <v>46128</v>
      </c>
      <c r="B171" s="19" t="s">
        <v>50</v>
      </c>
      <c r="C171" s="19" t="s">
        <v>14</v>
      </c>
      <c r="D171" s="19" t="s">
        <v>38</v>
      </c>
      <c r="E171" s="19" t="s">
        <v>77</v>
      </c>
      <c r="F171" s="20" t="n">
        <v>21404</v>
      </c>
      <c r="G171" s="20" t="n">
        <v>56316</v>
      </c>
    </row>
    <row r="172" customFormat="false" ht="15" hidden="false" customHeight="false" outlineLevel="0" collapsed="false">
      <c r="A172" s="22" t="n">
        <v>46128</v>
      </c>
      <c r="B172" s="19" t="s">
        <v>50</v>
      </c>
      <c r="C172" s="19" t="s">
        <v>12</v>
      </c>
      <c r="D172" s="19" t="s">
        <v>36</v>
      </c>
      <c r="E172" s="19" t="s">
        <v>78</v>
      </c>
      <c r="F172" s="20" t="n">
        <v>28576</v>
      </c>
      <c r="G172" s="20" t="n">
        <v>0</v>
      </c>
    </row>
    <row r="173" customFormat="false" ht="15" hidden="false" customHeight="false" outlineLevel="0" collapsed="false">
      <c r="A173" s="22" t="n">
        <v>46129</v>
      </c>
      <c r="B173" s="19" t="s">
        <v>50</v>
      </c>
      <c r="C173" s="19" t="s">
        <v>11</v>
      </c>
      <c r="D173" s="19" t="s">
        <v>27</v>
      </c>
      <c r="E173" s="19" t="s">
        <v>63</v>
      </c>
      <c r="F173" s="20" t="n">
        <v>4768</v>
      </c>
      <c r="G173" s="20" t="n">
        <v>29250</v>
      </c>
    </row>
    <row r="174" customFormat="false" ht="15" hidden="false" customHeight="false" outlineLevel="0" collapsed="false">
      <c r="A174" s="22" t="n">
        <v>46129</v>
      </c>
      <c r="B174" s="19" t="s">
        <v>50</v>
      </c>
      <c r="C174" s="19" t="s">
        <v>13</v>
      </c>
      <c r="D174" s="19" t="s">
        <v>44</v>
      </c>
      <c r="E174" s="19" t="s">
        <v>64</v>
      </c>
      <c r="F174" s="20" t="n">
        <v>663895</v>
      </c>
      <c r="G174" s="20" t="n">
        <v>3898830</v>
      </c>
    </row>
    <row r="175" customFormat="false" ht="15" hidden="false" customHeight="false" outlineLevel="0" collapsed="false">
      <c r="A175" s="22" t="n">
        <v>46129</v>
      </c>
      <c r="B175" s="19" t="s">
        <v>50</v>
      </c>
      <c r="C175" s="19" t="s">
        <v>12</v>
      </c>
      <c r="D175" s="19" t="s">
        <v>37</v>
      </c>
      <c r="E175" s="19" t="s">
        <v>66</v>
      </c>
      <c r="F175" s="20" t="n">
        <v>240073</v>
      </c>
      <c r="G175" s="20" t="n">
        <v>1348501</v>
      </c>
    </row>
    <row r="176" customFormat="false" ht="15" hidden="false" customHeight="false" outlineLevel="0" collapsed="false">
      <c r="A176" s="22" t="n">
        <v>46129</v>
      </c>
      <c r="B176" s="19" t="s">
        <v>50</v>
      </c>
      <c r="C176" s="19" t="s">
        <v>12</v>
      </c>
      <c r="D176" s="19" t="s">
        <v>31</v>
      </c>
      <c r="E176" s="19" t="s">
        <v>65</v>
      </c>
      <c r="F176" s="20" t="n">
        <v>91126</v>
      </c>
      <c r="G176" s="20" t="n">
        <v>326120</v>
      </c>
    </row>
    <row r="177" customFormat="false" ht="15" hidden="false" customHeight="false" outlineLevel="0" collapsed="false">
      <c r="A177" s="22" t="n">
        <v>46129</v>
      </c>
      <c r="B177" s="19" t="s">
        <v>50</v>
      </c>
      <c r="C177" s="19" t="s">
        <v>11</v>
      </c>
      <c r="D177" s="19" t="s">
        <v>28</v>
      </c>
      <c r="E177" s="19" t="s">
        <v>69</v>
      </c>
      <c r="F177" s="20" t="n">
        <v>77824</v>
      </c>
      <c r="G177" s="20" t="n">
        <v>316934</v>
      </c>
    </row>
    <row r="178" customFormat="false" ht="15" hidden="false" customHeight="false" outlineLevel="0" collapsed="false">
      <c r="A178" s="22" t="n">
        <v>46129</v>
      </c>
      <c r="B178" s="19" t="s">
        <v>50</v>
      </c>
      <c r="C178" s="19" t="s">
        <v>15</v>
      </c>
      <c r="D178" s="19" t="s">
        <v>45</v>
      </c>
      <c r="E178" s="19" t="s">
        <v>67</v>
      </c>
      <c r="F178" s="20" t="n">
        <v>27665</v>
      </c>
      <c r="G178" s="20" t="n">
        <v>108203</v>
      </c>
    </row>
    <row r="179" customFormat="false" ht="15" hidden="false" customHeight="false" outlineLevel="0" collapsed="false">
      <c r="A179" s="22" t="n">
        <v>46129</v>
      </c>
      <c r="B179" s="19" t="s">
        <v>50</v>
      </c>
      <c r="C179" s="19" t="s">
        <v>12</v>
      </c>
      <c r="D179" s="19" t="s">
        <v>30</v>
      </c>
      <c r="E179" s="19" t="s">
        <v>76</v>
      </c>
      <c r="F179" s="20" t="n">
        <v>27768</v>
      </c>
      <c r="G179" s="20" t="n">
        <v>0</v>
      </c>
    </row>
    <row r="180" customFormat="false" ht="15" hidden="false" customHeight="false" outlineLevel="0" collapsed="false">
      <c r="A180" s="22" t="n">
        <v>46129</v>
      </c>
      <c r="B180" s="19" t="s">
        <v>50</v>
      </c>
      <c r="C180" s="19" t="s">
        <v>13</v>
      </c>
      <c r="D180" s="19" t="s">
        <v>43</v>
      </c>
      <c r="E180" s="19" t="s">
        <v>68</v>
      </c>
      <c r="F180" s="20" t="n">
        <v>15267</v>
      </c>
      <c r="G180" s="20" t="n">
        <v>0</v>
      </c>
    </row>
    <row r="181" customFormat="false" ht="15" hidden="false" customHeight="false" outlineLevel="0" collapsed="false">
      <c r="A181" s="22" t="n">
        <v>46129</v>
      </c>
      <c r="B181" s="19" t="s">
        <v>50</v>
      </c>
      <c r="C181" s="19" t="s">
        <v>12</v>
      </c>
      <c r="D181" s="19" t="s">
        <v>36</v>
      </c>
      <c r="E181" s="19" t="s">
        <v>78</v>
      </c>
      <c r="F181" s="20" t="n">
        <v>29665</v>
      </c>
      <c r="G181" s="20" t="n">
        <v>0</v>
      </c>
    </row>
    <row r="182" customFormat="false" ht="15" hidden="false" customHeight="false" outlineLevel="0" collapsed="false">
      <c r="A182" s="22" t="n">
        <v>46129</v>
      </c>
      <c r="B182" s="19" t="s">
        <v>50</v>
      </c>
      <c r="C182" s="19" t="s">
        <v>70</v>
      </c>
      <c r="D182" s="19" t="s">
        <v>23</v>
      </c>
      <c r="E182" s="19" t="s">
        <v>71</v>
      </c>
      <c r="F182" s="20" t="n">
        <v>26558</v>
      </c>
      <c r="G182" s="20" t="n">
        <v>0</v>
      </c>
    </row>
    <row r="183" customFormat="false" ht="15" hidden="false" customHeight="false" outlineLevel="0" collapsed="false">
      <c r="A183" s="22" t="n">
        <v>46129</v>
      </c>
      <c r="B183" s="19" t="s">
        <v>50</v>
      </c>
      <c r="C183" s="19" t="s">
        <v>12</v>
      </c>
      <c r="D183" s="19" t="s">
        <v>29</v>
      </c>
      <c r="E183" s="19" t="s">
        <v>75</v>
      </c>
      <c r="F183" s="20" t="n">
        <v>2820</v>
      </c>
      <c r="G183" s="20" t="n">
        <v>0</v>
      </c>
    </row>
    <row r="184" customFormat="false" ht="15" hidden="false" customHeight="false" outlineLevel="0" collapsed="false">
      <c r="A184" s="22" t="n">
        <v>46129</v>
      </c>
      <c r="B184" s="19" t="s">
        <v>50</v>
      </c>
      <c r="C184" s="19" t="s">
        <v>14</v>
      </c>
      <c r="D184" s="19" t="s">
        <v>38</v>
      </c>
      <c r="E184" s="19" t="s">
        <v>77</v>
      </c>
      <c r="F184" s="20" t="n">
        <v>2602</v>
      </c>
      <c r="G184" s="20" t="n">
        <v>0</v>
      </c>
    </row>
    <row r="185" customFormat="false" ht="15" hidden="false" customHeight="false" outlineLevel="0" collapsed="false">
      <c r="A185" s="22" t="n">
        <v>46130</v>
      </c>
      <c r="B185" s="19" t="s">
        <v>50</v>
      </c>
      <c r="C185" s="19" t="s">
        <v>11</v>
      </c>
      <c r="D185" s="19" t="s">
        <v>27</v>
      </c>
      <c r="E185" s="19" t="s">
        <v>63</v>
      </c>
      <c r="F185" s="20" t="n">
        <v>15839</v>
      </c>
      <c r="G185" s="20" t="n">
        <v>78000</v>
      </c>
    </row>
    <row r="186" customFormat="false" ht="15" hidden="false" customHeight="false" outlineLevel="0" collapsed="false">
      <c r="A186" s="22" t="n">
        <v>46130</v>
      </c>
      <c r="B186" s="19" t="s">
        <v>50</v>
      </c>
      <c r="C186" s="19" t="s">
        <v>13</v>
      </c>
      <c r="D186" s="19" t="s">
        <v>44</v>
      </c>
      <c r="E186" s="19" t="s">
        <v>64</v>
      </c>
      <c r="F186" s="20" t="n">
        <v>526636</v>
      </c>
      <c r="G186" s="20" t="n">
        <v>2892152</v>
      </c>
    </row>
    <row r="187" customFormat="false" ht="15" hidden="false" customHeight="false" outlineLevel="0" collapsed="false">
      <c r="A187" s="22" t="n">
        <v>46130</v>
      </c>
      <c r="B187" s="19" t="s">
        <v>50</v>
      </c>
      <c r="C187" s="19" t="s">
        <v>12</v>
      </c>
      <c r="D187" s="19" t="s">
        <v>37</v>
      </c>
      <c r="E187" s="19" t="s">
        <v>66</v>
      </c>
      <c r="F187" s="20" t="n">
        <v>110889</v>
      </c>
      <c r="G187" s="20" t="n">
        <v>491697</v>
      </c>
    </row>
    <row r="188" customFormat="false" ht="15" hidden="false" customHeight="false" outlineLevel="0" collapsed="false">
      <c r="A188" s="22" t="n">
        <v>46130</v>
      </c>
      <c r="B188" s="19" t="s">
        <v>50</v>
      </c>
      <c r="C188" s="19" t="s">
        <v>12</v>
      </c>
      <c r="D188" s="19" t="s">
        <v>31</v>
      </c>
      <c r="E188" s="19" t="s">
        <v>65</v>
      </c>
      <c r="F188" s="20" t="n">
        <v>232924</v>
      </c>
      <c r="G188" s="20" t="n">
        <v>1150501</v>
      </c>
    </row>
    <row r="189" customFormat="false" ht="15" hidden="false" customHeight="false" outlineLevel="0" collapsed="false">
      <c r="A189" s="22" t="n">
        <v>46130</v>
      </c>
      <c r="B189" s="19" t="s">
        <v>50</v>
      </c>
      <c r="C189" s="19" t="s">
        <v>15</v>
      </c>
      <c r="D189" s="19" t="s">
        <v>45</v>
      </c>
      <c r="E189" s="19" t="s">
        <v>67</v>
      </c>
      <c r="F189" s="20" t="n">
        <v>50537</v>
      </c>
      <c r="G189" s="20" t="n">
        <v>111550</v>
      </c>
    </row>
    <row r="190" customFormat="false" ht="15" hidden="false" customHeight="false" outlineLevel="0" collapsed="false">
      <c r="A190" s="22" t="n">
        <v>46130</v>
      </c>
      <c r="B190" s="19" t="s">
        <v>50</v>
      </c>
      <c r="C190" s="19" t="s">
        <v>11</v>
      </c>
      <c r="D190" s="19" t="s">
        <v>28</v>
      </c>
      <c r="E190" s="19" t="s">
        <v>69</v>
      </c>
      <c r="F190" s="20" t="n">
        <v>57868</v>
      </c>
      <c r="G190" s="20" t="n">
        <v>218080</v>
      </c>
    </row>
    <row r="191" customFormat="false" ht="15" hidden="false" customHeight="false" outlineLevel="0" collapsed="false">
      <c r="A191" s="22" t="n">
        <v>46130</v>
      </c>
      <c r="B191" s="19" t="s">
        <v>50</v>
      </c>
      <c r="C191" s="19" t="s">
        <v>12</v>
      </c>
      <c r="D191" s="19" t="s">
        <v>30</v>
      </c>
      <c r="E191" s="19" t="s">
        <v>76</v>
      </c>
      <c r="F191" s="20" t="n">
        <v>82823</v>
      </c>
      <c r="G191" s="20" t="n">
        <v>283200</v>
      </c>
    </row>
    <row r="192" customFormat="false" ht="15" hidden="false" customHeight="false" outlineLevel="0" collapsed="false">
      <c r="A192" s="22" t="n">
        <v>46130</v>
      </c>
      <c r="B192" s="19" t="s">
        <v>50</v>
      </c>
      <c r="C192" s="19" t="s">
        <v>13</v>
      </c>
      <c r="D192" s="19" t="s">
        <v>43</v>
      </c>
      <c r="E192" s="19" t="s">
        <v>68</v>
      </c>
      <c r="F192" s="20" t="n">
        <v>87066</v>
      </c>
      <c r="G192" s="20" t="n">
        <v>492039</v>
      </c>
    </row>
    <row r="193" customFormat="false" ht="15" hidden="false" customHeight="false" outlineLevel="0" collapsed="false">
      <c r="A193" s="22" t="n">
        <v>46130</v>
      </c>
      <c r="B193" s="19" t="s">
        <v>50</v>
      </c>
      <c r="C193" s="19" t="s">
        <v>12</v>
      </c>
      <c r="D193" s="19" t="s">
        <v>36</v>
      </c>
      <c r="E193" s="19" t="s">
        <v>78</v>
      </c>
      <c r="F193" s="20" t="n">
        <v>26080</v>
      </c>
      <c r="G193" s="20" t="n">
        <v>0</v>
      </c>
    </row>
    <row r="194" customFormat="false" ht="15" hidden="false" customHeight="false" outlineLevel="0" collapsed="false">
      <c r="A194" s="22" t="n">
        <v>46130</v>
      </c>
      <c r="B194" s="19" t="s">
        <v>50</v>
      </c>
      <c r="C194" s="19" t="s">
        <v>70</v>
      </c>
      <c r="D194" s="19" t="s">
        <v>23</v>
      </c>
      <c r="E194" s="19" t="s">
        <v>71</v>
      </c>
      <c r="F194" s="20" t="n">
        <v>29167</v>
      </c>
      <c r="G194" s="20" t="n">
        <v>0</v>
      </c>
    </row>
    <row r="195" customFormat="false" ht="15" hidden="false" customHeight="false" outlineLevel="0" collapsed="false">
      <c r="A195" s="22" t="n">
        <v>46130</v>
      </c>
      <c r="B195" s="19" t="s">
        <v>50</v>
      </c>
      <c r="C195" s="19" t="s">
        <v>12</v>
      </c>
      <c r="D195" s="19" t="s">
        <v>29</v>
      </c>
      <c r="E195" s="19" t="s">
        <v>75</v>
      </c>
      <c r="F195" s="20" t="n">
        <v>390</v>
      </c>
      <c r="G195" s="20" t="n">
        <v>0</v>
      </c>
    </row>
    <row r="196" customFormat="false" ht="15" hidden="false" customHeight="false" outlineLevel="0" collapsed="false">
      <c r="A196" s="22" t="n">
        <v>46130</v>
      </c>
      <c r="B196" s="19" t="s">
        <v>50</v>
      </c>
      <c r="C196" s="19" t="s">
        <v>14</v>
      </c>
      <c r="D196" s="19" t="s">
        <v>38</v>
      </c>
      <c r="E196" s="19" t="s">
        <v>77</v>
      </c>
      <c r="F196" s="20" t="n">
        <v>4132</v>
      </c>
      <c r="G196" s="20" t="n">
        <v>0</v>
      </c>
    </row>
    <row r="197" customFormat="false" ht="15" hidden="false" customHeight="false" outlineLevel="0" collapsed="false">
      <c r="A197" s="22" t="n">
        <v>46131</v>
      </c>
      <c r="B197" s="19" t="s">
        <v>50</v>
      </c>
      <c r="C197" s="19" t="s">
        <v>11</v>
      </c>
      <c r="D197" s="19" t="s">
        <v>27</v>
      </c>
      <c r="E197" s="19" t="s">
        <v>63</v>
      </c>
      <c r="F197" s="20" t="n">
        <v>6465</v>
      </c>
      <c r="G197" s="20" t="n">
        <v>0</v>
      </c>
    </row>
    <row r="198" customFormat="false" ht="15" hidden="false" customHeight="false" outlineLevel="0" collapsed="false">
      <c r="A198" s="22" t="n">
        <v>46131</v>
      </c>
      <c r="B198" s="19" t="s">
        <v>50</v>
      </c>
      <c r="C198" s="19" t="s">
        <v>13</v>
      </c>
      <c r="D198" s="19" t="s">
        <v>44</v>
      </c>
      <c r="E198" s="19" t="s">
        <v>64</v>
      </c>
      <c r="F198" s="20" t="n">
        <v>553675</v>
      </c>
      <c r="G198" s="20" t="n">
        <v>3055491</v>
      </c>
    </row>
    <row r="199" customFormat="false" ht="15" hidden="false" customHeight="false" outlineLevel="0" collapsed="false">
      <c r="A199" s="22" t="n">
        <v>46131</v>
      </c>
      <c r="B199" s="19" t="s">
        <v>50</v>
      </c>
      <c r="C199" s="19" t="s">
        <v>12</v>
      </c>
      <c r="D199" s="19" t="s">
        <v>37</v>
      </c>
      <c r="E199" s="19" t="s">
        <v>66</v>
      </c>
      <c r="F199" s="20" t="n">
        <v>67948</v>
      </c>
      <c r="G199" s="20" t="n">
        <v>295000</v>
      </c>
    </row>
    <row r="200" customFormat="false" ht="15" hidden="false" customHeight="false" outlineLevel="0" collapsed="false">
      <c r="A200" s="22" t="n">
        <v>46131</v>
      </c>
      <c r="B200" s="19" t="s">
        <v>50</v>
      </c>
      <c r="C200" s="19" t="s">
        <v>12</v>
      </c>
      <c r="D200" s="19" t="s">
        <v>31</v>
      </c>
      <c r="E200" s="19" t="s">
        <v>65</v>
      </c>
      <c r="F200" s="20" t="n">
        <v>215491</v>
      </c>
      <c r="G200" s="20" t="n">
        <v>858009</v>
      </c>
    </row>
    <row r="201" customFormat="false" ht="15" hidden="false" customHeight="false" outlineLevel="0" collapsed="false">
      <c r="A201" s="22" t="n">
        <v>46131</v>
      </c>
      <c r="B201" s="19" t="s">
        <v>50</v>
      </c>
      <c r="C201" s="19" t="s">
        <v>13</v>
      </c>
      <c r="D201" s="19" t="s">
        <v>43</v>
      </c>
      <c r="E201" s="19" t="s">
        <v>68</v>
      </c>
      <c r="F201" s="20" t="n">
        <v>120122</v>
      </c>
      <c r="G201" s="20" t="n">
        <v>680408</v>
      </c>
    </row>
    <row r="202" customFormat="false" ht="15" hidden="false" customHeight="false" outlineLevel="0" collapsed="false">
      <c r="A202" s="22" t="n">
        <v>46131</v>
      </c>
      <c r="B202" s="19" t="s">
        <v>50</v>
      </c>
      <c r="C202" s="19" t="s">
        <v>15</v>
      </c>
      <c r="D202" s="19" t="s">
        <v>45</v>
      </c>
      <c r="E202" s="19" t="s">
        <v>67</v>
      </c>
      <c r="F202" s="20" t="n">
        <v>28523</v>
      </c>
      <c r="G202" s="20" t="n">
        <v>111550</v>
      </c>
    </row>
    <row r="203" customFormat="false" ht="15" hidden="false" customHeight="false" outlineLevel="0" collapsed="false">
      <c r="A203" s="22" t="n">
        <v>46131</v>
      </c>
      <c r="B203" s="19" t="s">
        <v>50</v>
      </c>
      <c r="C203" s="19" t="s">
        <v>11</v>
      </c>
      <c r="D203" s="19" t="s">
        <v>28</v>
      </c>
      <c r="E203" s="19" t="s">
        <v>69</v>
      </c>
      <c r="F203" s="20" t="n">
        <v>57649</v>
      </c>
      <c r="G203" s="20" t="n">
        <v>213520</v>
      </c>
    </row>
    <row r="204" customFormat="false" ht="15" hidden="false" customHeight="false" outlineLevel="0" collapsed="false">
      <c r="A204" s="22" t="n">
        <v>46131</v>
      </c>
      <c r="B204" s="19" t="s">
        <v>50</v>
      </c>
      <c r="C204" s="19" t="s">
        <v>12</v>
      </c>
      <c r="D204" s="19" t="s">
        <v>30</v>
      </c>
      <c r="E204" s="19" t="s">
        <v>76</v>
      </c>
      <c r="F204" s="20" t="n">
        <v>75606</v>
      </c>
      <c r="G204" s="20" t="n">
        <v>337250</v>
      </c>
    </row>
    <row r="205" customFormat="false" ht="15" hidden="false" customHeight="false" outlineLevel="0" collapsed="false">
      <c r="A205" s="22" t="n">
        <v>46131</v>
      </c>
      <c r="B205" s="19" t="s">
        <v>50</v>
      </c>
      <c r="C205" s="19" t="s">
        <v>12</v>
      </c>
      <c r="D205" s="19" t="s">
        <v>36</v>
      </c>
      <c r="E205" s="19" t="s">
        <v>78</v>
      </c>
      <c r="F205" s="20" t="n">
        <v>30379</v>
      </c>
      <c r="G205" s="20" t="n">
        <v>0</v>
      </c>
    </row>
    <row r="206" customFormat="false" ht="15" hidden="false" customHeight="false" outlineLevel="0" collapsed="false">
      <c r="A206" s="22" t="n">
        <v>46131</v>
      </c>
      <c r="B206" s="19" t="s">
        <v>50</v>
      </c>
      <c r="C206" s="19" t="s">
        <v>14</v>
      </c>
      <c r="D206" s="19" t="s">
        <v>38</v>
      </c>
      <c r="E206" s="19" t="s">
        <v>77</v>
      </c>
      <c r="F206" s="20" t="n">
        <v>42275</v>
      </c>
      <c r="G206" s="20" t="n">
        <v>190080</v>
      </c>
    </row>
    <row r="207" customFormat="false" ht="15" hidden="false" customHeight="false" outlineLevel="0" collapsed="false">
      <c r="A207" s="22" t="n">
        <v>46131</v>
      </c>
      <c r="B207" s="19" t="s">
        <v>50</v>
      </c>
      <c r="C207" s="19" t="s">
        <v>12</v>
      </c>
      <c r="D207" s="19" t="s">
        <v>29</v>
      </c>
      <c r="E207" s="19" t="s">
        <v>75</v>
      </c>
      <c r="F207" s="20" t="n">
        <v>748</v>
      </c>
      <c r="G207" s="20" t="n">
        <v>0</v>
      </c>
    </row>
    <row r="208" customFormat="false" ht="15" hidden="false" customHeight="false" outlineLevel="0" collapsed="false">
      <c r="A208" s="22" t="n">
        <v>46131</v>
      </c>
      <c r="B208" s="19" t="s">
        <v>50</v>
      </c>
      <c r="C208" s="19" t="s">
        <v>70</v>
      </c>
      <c r="D208" s="19" t="s">
        <v>23</v>
      </c>
      <c r="E208" s="19" t="s">
        <v>71</v>
      </c>
      <c r="F208" s="20" t="n">
        <v>19757</v>
      </c>
      <c r="G208" s="20" t="n">
        <v>0</v>
      </c>
    </row>
    <row r="209" customFormat="false" ht="15" hidden="false" customHeight="false" outlineLevel="0" collapsed="false">
      <c r="A209" s="22" t="n">
        <v>46132</v>
      </c>
      <c r="B209" s="19" t="s">
        <v>50</v>
      </c>
      <c r="C209" s="19" t="s">
        <v>11</v>
      </c>
      <c r="D209" s="19" t="s">
        <v>27</v>
      </c>
      <c r="E209" s="19" t="s">
        <v>63</v>
      </c>
      <c r="F209" s="20" t="n">
        <v>50721</v>
      </c>
      <c r="G209" s="20" t="n">
        <v>268372</v>
      </c>
    </row>
    <row r="210" customFormat="false" ht="15" hidden="false" customHeight="false" outlineLevel="0" collapsed="false">
      <c r="A210" s="22" t="n">
        <v>46132</v>
      </c>
      <c r="B210" s="19" t="s">
        <v>50</v>
      </c>
      <c r="C210" s="19" t="s">
        <v>13</v>
      </c>
      <c r="D210" s="19" t="s">
        <v>44</v>
      </c>
      <c r="E210" s="19" t="s">
        <v>64</v>
      </c>
      <c r="F210" s="20" t="n">
        <v>706562</v>
      </c>
      <c r="G210" s="20" t="n">
        <v>3722575</v>
      </c>
    </row>
    <row r="211" customFormat="false" ht="15" hidden="false" customHeight="false" outlineLevel="0" collapsed="false">
      <c r="A211" s="22" t="n">
        <v>46132</v>
      </c>
      <c r="B211" s="19" t="s">
        <v>50</v>
      </c>
      <c r="C211" s="19" t="s">
        <v>12</v>
      </c>
      <c r="D211" s="19" t="s">
        <v>31</v>
      </c>
      <c r="E211" s="19" t="s">
        <v>65</v>
      </c>
      <c r="F211" s="20" t="n">
        <v>317121</v>
      </c>
      <c r="G211" s="20" t="n">
        <v>1496020</v>
      </c>
    </row>
    <row r="212" customFormat="false" ht="15" hidden="false" customHeight="false" outlineLevel="0" collapsed="false">
      <c r="A212" s="22" t="n">
        <v>46132</v>
      </c>
      <c r="B212" s="19" t="s">
        <v>50</v>
      </c>
      <c r="C212" s="19" t="s">
        <v>15</v>
      </c>
      <c r="D212" s="19" t="s">
        <v>45</v>
      </c>
      <c r="E212" s="19" t="s">
        <v>67</v>
      </c>
      <c r="F212" s="20" t="n">
        <v>85618</v>
      </c>
      <c r="G212" s="20" t="n">
        <v>331303</v>
      </c>
    </row>
    <row r="213" customFormat="false" ht="15" hidden="false" customHeight="false" outlineLevel="0" collapsed="false">
      <c r="A213" s="22" t="n">
        <v>46132</v>
      </c>
      <c r="B213" s="19" t="s">
        <v>50</v>
      </c>
      <c r="C213" s="19" t="s">
        <v>12</v>
      </c>
      <c r="D213" s="19" t="s">
        <v>37</v>
      </c>
      <c r="E213" s="19" t="s">
        <v>66</v>
      </c>
      <c r="F213" s="20" t="n">
        <v>44477</v>
      </c>
      <c r="G213" s="20" t="n">
        <v>225321</v>
      </c>
    </row>
    <row r="214" customFormat="false" ht="15" hidden="false" customHeight="false" outlineLevel="0" collapsed="false">
      <c r="A214" s="22" t="n">
        <v>46132</v>
      </c>
      <c r="B214" s="19" t="s">
        <v>50</v>
      </c>
      <c r="C214" s="19" t="s">
        <v>11</v>
      </c>
      <c r="D214" s="19" t="s">
        <v>28</v>
      </c>
      <c r="E214" s="19" t="s">
        <v>69</v>
      </c>
      <c r="F214" s="20" t="n">
        <v>100000</v>
      </c>
      <c r="G214" s="20" t="n">
        <v>447350</v>
      </c>
    </row>
    <row r="215" customFormat="false" ht="15" hidden="false" customHeight="false" outlineLevel="0" collapsed="false">
      <c r="A215" s="22" t="n">
        <v>46132</v>
      </c>
      <c r="B215" s="19" t="s">
        <v>50</v>
      </c>
      <c r="C215" s="19" t="s">
        <v>12</v>
      </c>
      <c r="D215" s="19" t="s">
        <v>36</v>
      </c>
      <c r="E215" s="19" t="s">
        <v>78</v>
      </c>
      <c r="F215" s="20" t="n">
        <v>5172</v>
      </c>
      <c r="G215" s="20" t="n">
        <v>0</v>
      </c>
    </row>
    <row r="216" customFormat="false" ht="15" hidden="false" customHeight="false" outlineLevel="0" collapsed="false">
      <c r="A216" s="22" t="n">
        <v>46132</v>
      </c>
      <c r="B216" s="19" t="s">
        <v>50</v>
      </c>
      <c r="C216" s="19" t="s">
        <v>13</v>
      </c>
      <c r="D216" s="19" t="s">
        <v>43</v>
      </c>
      <c r="E216" s="19" t="s">
        <v>68</v>
      </c>
      <c r="F216" s="20" t="n">
        <v>6462</v>
      </c>
      <c r="G216" s="20" t="n">
        <v>0</v>
      </c>
    </row>
    <row r="217" customFormat="false" ht="15" hidden="false" customHeight="false" outlineLevel="0" collapsed="false">
      <c r="A217" s="22" t="n">
        <v>46132</v>
      </c>
      <c r="B217" s="19" t="s">
        <v>50</v>
      </c>
      <c r="C217" s="19" t="s">
        <v>12</v>
      </c>
      <c r="D217" s="19" t="s">
        <v>30</v>
      </c>
      <c r="E217" s="19" t="s">
        <v>76</v>
      </c>
      <c r="F217" s="20" t="n">
        <v>29391</v>
      </c>
      <c r="G217" s="20" t="n">
        <v>0</v>
      </c>
    </row>
    <row r="218" customFormat="false" ht="15" hidden="false" customHeight="false" outlineLevel="0" collapsed="false">
      <c r="A218" s="22" t="n">
        <v>46132</v>
      </c>
      <c r="B218" s="19" t="s">
        <v>50</v>
      </c>
      <c r="C218" s="19" t="s">
        <v>12</v>
      </c>
      <c r="D218" s="19" t="s">
        <v>29</v>
      </c>
      <c r="E218" s="19" t="s">
        <v>75</v>
      </c>
      <c r="F218" s="20" t="n">
        <v>5320</v>
      </c>
      <c r="G218" s="20" t="n">
        <v>0</v>
      </c>
    </row>
    <row r="219" customFormat="false" ht="15" hidden="false" customHeight="false" outlineLevel="0" collapsed="false">
      <c r="A219" s="22" t="n">
        <v>46132</v>
      </c>
      <c r="B219" s="19" t="s">
        <v>50</v>
      </c>
      <c r="C219" s="19" t="s">
        <v>70</v>
      </c>
      <c r="D219" s="19" t="s">
        <v>23</v>
      </c>
      <c r="E219" s="19" t="s">
        <v>71</v>
      </c>
      <c r="F219" s="20" t="n">
        <v>13444</v>
      </c>
      <c r="G219" s="20" t="n">
        <v>0</v>
      </c>
    </row>
    <row r="220" customFormat="false" ht="15" hidden="false" customHeight="false" outlineLevel="0" collapsed="false">
      <c r="A220" s="22" t="n">
        <v>46132</v>
      </c>
      <c r="B220" s="19" t="s">
        <v>50</v>
      </c>
      <c r="C220" s="19" t="s">
        <v>14</v>
      </c>
      <c r="D220" s="19" t="s">
        <v>38</v>
      </c>
      <c r="E220" s="19" t="s">
        <v>77</v>
      </c>
      <c r="F220" s="20" t="n">
        <v>10737</v>
      </c>
      <c r="G220" s="20" t="n">
        <v>0</v>
      </c>
    </row>
    <row r="221" customFormat="false" ht="15" hidden="false" customHeight="false" outlineLevel="0" collapsed="false">
      <c r="A221" s="22" t="n">
        <v>46133</v>
      </c>
      <c r="B221" s="19" t="s">
        <v>50</v>
      </c>
      <c r="C221" s="19" t="s">
        <v>11</v>
      </c>
      <c r="D221" s="19" t="s">
        <v>27</v>
      </c>
      <c r="E221" s="19" t="s">
        <v>63</v>
      </c>
      <c r="F221" s="20" t="n">
        <v>7476</v>
      </c>
      <c r="G221" s="20" t="n">
        <v>39000</v>
      </c>
    </row>
    <row r="222" customFormat="false" ht="15" hidden="false" customHeight="false" outlineLevel="0" collapsed="false">
      <c r="A222" s="22" t="n">
        <v>46133</v>
      </c>
      <c r="B222" s="19" t="s">
        <v>50</v>
      </c>
      <c r="C222" s="19" t="s">
        <v>13</v>
      </c>
      <c r="D222" s="19" t="s">
        <v>44</v>
      </c>
      <c r="E222" s="19" t="s">
        <v>64</v>
      </c>
      <c r="F222" s="20" t="n">
        <v>900000</v>
      </c>
      <c r="G222" s="20" t="n">
        <v>4811604</v>
      </c>
    </row>
    <row r="223" customFormat="false" ht="15" hidden="false" customHeight="false" outlineLevel="0" collapsed="false">
      <c r="A223" s="22" t="n">
        <v>46133</v>
      </c>
      <c r="B223" s="19" t="s">
        <v>50</v>
      </c>
      <c r="C223" s="19" t="s">
        <v>12</v>
      </c>
      <c r="D223" s="19" t="s">
        <v>37</v>
      </c>
      <c r="E223" s="19" t="s">
        <v>66</v>
      </c>
      <c r="F223" s="20" t="n">
        <v>307042</v>
      </c>
      <c r="G223" s="20" t="n">
        <v>1520621</v>
      </c>
    </row>
    <row r="224" customFormat="false" ht="15" hidden="false" customHeight="false" outlineLevel="0" collapsed="false">
      <c r="A224" s="22" t="n">
        <v>46133</v>
      </c>
      <c r="B224" s="19" t="s">
        <v>50</v>
      </c>
      <c r="C224" s="19" t="s">
        <v>15</v>
      </c>
      <c r="D224" s="19" t="s">
        <v>45</v>
      </c>
      <c r="E224" s="19" t="s">
        <v>67</v>
      </c>
      <c r="F224" s="20" t="n">
        <v>90406</v>
      </c>
      <c r="G224" s="20" t="n">
        <v>367307</v>
      </c>
    </row>
    <row r="225" customFormat="false" ht="15" hidden="false" customHeight="false" outlineLevel="0" collapsed="false">
      <c r="A225" s="22" t="n">
        <v>46133</v>
      </c>
      <c r="B225" s="19" t="s">
        <v>50</v>
      </c>
      <c r="C225" s="19" t="s">
        <v>12</v>
      </c>
      <c r="D225" s="19" t="s">
        <v>31</v>
      </c>
      <c r="E225" s="19" t="s">
        <v>65</v>
      </c>
      <c r="F225" s="20" t="n">
        <v>249974</v>
      </c>
      <c r="G225" s="20" t="n">
        <v>1178013</v>
      </c>
    </row>
    <row r="226" customFormat="false" ht="15" hidden="false" customHeight="false" outlineLevel="0" collapsed="false">
      <c r="A226" s="22" t="n">
        <v>46133</v>
      </c>
      <c r="B226" s="19" t="s">
        <v>50</v>
      </c>
      <c r="C226" s="19" t="s">
        <v>12</v>
      </c>
      <c r="D226" s="19" t="s">
        <v>29</v>
      </c>
      <c r="E226" s="19" t="s">
        <v>75</v>
      </c>
      <c r="F226" s="20" t="n">
        <v>46261</v>
      </c>
      <c r="G226" s="20" t="n">
        <v>390180</v>
      </c>
    </row>
    <row r="227" customFormat="false" ht="15" hidden="false" customHeight="false" outlineLevel="0" collapsed="false">
      <c r="A227" s="22" t="n">
        <v>46133</v>
      </c>
      <c r="B227" s="19" t="s">
        <v>50</v>
      </c>
      <c r="C227" s="19" t="s">
        <v>13</v>
      </c>
      <c r="D227" s="19" t="s">
        <v>43</v>
      </c>
      <c r="E227" s="19" t="s">
        <v>68</v>
      </c>
      <c r="F227" s="20" t="n">
        <v>39276</v>
      </c>
      <c r="G227" s="20" t="n">
        <v>173950</v>
      </c>
    </row>
    <row r="228" customFormat="false" ht="15" hidden="false" customHeight="false" outlineLevel="0" collapsed="false">
      <c r="A228" s="22" t="n">
        <v>46133</v>
      </c>
      <c r="B228" s="19" t="s">
        <v>50</v>
      </c>
      <c r="C228" s="19" t="s">
        <v>12</v>
      </c>
      <c r="D228" s="19" t="s">
        <v>30</v>
      </c>
      <c r="E228" s="19" t="s">
        <v>76</v>
      </c>
      <c r="F228" s="20" t="n">
        <v>19065</v>
      </c>
      <c r="G228" s="20" t="n">
        <v>0</v>
      </c>
    </row>
    <row r="229" customFormat="false" ht="15" hidden="false" customHeight="false" outlineLevel="0" collapsed="false">
      <c r="A229" s="22" t="n">
        <v>46133</v>
      </c>
      <c r="B229" s="19" t="s">
        <v>50</v>
      </c>
      <c r="C229" s="19" t="s">
        <v>11</v>
      </c>
      <c r="D229" s="19" t="s">
        <v>28</v>
      </c>
      <c r="E229" s="19" t="s">
        <v>69</v>
      </c>
      <c r="F229" s="20" t="n">
        <v>14309</v>
      </c>
      <c r="G229" s="20" t="n">
        <v>0</v>
      </c>
    </row>
    <row r="230" customFormat="false" ht="15" hidden="false" customHeight="false" outlineLevel="0" collapsed="false">
      <c r="A230" s="22" t="n">
        <v>46133</v>
      </c>
      <c r="B230" s="19" t="s">
        <v>50</v>
      </c>
      <c r="C230" s="19" t="s">
        <v>12</v>
      </c>
      <c r="D230" s="19" t="s">
        <v>36</v>
      </c>
      <c r="E230" s="19" t="s">
        <v>78</v>
      </c>
      <c r="F230" s="20" t="n">
        <v>9783</v>
      </c>
      <c r="G230" s="20" t="n">
        <v>0</v>
      </c>
    </row>
    <row r="231" customFormat="false" ht="15" hidden="false" customHeight="false" outlineLevel="0" collapsed="false">
      <c r="A231" s="22" t="n">
        <v>46133</v>
      </c>
      <c r="B231" s="19" t="s">
        <v>50</v>
      </c>
      <c r="C231" s="19" t="s">
        <v>70</v>
      </c>
      <c r="D231" s="19" t="s">
        <v>23</v>
      </c>
      <c r="E231" s="19" t="s">
        <v>71</v>
      </c>
      <c r="F231" s="20" t="n">
        <v>17861</v>
      </c>
      <c r="G231" s="20" t="n">
        <v>59000</v>
      </c>
    </row>
    <row r="232" customFormat="false" ht="15" hidden="false" customHeight="false" outlineLevel="0" collapsed="false">
      <c r="A232" s="22" t="n">
        <v>46133</v>
      </c>
      <c r="B232" s="19" t="s">
        <v>50</v>
      </c>
      <c r="C232" s="19" t="s">
        <v>14</v>
      </c>
      <c r="D232" s="19" t="s">
        <v>38</v>
      </c>
      <c r="E232" s="19" t="s">
        <v>77</v>
      </c>
      <c r="F232" s="20" t="n">
        <v>27581</v>
      </c>
      <c r="G232" s="20" t="n">
        <v>0</v>
      </c>
    </row>
    <row r="233" customFormat="false" ht="15" hidden="false" customHeight="false" outlineLevel="0" collapsed="false">
      <c r="A233" s="22" t="n">
        <v>46134</v>
      </c>
      <c r="B233" s="19" t="s">
        <v>50</v>
      </c>
      <c r="C233" s="19" t="s">
        <v>11</v>
      </c>
      <c r="D233" s="19" t="s">
        <v>27</v>
      </c>
      <c r="E233" s="19" t="s">
        <v>63</v>
      </c>
      <c r="F233" s="20" t="n">
        <v>1866</v>
      </c>
      <c r="G233" s="20" t="n">
        <v>0</v>
      </c>
    </row>
    <row r="234" customFormat="false" ht="15" hidden="false" customHeight="false" outlineLevel="0" collapsed="false">
      <c r="A234" s="22" t="n">
        <v>46134</v>
      </c>
      <c r="B234" s="19" t="s">
        <v>50</v>
      </c>
      <c r="C234" s="19" t="s">
        <v>13</v>
      </c>
      <c r="D234" s="19" t="s">
        <v>44</v>
      </c>
      <c r="E234" s="19" t="s">
        <v>64</v>
      </c>
      <c r="F234" s="20" t="n">
        <v>609047</v>
      </c>
      <c r="G234" s="20" t="n">
        <v>2970824</v>
      </c>
    </row>
    <row r="235" customFormat="false" ht="15" hidden="false" customHeight="false" outlineLevel="0" collapsed="false">
      <c r="A235" s="22" t="n">
        <v>46134</v>
      </c>
      <c r="B235" s="19" t="s">
        <v>50</v>
      </c>
      <c r="C235" s="19" t="s">
        <v>12</v>
      </c>
      <c r="D235" s="19" t="s">
        <v>37</v>
      </c>
      <c r="E235" s="19" t="s">
        <v>66</v>
      </c>
      <c r="F235" s="20" t="n">
        <v>148172</v>
      </c>
      <c r="G235" s="20" t="n">
        <v>470740</v>
      </c>
    </row>
    <row r="236" customFormat="false" ht="15" hidden="false" customHeight="false" outlineLevel="0" collapsed="false">
      <c r="A236" s="22" t="n">
        <v>46134</v>
      </c>
      <c r="B236" s="19" t="s">
        <v>50</v>
      </c>
      <c r="C236" s="19" t="s">
        <v>12</v>
      </c>
      <c r="D236" s="19" t="s">
        <v>31</v>
      </c>
      <c r="E236" s="19" t="s">
        <v>65</v>
      </c>
      <c r="F236" s="20" t="n">
        <v>450000</v>
      </c>
      <c r="G236" s="20" t="n">
        <v>2580965</v>
      </c>
    </row>
    <row r="237" customFormat="false" ht="15" hidden="false" customHeight="false" outlineLevel="0" collapsed="false">
      <c r="A237" s="22" t="n">
        <v>46134</v>
      </c>
      <c r="B237" s="19" t="s">
        <v>50</v>
      </c>
      <c r="C237" s="19" t="s">
        <v>12</v>
      </c>
      <c r="D237" s="19" t="s">
        <v>29</v>
      </c>
      <c r="E237" s="19" t="s">
        <v>75</v>
      </c>
      <c r="F237" s="20" t="n">
        <v>126616</v>
      </c>
      <c r="G237" s="20" t="n">
        <v>633664</v>
      </c>
    </row>
    <row r="238" customFormat="false" ht="15" hidden="false" customHeight="false" outlineLevel="0" collapsed="false">
      <c r="A238" s="22" t="n">
        <v>46134</v>
      </c>
      <c r="B238" s="19" t="s">
        <v>50</v>
      </c>
      <c r="C238" s="19" t="s">
        <v>15</v>
      </c>
      <c r="D238" s="19" t="s">
        <v>45</v>
      </c>
      <c r="E238" s="19" t="s">
        <v>67</v>
      </c>
      <c r="F238" s="20" t="n">
        <v>27183</v>
      </c>
      <c r="G238" s="20" t="n">
        <v>107534</v>
      </c>
    </row>
    <row r="239" customFormat="false" ht="15" hidden="false" customHeight="false" outlineLevel="0" collapsed="false">
      <c r="A239" s="22" t="n">
        <v>46134</v>
      </c>
      <c r="B239" s="19" t="s">
        <v>50</v>
      </c>
      <c r="C239" s="19" t="s">
        <v>12</v>
      </c>
      <c r="D239" s="19" t="s">
        <v>30</v>
      </c>
      <c r="E239" s="19" t="s">
        <v>76</v>
      </c>
      <c r="F239" s="20" t="n">
        <v>57933</v>
      </c>
      <c r="G239" s="20" t="n">
        <v>273854</v>
      </c>
    </row>
    <row r="240" customFormat="false" ht="15" hidden="false" customHeight="false" outlineLevel="0" collapsed="false">
      <c r="A240" s="22" t="n">
        <v>46134</v>
      </c>
      <c r="B240" s="19" t="s">
        <v>50</v>
      </c>
      <c r="C240" s="19" t="s">
        <v>12</v>
      </c>
      <c r="D240" s="19" t="s">
        <v>36</v>
      </c>
      <c r="E240" s="19" t="s">
        <v>78</v>
      </c>
      <c r="F240" s="20" t="n">
        <v>5273</v>
      </c>
      <c r="G240" s="20" t="n">
        <v>0</v>
      </c>
    </row>
    <row r="241" customFormat="false" ht="15" hidden="false" customHeight="false" outlineLevel="0" collapsed="false">
      <c r="A241" s="22" t="n">
        <v>46134</v>
      </c>
      <c r="B241" s="19" t="s">
        <v>50</v>
      </c>
      <c r="C241" s="19" t="s">
        <v>11</v>
      </c>
      <c r="D241" s="19" t="s">
        <v>28</v>
      </c>
      <c r="E241" s="19" t="s">
        <v>69</v>
      </c>
      <c r="F241" s="20" t="n">
        <v>5971</v>
      </c>
      <c r="G241" s="20" t="n">
        <v>0</v>
      </c>
    </row>
    <row r="242" customFormat="false" ht="15" hidden="false" customHeight="false" outlineLevel="0" collapsed="false">
      <c r="A242" s="22" t="n">
        <v>46134</v>
      </c>
      <c r="B242" s="19" t="s">
        <v>50</v>
      </c>
      <c r="C242" s="19" t="s">
        <v>13</v>
      </c>
      <c r="D242" s="19" t="s">
        <v>43</v>
      </c>
      <c r="E242" s="19" t="s">
        <v>68</v>
      </c>
      <c r="F242" s="20" t="n">
        <v>7919</v>
      </c>
      <c r="G242" s="20" t="n">
        <v>0</v>
      </c>
    </row>
    <row r="243" customFormat="false" ht="15" hidden="false" customHeight="false" outlineLevel="0" collapsed="false">
      <c r="A243" s="22" t="n">
        <v>46134</v>
      </c>
      <c r="B243" s="19" t="s">
        <v>50</v>
      </c>
      <c r="C243" s="19" t="s">
        <v>70</v>
      </c>
      <c r="D243" s="19" t="s">
        <v>23</v>
      </c>
      <c r="E243" s="19" t="s">
        <v>71</v>
      </c>
      <c r="F243" s="20" t="n">
        <v>11762</v>
      </c>
      <c r="G243" s="20" t="n">
        <v>0</v>
      </c>
    </row>
    <row r="244" customFormat="false" ht="15" hidden="false" customHeight="false" outlineLevel="0" collapsed="false">
      <c r="A244" s="22" t="n">
        <v>46134</v>
      </c>
      <c r="B244" s="19" t="s">
        <v>50</v>
      </c>
      <c r="C244" s="19" t="s">
        <v>14</v>
      </c>
      <c r="D244" s="19" t="s">
        <v>38</v>
      </c>
      <c r="E244" s="19" t="s">
        <v>77</v>
      </c>
      <c r="F244" s="20" t="n">
        <v>1671</v>
      </c>
      <c r="G244" s="20" t="n">
        <v>0</v>
      </c>
    </row>
    <row r="245" customFormat="false" ht="15" hidden="false" customHeight="false" outlineLevel="0" collapsed="false">
      <c r="A245" s="22" t="n">
        <v>46135</v>
      </c>
      <c r="B245" s="19" t="s">
        <v>50</v>
      </c>
      <c r="C245" s="19" t="s">
        <v>11</v>
      </c>
      <c r="D245" s="19" t="s">
        <v>27</v>
      </c>
      <c r="E245" s="19" t="s">
        <v>63</v>
      </c>
      <c r="F245" s="20" t="n">
        <v>41491</v>
      </c>
      <c r="G245" s="20" t="n">
        <v>226257</v>
      </c>
    </row>
    <row r="246" customFormat="false" ht="15" hidden="false" customHeight="false" outlineLevel="0" collapsed="false">
      <c r="A246" s="22" t="n">
        <v>46135</v>
      </c>
      <c r="B246" s="19" t="s">
        <v>50</v>
      </c>
      <c r="C246" s="19" t="s">
        <v>13</v>
      </c>
      <c r="D246" s="19" t="s">
        <v>44</v>
      </c>
      <c r="E246" s="19" t="s">
        <v>64</v>
      </c>
      <c r="F246" s="20" t="n">
        <v>213589</v>
      </c>
      <c r="G246" s="20" t="n">
        <v>1056781</v>
      </c>
    </row>
    <row r="247" customFormat="false" ht="15" hidden="false" customHeight="false" outlineLevel="0" collapsed="false">
      <c r="A247" s="22" t="n">
        <v>46135</v>
      </c>
      <c r="B247" s="19" t="s">
        <v>50</v>
      </c>
      <c r="C247" s="19" t="s">
        <v>12</v>
      </c>
      <c r="D247" s="19" t="s">
        <v>31</v>
      </c>
      <c r="E247" s="19" t="s">
        <v>65</v>
      </c>
      <c r="F247" s="20" t="n">
        <v>465031</v>
      </c>
      <c r="G247" s="20" t="n">
        <v>2234627</v>
      </c>
    </row>
    <row r="248" customFormat="false" ht="15" hidden="false" customHeight="false" outlineLevel="0" collapsed="false">
      <c r="A248" s="22" t="n">
        <v>46135</v>
      </c>
      <c r="B248" s="19" t="s">
        <v>50</v>
      </c>
      <c r="C248" s="19" t="s">
        <v>12</v>
      </c>
      <c r="D248" s="19" t="s">
        <v>37</v>
      </c>
      <c r="E248" s="19" t="s">
        <v>66</v>
      </c>
      <c r="F248" s="20" t="n">
        <v>129086</v>
      </c>
      <c r="G248" s="20" t="n">
        <v>619436</v>
      </c>
    </row>
    <row r="249" customFormat="false" ht="15" hidden="false" customHeight="false" outlineLevel="0" collapsed="false">
      <c r="A249" s="22" t="n">
        <v>46135</v>
      </c>
      <c r="B249" s="19" t="s">
        <v>50</v>
      </c>
      <c r="C249" s="19" t="s">
        <v>12</v>
      </c>
      <c r="D249" s="19" t="s">
        <v>29</v>
      </c>
      <c r="E249" s="19" t="s">
        <v>75</v>
      </c>
      <c r="F249" s="20" t="n">
        <v>70381</v>
      </c>
      <c r="G249" s="20" t="n">
        <v>365000</v>
      </c>
    </row>
    <row r="250" customFormat="false" ht="15" hidden="false" customHeight="false" outlineLevel="0" collapsed="false">
      <c r="A250" s="22" t="n">
        <v>46135</v>
      </c>
      <c r="B250" s="19" t="s">
        <v>50</v>
      </c>
      <c r="C250" s="19" t="s">
        <v>11</v>
      </c>
      <c r="D250" s="19" t="s">
        <v>28</v>
      </c>
      <c r="E250" s="19" t="s">
        <v>69</v>
      </c>
      <c r="F250" s="20" t="n">
        <v>84187</v>
      </c>
      <c r="G250" s="20" t="n">
        <v>258100</v>
      </c>
    </row>
    <row r="251" customFormat="false" ht="15" hidden="false" customHeight="false" outlineLevel="0" collapsed="false">
      <c r="A251" s="22" t="n">
        <v>46135</v>
      </c>
      <c r="B251" s="19" t="s">
        <v>50</v>
      </c>
      <c r="C251" s="19" t="s">
        <v>15</v>
      </c>
      <c r="D251" s="19" t="s">
        <v>45</v>
      </c>
      <c r="E251" s="19" t="s">
        <v>67</v>
      </c>
      <c r="F251" s="20" t="n">
        <v>9587</v>
      </c>
      <c r="G251" s="20" t="n">
        <v>0</v>
      </c>
    </row>
    <row r="252" customFormat="false" ht="15" hidden="false" customHeight="false" outlineLevel="0" collapsed="false">
      <c r="A252" s="22" t="n">
        <v>46135</v>
      </c>
      <c r="B252" s="19" t="s">
        <v>50</v>
      </c>
      <c r="C252" s="19" t="s">
        <v>12</v>
      </c>
      <c r="D252" s="19" t="s">
        <v>30</v>
      </c>
      <c r="E252" s="19" t="s">
        <v>76</v>
      </c>
      <c r="F252" s="20" t="n">
        <v>14693</v>
      </c>
      <c r="G252" s="20" t="n">
        <v>0</v>
      </c>
    </row>
    <row r="253" customFormat="false" ht="15" hidden="false" customHeight="false" outlineLevel="0" collapsed="false">
      <c r="A253" s="22" t="n">
        <v>46135</v>
      </c>
      <c r="B253" s="19" t="s">
        <v>50</v>
      </c>
      <c r="C253" s="19" t="s">
        <v>13</v>
      </c>
      <c r="D253" s="19" t="s">
        <v>43</v>
      </c>
      <c r="E253" s="19" t="s">
        <v>68</v>
      </c>
      <c r="F253" s="20" t="n">
        <v>8498</v>
      </c>
      <c r="G253" s="20" t="n">
        <v>0</v>
      </c>
    </row>
    <row r="254" customFormat="false" ht="15" hidden="false" customHeight="false" outlineLevel="0" collapsed="false">
      <c r="A254" s="22" t="n">
        <v>46135</v>
      </c>
      <c r="B254" s="19" t="s">
        <v>50</v>
      </c>
      <c r="C254" s="19" t="s">
        <v>70</v>
      </c>
      <c r="D254" s="19" t="s">
        <v>23</v>
      </c>
      <c r="E254" s="19" t="s">
        <v>71</v>
      </c>
      <c r="F254" s="20" t="n">
        <v>3708</v>
      </c>
      <c r="G254" s="20" t="n">
        <v>0</v>
      </c>
    </row>
    <row r="255" customFormat="false" ht="15" hidden="false" customHeight="false" outlineLevel="0" collapsed="false">
      <c r="A255" s="22" t="n">
        <v>46135</v>
      </c>
      <c r="B255" s="19" t="s">
        <v>50</v>
      </c>
      <c r="C255" s="19" t="s">
        <v>12</v>
      </c>
      <c r="D255" s="19" t="s">
        <v>36</v>
      </c>
      <c r="E255" s="19" t="s">
        <v>78</v>
      </c>
      <c r="F255" s="20" t="n">
        <v>5334</v>
      </c>
      <c r="G255" s="20" t="n">
        <v>0</v>
      </c>
    </row>
    <row r="256" customFormat="false" ht="15" hidden="false" customHeight="false" outlineLevel="0" collapsed="false">
      <c r="A256" s="22" t="n">
        <v>46135</v>
      </c>
      <c r="B256" s="19" t="s">
        <v>50</v>
      </c>
      <c r="C256" s="19" t="s">
        <v>14</v>
      </c>
      <c r="D256" s="19" t="s">
        <v>38</v>
      </c>
      <c r="E256" s="19" t="s">
        <v>77</v>
      </c>
      <c r="F256" s="20" t="n">
        <v>2147</v>
      </c>
      <c r="G256" s="20" t="n">
        <v>0</v>
      </c>
    </row>
    <row r="257" customFormat="false" ht="15" hidden="false" customHeight="false" outlineLevel="0" collapsed="false">
      <c r="A257" s="22" t="n">
        <v>46136</v>
      </c>
      <c r="B257" s="19" t="s">
        <v>50</v>
      </c>
      <c r="C257" s="19" t="s">
        <v>11</v>
      </c>
      <c r="D257" s="19" t="s">
        <v>27</v>
      </c>
      <c r="E257" s="19" t="s">
        <v>63</v>
      </c>
      <c r="F257" s="20" t="n">
        <v>43953</v>
      </c>
      <c r="G257" s="20" t="n">
        <v>220590</v>
      </c>
    </row>
    <row r="258" customFormat="false" ht="15" hidden="false" customHeight="false" outlineLevel="0" collapsed="false">
      <c r="A258" s="22" t="n">
        <v>46136</v>
      </c>
      <c r="B258" s="19" t="s">
        <v>50</v>
      </c>
      <c r="C258" s="19" t="s">
        <v>13</v>
      </c>
      <c r="D258" s="19" t="s">
        <v>44</v>
      </c>
      <c r="E258" s="19" t="s">
        <v>64</v>
      </c>
      <c r="F258" s="20" t="n">
        <v>326533</v>
      </c>
      <c r="G258" s="20" t="n">
        <v>1663048</v>
      </c>
    </row>
    <row r="259" customFormat="false" ht="15" hidden="false" customHeight="false" outlineLevel="0" collapsed="false">
      <c r="A259" s="22" t="n">
        <v>46136</v>
      </c>
      <c r="B259" s="19" t="s">
        <v>50</v>
      </c>
      <c r="C259" s="19" t="s">
        <v>12</v>
      </c>
      <c r="D259" s="19" t="s">
        <v>31</v>
      </c>
      <c r="E259" s="19" t="s">
        <v>65</v>
      </c>
      <c r="F259" s="20" t="n">
        <v>214342</v>
      </c>
      <c r="G259" s="20" t="n">
        <v>988256</v>
      </c>
    </row>
    <row r="260" customFormat="false" ht="15" hidden="false" customHeight="false" outlineLevel="0" collapsed="false">
      <c r="A260" s="22" t="n">
        <v>46136</v>
      </c>
      <c r="B260" s="19" t="s">
        <v>50</v>
      </c>
      <c r="C260" s="19" t="s">
        <v>12</v>
      </c>
      <c r="D260" s="19" t="s">
        <v>37</v>
      </c>
      <c r="E260" s="19" t="s">
        <v>66</v>
      </c>
      <c r="F260" s="20" t="n">
        <v>32844</v>
      </c>
      <c r="G260" s="20" t="n">
        <v>95436</v>
      </c>
    </row>
    <row r="261" customFormat="false" ht="15" hidden="false" customHeight="false" outlineLevel="0" collapsed="false">
      <c r="A261" s="22" t="n">
        <v>46136</v>
      </c>
      <c r="B261" s="19" t="s">
        <v>50</v>
      </c>
      <c r="C261" s="19" t="s">
        <v>12</v>
      </c>
      <c r="D261" s="19" t="s">
        <v>29</v>
      </c>
      <c r="E261" s="19" t="s">
        <v>75</v>
      </c>
      <c r="F261" s="20" t="n">
        <v>10023</v>
      </c>
      <c r="G261" s="20" t="n">
        <v>98000</v>
      </c>
    </row>
    <row r="262" customFormat="false" ht="15" hidden="false" customHeight="false" outlineLevel="0" collapsed="false">
      <c r="A262" s="22" t="n">
        <v>46136</v>
      </c>
      <c r="B262" s="19" t="s">
        <v>50</v>
      </c>
      <c r="C262" s="19" t="s">
        <v>15</v>
      </c>
      <c r="D262" s="19" t="s">
        <v>45</v>
      </c>
      <c r="E262" s="19" t="s">
        <v>67</v>
      </c>
      <c r="F262" s="20" t="n">
        <v>12603</v>
      </c>
      <c r="G262" s="20" t="n">
        <v>0</v>
      </c>
    </row>
    <row r="263" customFormat="false" ht="15" hidden="false" customHeight="false" outlineLevel="0" collapsed="false">
      <c r="A263" s="22" t="n">
        <v>46136</v>
      </c>
      <c r="B263" s="19" t="s">
        <v>50</v>
      </c>
      <c r="C263" s="19" t="s">
        <v>13</v>
      </c>
      <c r="D263" s="19" t="s">
        <v>43</v>
      </c>
      <c r="E263" s="19" t="s">
        <v>68</v>
      </c>
      <c r="F263" s="20" t="n">
        <v>8459</v>
      </c>
      <c r="G263" s="20" t="n">
        <v>0</v>
      </c>
    </row>
    <row r="264" customFormat="false" ht="15" hidden="false" customHeight="false" outlineLevel="0" collapsed="false">
      <c r="A264" s="22" t="n">
        <v>46136</v>
      </c>
      <c r="B264" s="19" t="s">
        <v>50</v>
      </c>
      <c r="C264" s="19" t="s">
        <v>11</v>
      </c>
      <c r="D264" s="19" t="s">
        <v>28</v>
      </c>
      <c r="E264" s="19" t="s">
        <v>69</v>
      </c>
      <c r="F264" s="20" t="n">
        <v>5324</v>
      </c>
      <c r="G264" s="20" t="n">
        <v>0</v>
      </c>
    </row>
    <row r="265" customFormat="false" ht="15" hidden="false" customHeight="false" outlineLevel="0" collapsed="false">
      <c r="A265" s="22" t="n">
        <v>46137</v>
      </c>
      <c r="B265" s="19" t="s">
        <v>50</v>
      </c>
      <c r="C265" s="19" t="s">
        <v>11</v>
      </c>
      <c r="D265" s="19" t="s">
        <v>27</v>
      </c>
      <c r="E265" s="19" t="s">
        <v>63</v>
      </c>
      <c r="F265" s="20" t="n">
        <v>63811</v>
      </c>
      <c r="G265" s="20" t="n">
        <v>150152</v>
      </c>
    </row>
    <row r="266" customFormat="false" ht="15" hidden="false" customHeight="false" outlineLevel="0" collapsed="false">
      <c r="A266" s="22" t="n">
        <v>46137</v>
      </c>
      <c r="B266" s="19" t="s">
        <v>50</v>
      </c>
      <c r="C266" s="19" t="s">
        <v>13</v>
      </c>
      <c r="D266" s="19" t="s">
        <v>44</v>
      </c>
      <c r="E266" s="19" t="s">
        <v>64</v>
      </c>
      <c r="F266" s="20" t="n">
        <v>900000</v>
      </c>
      <c r="G266" s="20" t="n">
        <v>4828104</v>
      </c>
    </row>
    <row r="267" customFormat="false" ht="15" hidden="false" customHeight="false" outlineLevel="0" collapsed="false">
      <c r="A267" s="22" t="n">
        <v>46137</v>
      </c>
      <c r="B267" s="19" t="s">
        <v>50</v>
      </c>
      <c r="C267" s="19" t="s">
        <v>15</v>
      </c>
      <c r="D267" s="19" t="s">
        <v>45</v>
      </c>
      <c r="E267" s="19" t="s">
        <v>67</v>
      </c>
      <c r="F267" s="20" t="n">
        <v>74919</v>
      </c>
      <c r="G267" s="20" t="n">
        <v>320384</v>
      </c>
    </row>
    <row r="268" customFormat="false" ht="15" hidden="false" customHeight="false" outlineLevel="0" collapsed="false">
      <c r="A268" s="22" t="n">
        <v>46137</v>
      </c>
      <c r="B268" s="19" t="s">
        <v>50</v>
      </c>
      <c r="C268" s="19" t="s">
        <v>12</v>
      </c>
      <c r="D268" s="19" t="s">
        <v>31</v>
      </c>
      <c r="E268" s="19" t="s">
        <v>65</v>
      </c>
      <c r="F268" s="20" t="n">
        <v>137796</v>
      </c>
      <c r="G268" s="20" t="n">
        <v>159565</v>
      </c>
    </row>
    <row r="269" customFormat="false" ht="15" hidden="false" customHeight="false" outlineLevel="0" collapsed="false">
      <c r="A269" s="22" t="n">
        <v>46137</v>
      </c>
      <c r="B269" s="19" t="s">
        <v>50</v>
      </c>
      <c r="C269" s="19" t="s">
        <v>12</v>
      </c>
      <c r="D269" s="19" t="s">
        <v>37</v>
      </c>
      <c r="E269" s="19" t="s">
        <v>66</v>
      </c>
      <c r="F269" s="20" t="n">
        <v>40572</v>
      </c>
      <c r="G269" s="20" t="n">
        <v>0</v>
      </c>
    </row>
    <row r="270" customFormat="false" ht="15" hidden="false" customHeight="false" outlineLevel="0" collapsed="false">
      <c r="A270" s="22" t="n">
        <v>46137</v>
      </c>
      <c r="B270" s="19" t="s">
        <v>50</v>
      </c>
      <c r="C270" s="19" t="s">
        <v>11</v>
      </c>
      <c r="D270" s="19" t="s">
        <v>28</v>
      </c>
      <c r="E270" s="19" t="s">
        <v>69</v>
      </c>
      <c r="F270" s="20" t="n">
        <v>54255</v>
      </c>
      <c r="G270" s="20" t="n">
        <v>212534</v>
      </c>
    </row>
    <row r="271" customFormat="false" ht="15" hidden="false" customHeight="false" outlineLevel="0" collapsed="false">
      <c r="A271" s="22" t="n">
        <v>46137</v>
      </c>
      <c r="B271" s="19" t="s">
        <v>50</v>
      </c>
      <c r="C271" s="19" t="s">
        <v>13</v>
      </c>
      <c r="D271" s="19" t="s">
        <v>43</v>
      </c>
      <c r="E271" s="19" t="s">
        <v>68</v>
      </c>
      <c r="F271" s="20" t="n">
        <v>25255</v>
      </c>
      <c r="G271" s="20" t="n">
        <v>0</v>
      </c>
    </row>
    <row r="272" customFormat="false" ht="15" hidden="false" customHeight="false" outlineLevel="0" collapsed="false">
      <c r="A272" s="22" t="n">
        <v>46137</v>
      </c>
      <c r="B272" s="19" t="s">
        <v>50</v>
      </c>
      <c r="C272" s="19" t="s">
        <v>12</v>
      </c>
      <c r="D272" s="19" t="s">
        <v>29</v>
      </c>
      <c r="E272" s="19" t="s">
        <v>75</v>
      </c>
      <c r="F272" s="20" t="n">
        <v>213</v>
      </c>
      <c r="G272" s="20" t="n">
        <v>0</v>
      </c>
    </row>
    <row r="273" customFormat="false" ht="15" hidden="false" customHeight="false" outlineLevel="0" collapsed="false">
      <c r="A273" s="22" t="n">
        <v>46138</v>
      </c>
      <c r="B273" s="19" t="s">
        <v>50</v>
      </c>
      <c r="C273" s="19" t="s">
        <v>11</v>
      </c>
      <c r="D273" s="19" t="s">
        <v>27</v>
      </c>
      <c r="E273" s="19" t="s">
        <v>63</v>
      </c>
      <c r="F273" s="20" t="n">
        <v>3666</v>
      </c>
      <c r="G273" s="20" t="n">
        <v>0</v>
      </c>
    </row>
    <row r="274" customFormat="false" ht="15" hidden="false" customHeight="false" outlineLevel="0" collapsed="false">
      <c r="A274" s="22" t="n">
        <v>46138</v>
      </c>
      <c r="B274" s="19" t="s">
        <v>50</v>
      </c>
      <c r="C274" s="19" t="s">
        <v>13</v>
      </c>
      <c r="D274" s="19" t="s">
        <v>44</v>
      </c>
      <c r="E274" s="19" t="s">
        <v>64</v>
      </c>
      <c r="F274" s="20" t="n">
        <v>255477</v>
      </c>
      <c r="G274" s="20" t="n">
        <v>1298482</v>
      </c>
    </row>
    <row r="275" customFormat="false" ht="15" hidden="false" customHeight="false" outlineLevel="0" collapsed="false">
      <c r="A275" s="22" t="n">
        <v>46138</v>
      </c>
      <c r="B275" s="19" t="s">
        <v>50</v>
      </c>
      <c r="C275" s="19" t="s">
        <v>12</v>
      </c>
      <c r="D275" s="19" t="s">
        <v>31</v>
      </c>
      <c r="E275" s="19" t="s">
        <v>65</v>
      </c>
      <c r="F275" s="20" t="n">
        <v>95214</v>
      </c>
      <c r="G275" s="20" t="n">
        <v>164657</v>
      </c>
    </row>
    <row r="276" customFormat="false" ht="15" hidden="false" customHeight="false" outlineLevel="0" collapsed="false">
      <c r="A276" s="22" t="n">
        <v>46138</v>
      </c>
      <c r="B276" s="19" t="s">
        <v>50</v>
      </c>
      <c r="C276" s="19" t="s">
        <v>12</v>
      </c>
      <c r="D276" s="19" t="s">
        <v>37</v>
      </c>
      <c r="E276" s="19" t="s">
        <v>66</v>
      </c>
      <c r="F276" s="20" t="n">
        <v>40856</v>
      </c>
      <c r="G276" s="20" t="n">
        <v>450200</v>
      </c>
    </row>
    <row r="277" customFormat="false" ht="15" hidden="false" customHeight="false" outlineLevel="0" collapsed="false">
      <c r="A277" s="22" t="n">
        <v>46138</v>
      </c>
      <c r="B277" s="19" t="s">
        <v>50</v>
      </c>
      <c r="C277" s="19" t="s">
        <v>15</v>
      </c>
      <c r="D277" s="19" t="s">
        <v>45</v>
      </c>
      <c r="E277" s="19" t="s">
        <v>67</v>
      </c>
      <c r="F277" s="20" t="n">
        <v>24089</v>
      </c>
      <c r="G277" s="20" t="n">
        <v>111550</v>
      </c>
    </row>
    <row r="278" customFormat="false" ht="15" hidden="false" customHeight="false" outlineLevel="0" collapsed="false">
      <c r="A278" s="22" t="n">
        <v>46138</v>
      </c>
      <c r="B278" s="19" t="s">
        <v>50</v>
      </c>
      <c r="C278" s="19" t="s">
        <v>11</v>
      </c>
      <c r="D278" s="19" t="s">
        <v>28</v>
      </c>
      <c r="E278" s="19" t="s">
        <v>69</v>
      </c>
      <c r="F278" s="20" t="n">
        <v>5119</v>
      </c>
      <c r="G278" s="20" t="n">
        <v>0</v>
      </c>
    </row>
    <row r="279" customFormat="false" ht="15" hidden="false" customHeight="false" outlineLevel="0" collapsed="false">
      <c r="A279" s="22" t="n">
        <v>46138</v>
      </c>
      <c r="B279" s="19" t="s">
        <v>50</v>
      </c>
      <c r="C279" s="19" t="s">
        <v>13</v>
      </c>
      <c r="D279" s="19" t="s">
        <v>43</v>
      </c>
      <c r="E279" s="19" t="s">
        <v>68</v>
      </c>
      <c r="F279" s="20" t="n">
        <v>8123</v>
      </c>
      <c r="G279" s="20" t="n">
        <v>0</v>
      </c>
    </row>
    <row r="280" customFormat="false" ht="15" hidden="false" customHeight="false" outlineLevel="0" collapsed="false">
      <c r="A280" s="22" t="n">
        <v>46138</v>
      </c>
      <c r="B280" s="19" t="s">
        <v>50</v>
      </c>
      <c r="C280" s="19" t="s">
        <v>12</v>
      </c>
      <c r="D280" s="19" t="s">
        <v>29</v>
      </c>
      <c r="E280" s="19" t="s">
        <v>75</v>
      </c>
      <c r="F280" s="20" t="n">
        <v>233</v>
      </c>
      <c r="G280" s="20" t="n">
        <v>0</v>
      </c>
    </row>
    <row r="281" customFormat="false" ht="15" hidden="false" customHeight="false" outlineLevel="0" collapsed="false">
      <c r="A281" s="22" t="n">
        <v>46139</v>
      </c>
      <c r="B281" s="19" t="s">
        <v>50</v>
      </c>
      <c r="C281" s="19" t="s">
        <v>11</v>
      </c>
      <c r="D281" s="19" t="s">
        <v>27</v>
      </c>
      <c r="E281" s="19" t="s">
        <v>63</v>
      </c>
      <c r="F281" s="20" t="n">
        <v>943</v>
      </c>
      <c r="G281" s="20" t="n">
        <v>0</v>
      </c>
    </row>
    <row r="282" customFormat="false" ht="15" hidden="false" customHeight="false" outlineLevel="0" collapsed="false">
      <c r="A282" s="22" t="n">
        <v>46139</v>
      </c>
      <c r="B282" s="19" t="s">
        <v>50</v>
      </c>
      <c r="C282" s="19" t="s">
        <v>13</v>
      </c>
      <c r="D282" s="19" t="s">
        <v>44</v>
      </c>
      <c r="E282" s="19" t="s">
        <v>64</v>
      </c>
      <c r="F282" s="20" t="n">
        <v>843319</v>
      </c>
      <c r="G282" s="20" t="n">
        <v>4476351</v>
      </c>
    </row>
    <row r="283" customFormat="false" ht="15" hidden="false" customHeight="false" outlineLevel="0" collapsed="false">
      <c r="A283" s="22" t="n">
        <v>46139</v>
      </c>
      <c r="B283" s="19" t="s">
        <v>50</v>
      </c>
      <c r="C283" s="19" t="s">
        <v>12</v>
      </c>
      <c r="D283" s="19" t="s">
        <v>31</v>
      </c>
      <c r="E283" s="19" t="s">
        <v>65</v>
      </c>
      <c r="F283" s="20" t="n">
        <v>549931</v>
      </c>
      <c r="G283" s="20" t="n">
        <v>2675206</v>
      </c>
    </row>
    <row r="284" customFormat="false" ht="15" hidden="false" customHeight="false" outlineLevel="0" collapsed="false">
      <c r="A284" s="22" t="n">
        <v>46139</v>
      </c>
      <c r="B284" s="19" t="s">
        <v>50</v>
      </c>
      <c r="C284" s="19" t="s">
        <v>12</v>
      </c>
      <c r="D284" s="19" t="s">
        <v>37</v>
      </c>
      <c r="E284" s="19" t="s">
        <v>66</v>
      </c>
      <c r="F284" s="20" t="n">
        <v>36810</v>
      </c>
      <c r="G284" s="20" t="n">
        <v>102820</v>
      </c>
    </row>
    <row r="285" customFormat="false" ht="15" hidden="false" customHeight="false" outlineLevel="0" collapsed="false">
      <c r="A285" s="22" t="n">
        <v>46139</v>
      </c>
      <c r="B285" s="19" t="s">
        <v>50</v>
      </c>
      <c r="C285" s="19" t="s">
        <v>11</v>
      </c>
      <c r="D285" s="19" t="s">
        <v>28</v>
      </c>
      <c r="E285" s="19" t="s">
        <v>69</v>
      </c>
      <c r="F285" s="20" t="n">
        <v>68397</v>
      </c>
      <c r="G285" s="20" t="n">
        <v>255800</v>
      </c>
    </row>
    <row r="286" customFormat="false" ht="15" hidden="false" customHeight="false" outlineLevel="0" collapsed="false">
      <c r="A286" s="22" t="n">
        <v>46139</v>
      </c>
      <c r="B286" s="19" t="s">
        <v>50</v>
      </c>
      <c r="C286" s="19" t="s">
        <v>15</v>
      </c>
      <c r="D286" s="19" t="s">
        <v>45</v>
      </c>
      <c r="E286" s="19" t="s">
        <v>67</v>
      </c>
      <c r="F286" s="20" t="n">
        <v>16735</v>
      </c>
      <c r="G286" s="20" t="n">
        <v>70000</v>
      </c>
    </row>
    <row r="287" customFormat="false" ht="15" hidden="false" customHeight="false" outlineLevel="0" collapsed="false">
      <c r="A287" s="22" t="n">
        <v>46139</v>
      </c>
      <c r="B287" s="19" t="s">
        <v>50</v>
      </c>
      <c r="C287" s="19" t="s">
        <v>13</v>
      </c>
      <c r="D287" s="19" t="s">
        <v>43</v>
      </c>
      <c r="E287" s="19" t="s">
        <v>68</v>
      </c>
      <c r="F287" s="20" t="n">
        <v>7505</v>
      </c>
      <c r="G287" s="20" t="n">
        <v>0</v>
      </c>
    </row>
    <row r="288" customFormat="false" ht="15" hidden="false" customHeight="false" outlineLevel="0" collapsed="false">
      <c r="A288" s="22" t="n">
        <v>46139</v>
      </c>
      <c r="B288" s="19" t="s">
        <v>50</v>
      </c>
      <c r="C288" s="19" t="s">
        <v>12</v>
      </c>
      <c r="D288" s="19" t="s">
        <v>29</v>
      </c>
      <c r="E288" s="19" t="s">
        <v>75</v>
      </c>
      <c r="F288" s="20" t="n">
        <v>336</v>
      </c>
      <c r="G288" s="20" t="n">
        <v>0</v>
      </c>
    </row>
    <row r="289" customFormat="false" ht="15" hidden="false" customHeight="false" outlineLevel="0" collapsed="false">
      <c r="A289" s="22" t="n">
        <v>46140</v>
      </c>
      <c r="B289" s="19" t="s">
        <v>50</v>
      </c>
      <c r="C289" s="19" t="s">
        <v>11</v>
      </c>
      <c r="D289" s="19" t="s">
        <v>27</v>
      </c>
      <c r="E289" s="19" t="s">
        <v>63</v>
      </c>
      <c r="F289" s="20" t="n">
        <v>7472</v>
      </c>
      <c r="G289" s="20" t="n">
        <v>37830</v>
      </c>
    </row>
    <row r="290" customFormat="false" ht="15" hidden="false" customHeight="false" outlineLevel="0" collapsed="false">
      <c r="A290" s="22" t="n">
        <v>46140</v>
      </c>
      <c r="B290" s="19" t="s">
        <v>50</v>
      </c>
      <c r="C290" s="19" t="s">
        <v>13</v>
      </c>
      <c r="D290" s="19" t="s">
        <v>44</v>
      </c>
      <c r="E290" s="19" t="s">
        <v>64</v>
      </c>
      <c r="F290" s="20" t="n">
        <v>608872</v>
      </c>
      <c r="G290" s="20" t="n">
        <v>3108989</v>
      </c>
    </row>
    <row r="291" customFormat="false" ht="15" hidden="false" customHeight="false" outlineLevel="0" collapsed="false">
      <c r="A291" s="22" t="n">
        <v>46140</v>
      </c>
      <c r="B291" s="19" t="s">
        <v>50</v>
      </c>
      <c r="C291" s="19" t="s">
        <v>12</v>
      </c>
      <c r="D291" s="19" t="s">
        <v>31</v>
      </c>
      <c r="E291" s="19" t="s">
        <v>65</v>
      </c>
      <c r="F291" s="20" t="n">
        <v>498812</v>
      </c>
      <c r="G291" s="20" t="n">
        <v>2292686</v>
      </c>
    </row>
    <row r="292" customFormat="false" ht="15" hidden="false" customHeight="false" outlineLevel="0" collapsed="false">
      <c r="A292" s="22" t="n">
        <v>46140</v>
      </c>
      <c r="B292" s="19" t="s">
        <v>50</v>
      </c>
      <c r="C292" s="19" t="s">
        <v>12</v>
      </c>
      <c r="D292" s="19" t="s">
        <v>37</v>
      </c>
      <c r="E292" s="19" t="s">
        <v>66</v>
      </c>
      <c r="F292" s="20" t="n">
        <v>19322</v>
      </c>
      <c r="G292" s="20" t="n">
        <v>0</v>
      </c>
    </row>
    <row r="293" customFormat="false" ht="15" hidden="false" customHeight="false" outlineLevel="0" collapsed="false">
      <c r="A293" s="22" t="n">
        <v>46140</v>
      </c>
      <c r="B293" s="19" t="s">
        <v>50</v>
      </c>
      <c r="C293" s="19" t="s">
        <v>11</v>
      </c>
      <c r="D293" s="19" t="s">
        <v>28</v>
      </c>
      <c r="E293" s="19" t="s">
        <v>69</v>
      </c>
      <c r="F293" s="20" t="n">
        <v>34446</v>
      </c>
      <c r="G293" s="20" t="n">
        <v>107199</v>
      </c>
    </row>
    <row r="294" customFormat="false" ht="15" hidden="false" customHeight="false" outlineLevel="0" collapsed="false">
      <c r="A294" s="22" t="n">
        <v>46140</v>
      </c>
      <c r="B294" s="19" t="s">
        <v>50</v>
      </c>
      <c r="C294" s="19" t="s">
        <v>15</v>
      </c>
      <c r="D294" s="19" t="s">
        <v>45</v>
      </c>
      <c r="E294" s="19" t="s">
        <v>67</v>
      </c>
      <c r="F294" s="20" t="n">
        <v>9749</v>
      </c>
      <c r="G294" s="20" t="n">
        <v>0</v>
      </c>
    </row>
    <row r="295" customFormat="false" ht="15" hidden="false" customHeight="false" outlineLevel="0" collapsed="false">
      <c r="A295" s="22" t="n">
        <v>46140</v>
      </c>
      <c r="B295" s="19" t="s">
        <v>50</v>
      </c>
      <c r="C295" s="19" t="s">
        <v>12</v>
      </c>
      <c r="D295" s="19" t="s">
        <v>29</v>
      </c>
      <c r="E295" s="19" t="s">
        <v>75</v>
      </c>
      <c r="F295" s="20" t="n">
        <v>4807</v>
      </c>
      <c r="G295" s="20" t="n">
        <v>0</v>
      </c>
    </row>
    <row r="296" customFormat="false" ht="15" hidden="false" customHeight="false" outlineLevel="0" collapsed="false">
      <c r="A296" s="22" t="n">
        <v>46140</v>
      </c>
      <c r="B296" s="19" t="s">
        <v>50</v>
      </c>
      <c r="C296" s="19" t="s">
        <v>13</v>
      </c>
      <c r="D296" s="19" t="s">
        <v>43</v>
      </c>
      <c r="E296" s="19" t="s">
        <v>68</v>
      </c>
      <c r="F296" s="20" t="n">
        <v>8783</v>
      </c>
      <c r="G296" s="20" t="n">
        <v>0</v>
      </c>
    </row>
    <row r="297" customFormat="false" ht="15" hidden="false" customHeight="false" outlineLevel="0" collapsed="false">
      <c r="A297" s="22" t="n">
        <v>46141</v>
      </c>
      <c r="B297" s="19" t="s">
        <v>50</v>
      </c>
      <c r="C297" s="19" t="s">
        <v>11</v>
      </c>
      <c r="D297" s="19" t="s">
        <v>27</v>
      </c>
      <c r="E297" s="19" t="s">
        <v>63</v>
      </c>
      <c r="F297" s="20" t="n">
        <v>29601</v>
      </c>
      <c r="G297" s="20" t="n">
        <v>156000</v>
      </c>
    </row>
    <row r="298" customFormat="false" ht="15" hidden="false" customHeight="false" outlineLevel="0" collapsed="false">
      <c r="A298" s="22" t="n">
        <v>46141</v>
      </c>
      <c r="B298" s="19" t="s">
        <v>50</v>
      </c>
      <c r="C298" s="19" t="s">
        <v>13</v>
      </c>
      <c r="D298" s="19" t="s">
        <v>44</v>
      </c>
      <c r="E298" s="19" t="s">
        <v>64</v>
      </c>
      <c r="F298" s="20" t="n">
        <v>429856</v>
      </c>
      <c r="G298" s="20" t="n">
        <v>2280017</v>
      </c>
    </row>
    <row r="299" customFormat="false" ht="15" hidden="false" customHeight="false" outlineLevel="0" collapsed="false">
      <c r="A299" s="22" t="n">
        <v>46141</v>
      </c>
      <c r="B299" s="19" t="s">
        <v>50</v>
      </c>
      <c r="C299" s="19" t="s">
        <v>12</v>
      </c>
      <c r="D299" s="19" t="s">
        <v>31</v>
      </c>
      <c r="E299" s="19" t="s">
        <v>65</v>
      </c>
      <c r="F299" s="20" t="n">
        <v>431398</v>
      </c>
      <c r="G299" s="20" t="n">
        <v>2011902</v>
      </c>
    </row>
    <row r="300" customFormat="false" ht="15" hidden="false" customHeight="false" outlineLevel="0" collapsed="false">
      <c r="A300" s="22" t="n">
        <v>46141</v>
      </c>
      <c r="B300" s="19" t="s">
        <v>50</v>
      </c>
      <c r="C300" s="19" t="s">
        <v>12</v>
      </c>
      <c r="D300" s="19" t="s">
        <v>37</v>
      </c>
      <c r="E300" s="19" t="s">
        <v>66</v>
      </c>
      <c r="F300" s="20" t="n">
        <v>16031</v>
      </c>
      <c r="G300" s="20" t="n">
        <v>0</v>
      </c>
    </row>
    <row r="301" customFormat="false" ht="15" hidden="false" customHeight="false" outlineLevel="0" collapsed="false">
      <c r="A301" s="22" t="n">
        <v>46141</v>
      </c>
      <c r="B301" s="19" t="s">
        <v>50</v>
      </c>
      <c r="C301" s="19" t="s">
        <v>15</v>
      </c>
      <c r="D301" s="19" t="s">
        <v>45</v>
      </c>
      <c r="E301" s="19" t="s">
        <v>67</v>
      </c>
      <c r="F301" s="20" t="n">
        <v>7494</v>
      </c>
      <c r="G301" s="20" t="n">
        <v>28700</v>
      </c>
    </row>
    <row r="302" customFormat="false" ht="15" hidden="false" customHeight="false" outlineLevel="0" collapsed="false">
      <c r="A302" s="22" t="n">
        <v>46141</v>
      </c>
      <c r="B302" s="19" t="s">
        <v>50</v>
      </c>
      <c r="C302" s="19" t="s">
        <v>12</v>
      </c>
      <c r="D302" s="19" t="s">
        <v>29</v>
      </c>
      <c r="E302" s="19" t="s">
        <v>75</v>
      </c>
      <c r="F302" s="20" t="n">
        <v>8190</v>
      </c>
      <c r="G302" s="20" t="n">
        <v>0</v>
      </c>
    </row>
    <row r="303" customFormat="false" ht="15" hidden="false" customHeight="false" outlineLevel="0" collapsed="false">
      <c r="A303" s="22" t="n">
        <v>46141</v>
      </c>
      <c r="B303" s="19" t="s">
        <v>50</v>
      </c>
      <c r="C303" s="19" t="s">
        <v>11</v>
      </c>
      <c r="D303" s="19" t="s">
        <v>28</v>
      </c>
      <c r="E303" s="19" t="s">
        <v>69</v>
      </c>
      <c r="F303" s="20" t="n">
        <v>8298</v>
      </c>
      <c r="G303" s="20" t="n">
        <v>0</v>
      </c>
    </row>
    <row r="304" customFormat="false" ht="15" hidden="false" customHeight="false" outlineLevel="0" collapsed="false">
      <c r="A304" s="22" t="n">
        <v>46141</v>
      </c>
      <c r="B304" s="19" t="s">
        <v>50</v>
      </c>
      <c r="C304" s="19" t="s">
        <v>13</v>
      </c>
      <c r="D304" s="19" t="s">
        <v>43</v>
      </c>
      <c r="E304" s="19" t="s">
        <v>68</v>
      </c>
      <c r="F304" s="20" t="n">
        <v>18252</v>
      </c>
      <c r="G304" s="20" t="n">
        <v>0</v>
      </c>
    </row>
    <row r="305" customFormat="false" ht="15" hidden="false" customHeight="false" outlineLevel="0" collapsed="false">
      <c r="A305" s="22" t="n">
        <v>46142</v>
      </c>
      <c r="B305" s="19" t="s">
        <v>50</v>
      </c>
      <c r="C305" s="19" t="s">
        <v>11</v>
      </c>
      <c r="D305" s="19" t="s">
        <v>27</v>
      </c>
      <c r="E305" s="19" t="s">
        <v>63</v>
      </c>
      <c r="F305" s="20" t="n">
        <v>15713</v>
      </c>
      <c r="G305" s="20" t="n">
        <v>39000</v>
      </c>
    </row>
    <row r="306" customFormat="false" ht="15" hidden="false" customHeight="false" outlineLevel="0" collapsed="false">
      <c r="A306" s="22" t="n">
        <v>46142</v>
      </c>
      <c r="B306" s="19" t="s">
        <v>50</v>
      </c>
      <c r="C306" s="19" t="s">
        <v>13</v>
      </c>
      <c r="D306" s="19" t="s">
        <v>44</v>
      </c>
      <c r="E306" s="19" t="s">
        <v>64</v>
      </c>
      <c r="F306" s="20" t="n">
        <v>150616</v>
      </c>
      <c r="G306" s="20" t="n">
        <v>775100</v>
      </c>
    </row>
    <row r="307" customFormat="false" ht="15" hidden="false" customHeight="false" outlineLevel="0" collapsed="false">
      <c r="A307" s="22" t="n">
        <v>46142</v>
      </c>
      <c r="B307" s="19" t="s">
        <v>50</v>
      </c>
      <c r="C307" s="19" t="s">
        <v>12</v>
      </c>
      <c r="D307" s="19" t="s">
        <v>31</v>
      </c>
      <c r="E307" s="19" t="s">
        <v>65</v>
      </c>
      <c r="F307" s="20" t="n">
        <v>88611</v>
      </c>
      <c r="G307" s="20" t="n">
        <v>189150</v>
      </c>
    </row>
    <row r="308" customFormat="false" ht="15" hidden="false" customHeight="false" outlineLevel="0" collapsed="false">
      <c r="A308" s="22" t="n">
        <v>46142</v>
      </c>
      <c r="B308" s="19" t="s">
        <v>50</v>
      </c>
      <c r="C308" s="19" t="s">
        <v>15</v>
      </c>
      <c r="D308" s="19" t="s">
        <v>45</v>
      </c>
      <c r="E308" s="19" t="s">
        <v>67</v>
      </c>
      <c r="F308" s="20" t="n">
        <v>24694</v>
      </c>
      <c r="G308" s="20" t="n">
        <v>94300</v>
      </c>
    </row>
    <row r="309" customFormat="false" ht="15" hidden="false" customHeight="false" outlineLevel="0" collapsed="false">
      <c r="A309" s="22" t="n">
        <v>46142</v>
      </c>
      <c r="B309" s="19" t="s">
        <v>50</v>
      </c>
      <c r="C309" s="19" t="s">
        <v>12</v>
      </c>
      <c r="D309" s="19" t="s">
        <v>37</v>
      </c>
      <c r="E309" s="19" t="s">
        <v>66</v>
      </c>
      <c r="F309" s="20" t="n">
        <v>9875</v>
      </c>
      <c r="G309" s="20" t="n">
        <v>0</v>
      </c>
    </row>
    <row r="310" customFormat="false" ht="15" hidden="false" customHeight="false" outlineLevel="0" collapsed="false">
      <c r="A310" s="22" t="n">
        <v>46142</v>
      </c>
      <c r="B310" s="19" t="s">
        <v>50</v>
      </c>
      <c r="C310" s="19" t="s">
        <v>12</v>
      </c>
      <c r="D310" s="19" t="s">
        <v>29</v>
      </c>
      <c r="E310" s="19" t="s">
        <v>75</v>
      </c>
      <c r="F310" s="20" t="n">
        <v>3207</v>
      </c>
      <c r="G310" s="20" t="n">
        <v>0</v>
      </c>
    </row>
    <row r="311" customFormat="false" ht="15" hidden="false" customHeight="false" outlineLevel="0" collapsed="false">
      <c r="A311" s="22" t="n">
        <v>46142</v>
      </c>
      <c r="B311" s="19" t="s">
        <v>50</v>
      </c>
      <c r="C311" s="19" t="s">
        <v>11</v>
      </c>
      <c r="D311" s="19" t="s">
        <v>28</v>
      </c>
      <c r="E311" s="19" t="s">
        <v>69</v>
      </c>
      <c r="F311" s="20" t="n">
        <v>12260</v>
      </c>
      <c r="G311" s="20" t="n">
        <v>0</v>
      </c>
    </row>
    <row r="312" customFormat="false" ht="15" hidden="false" customHeight="false" outlineLevel="0" collapsed="false">
      <c r="A312" s="22" t="n">
        <v>46142</v>
      </c>
      <c r="B312" s="19" t="s">
        <v>50</v>
      </c>
      <c r="C312" s="19" t="s">
        <v>13</v>
      </c>
      <c r="D312" s="19" t="s">
        <v>43</v>
      </c>
      <c r="E312" s="19" t="s">
        <v>68</v>
      </c>
      <c r="F312" s="20" t="n">
        <v>2013</v>
      </c>
      <c r="G312" s="20" t="n">
        <v>0</v>
      </c>
    </row>
    <row r="313" customFormat="false" ht="15" hidden="false" customHeight="false" outlineLevel="0" collapsed="false">
      <c r="A313" s="22" t="n">
        <v>46143</v>
      </c>
      <c r="B313" s="19" t="s">
        <v>50</v>
      </c>
      <c r="C313" s="19" t="s">
        <v>11</v>
      </c>
      <c r="D313" s="19" t="s">
        <v>27</v>
      </c>
      <c r="E313" s="19" t="s">
        <v>63</v>
      </c>
      <c r="F313" s="20" t="n">
        <v>3712</v>
      </c>
      <c r="G313" s="20" t="n">
        <v>0</v>
      </c>
    </row>
    <row r="314" customFormat="false" ht="15" hidden="false" customHeight="false" outlineLevel="0" collapsed="false">
      <c r="A314" s="22" t="n">
        <v>46143</v>
      </c>
      <c r="B314" s="19" t="s">
        <v>50</v>
      </c>
      <c r="C314" s="19" t="s">
        <v>13</v>
      </c>
      <c r="D314" s="19" t="s">
        <v>44</v>
      </c>
      <c r="E314" s="19" t="s">
        <v>64</v>
      </c>
      <c r="F314" s="20" t="n">
        <v>584017</v>
      </c>
      <c r="G314" s="20" t="n">
        <v>3242798</v>
      </c>
    </row>
    <row r="315" customFormat="false" ht="15" hidden="false" customHeight="false" outlineLevel="0" collapsed="false">
      <c r="A315" s="22" t="n">
        <v>46143</v>
      </c>
      <c r="B315" s="19" t="s">
        <v>50</v>
      </c>
      <c r="C315" s="19" t="s">
        <v>15</v>
      </c>
      <c r="D315" s="19" t="s">
        <v>45</v>
      </c>
      <c r="E315" s="19" t="s">
        <v>67</v>
      </c>
      <c r="F315" s="20" t="n">
        <v>63254</v>
      </c>
      <c r="G315" s="20" t="n">
        <v>282900</v>
      </c>
    </row>
    <row r="316" customFormat="false" ht="15" hidden="false" customHeight="false" outlineLevel="0" collapsed="false">
      <c r="A316" s="22" t="n">
        <v>46143</v>
      </c>
      <c r="B316" s="19" t="s">
        <v>50</v>
      </c>
      <c r="C316" s="19" t="s">
        <v>11</v>
      </c>
      <c r="D316" s="19" t="s">
        <v>28</v>
      </c>
      <c r="E316" s="19" t="s">
        <v>69</v>
      </c>
      <c r="F316" s="20" t="n">
        <v>93935</v>
      </c>
      <c r="G316" s="20" t="n">
        <v>360225</v>
      </c>
    </row>
    <row r="317" customFormat="false" ht="15" hidden="false" customHeight="false" outlineLevel="0" collapsed="false">
      <c r="A317" s="22" t="n">
        <v>46143</v>
      </c>
      <c r="B317" s="19" t="s">
        <v>50</v>
      </c>
      <c r="C317" s="19" t="s">
        <v>12</v>
      </c>
      <c r="D317" s="19" t="s">
        <v>31</v>
      </c>
      <c r="E317" s="19" t="s">
        <v>65</v>
      </c>
      <c r="F317" s="20" t="n">
        <v>101762</v>
      </c>
      <c r="G317" s="20" t="n">
        <v>163639</v>
      </c>
    </row>
    <row r="318" customFormat="false" ht="15" hidden="false" customHeight="false" outlineLevel="0" collapsed="false">
      <c r="A318" s="22" t="n">
        <v>46143</v>
      </c>
      <c r="B318" s="19" t="s">
        <v>50</v>
      </c>
      <c r="C318" s="19" t="s">
        <v>12</v>
      </c>
      <c r="D318" s="19" t="s">
        <v>37</v>
      </c>
      <c r="E318" s="19" t="s">
        <v>66</v>
      </c>
      <c r="F318" s="20" t="n">
        <v>9234</v>
      </c>
      <c r="G318" s="20" t="n">
        <v>0</v>
      </c>
    </row>
    <row r="319" customFormat="false" ht="15" hidden="false" customHeight="false" outlineLevel="0" collapsed="false">
      <c r="A319" s="22" t="n">
        <v>46143</v>
      </c>
      <c r="B319" s="19" t="s">
        <v>50</v>
      </c>
      <c r="C319" s="19" t="s">
        <v>12</v>
      </c>
      <c r="D319" s="19" t="s">
        <v>29</v>
      </c>
      <c r="E319" s="19" t="s">
        <v>75</v>
      </c>
      <c r="F319" s="20" t="n">
        <v>4799</v>
      </c>
      <c r="G319" s="20" t="n">
        <v>0</v>
      </c>
    </row>
    <row r="320" customFormat="false" ht="15" hidden="false" customHeight="false" outlineLevel="0" collapsed="false">
      <c r="A320" s="22" t="n">
        <v>46143</v>
      </c>
      <c r="B320" s="19" t="s">
        <v>50</v>
      </c>
      <c r="C320" s="19" t="s">
        <v>13</v>
      </c>
      <c r="D320" s="19" t="s">
        <v>43</v>
      </c>
      <c r="E320" s="19" t="s">
        <v>68</v>
      </c>
      <c r="F320" s="20" t="n">
        <v>17383</v>
      </c>
      <c r="G320" s="20" t="n">
        <v>0</v>
      </c>
    </row>
    <row r="321" customFormat="false" ht="15" hidden="false" customHeight="false" outlineLevel="0" collapsed="false">
      <c r="A321" s="22" t="n">
        <v>46144</v>
      </c>
      <c r="B321" s="19" t="s">
        <v>50</v>
      </c>
      <c r="C321" s="19" t="s">
        <v>11</v>
      </c>
      <c r="D321" s="19" t="s">
        <v>27</v>
      </c>
      <c r="E321" s="19" t="s">
        <v>63</v>
      </c>
      <c r="F321" s="20" t="n">
        <v>11434</v>
      </c>
      <c r="G321" s="20" t="n">
        <v>0</v>
      </c>
    </row>
    <row r="322" customFormat="false" ht="15" hidden="false" customHeight="false" outlineLevel="0" collapsed="false">
      <c r="A322" s="22" t="n">
        <v>46144</v>
      </c>
      <c r="B322" s="19" t="s">
        <v>50</v>
      </c>
      <c r="C322" s="19" t="s">
        <v>13</v>
      </c>
      <c r="D322" s="19" t="s">
        <v>44</v>
      </c>
      <c r="E322" s="19" t="s">
        <v>64</v>
      </c>
      <c r="F322" s="20" t="n">
        <v>239588</v>
      </c>
      <c r="G322" s="20" t="n">
        <v>842916</v>
      </c>
    </row>
    <row r="323" customFormat="false" ht="15" hidden="false" customHeight="false" outlineLevel="0" collapsed="false">
      <c r="A323" s="22" t="n">
        <v>46144</v>
      </c>
      <c r="B323" s="19" t="s">
        <v>50</v>
      </c>
      <c r="C323" s="19" t="s">
        <v>12</v>
      </c>
      <c r="D323" s="19" t="s">
        <v>31</v>
      </c>
      <c r="E323" s="19" t="s">
        <v>65</v>
      </c>
      <c r="F323" s="20" t="n">
        <v>292860</v>
      </c>
      <c r="G323" s="20" t="n">
        <v>1411420</v>
      </c>
    </row>
    <row r="324" customFormat="false" ht="15" hidden="false" customHeight="false" outlineLevel="0" collapsed="false">
      <c r="A324" s="22" t="n">
        <v>46144</v>
      </c>
      <c r="B324" s="19" t="s">
        <v>50</v>
      </c>
      <c r="C324" s="19" t="s">
        <v>15</v>
      </c>
      <c r="D324" s="19" t="s">
        <v>45</v>
      </c>
      <c r="E324" s="19" t="s">
        <v>67</v>
      </c>
      <c r="F324" s="20" t="n">
        <v>44899</v>
      </c>
      <c r="G324" s="20" t="n">
        <v>94300</v>
      </c>
    </row>
    <row r="325" customFormat="false" ht="15" hidden="false" customHeight="false" outlineLevel="0" collapsed="false">
      <c r="A325" s="22" t="n">
        <v>46144</v>
      </c>
      <c r="B325" s="19" t="s">
        <v>50</v>
      </c>
      <c r="C325" s="19" t="s">
        <v>12</v>
      </c>
      <c r="D325" s="19" t="s">
        <v>37</v>
      </c>
      <c r="E325" s="19" t="s">
        <v>66</v>
      </c>
      <c r="F325" s="20" t="n">
        <v>12070</v>
      </c>
      <c r="G325" s="20" t="n">
        <v>0</v>
      </c>
    </row>
    <row r="326" customFormat="false" ht="15" hidden="false" customHeight="false" outlineLevel="0" collapsed="false">
      <c r="A326" s="22" t="n">
        <v>46144</v>
      </c>
      <c r="B326" s="19" t="s">
        <v>50</v>
      </c>
      <c r="C326" s="19" t="s">
        <v>11</v>
      </c>
      <c r="D326" s="19" t="s">
        <v>28</v>
      </c>
      <c r="E326" s="19" t="s">
        <v>69</v>
      </c>
      <c r="F326" s="20" t="n">
        <v>30555</v>
      </c>
      <c r="G326" s="20" t="n">
        <v>94300</v>
      </c>
    </row>
    <row r="327" customFormat="false" ht="15" hidden="false" customHeight="false" outlineLevel="0" collapsed="false">
      <c r="A327" s="22" t="n">
        <v>46144</v>
      </c>
      <c r="B327" s="19" t="s">
        <v>50</v>
      </c>
      <c r="C327" s="19" t="s">
        <v>13</v>
      </c>
      <c r="D327" s="19" t="s">
        <v>43</v>
      </c>
      <c r="E327" s="19" t="s">
        <v>68</v>
      </c>
      <c r="F327" s="20" t="n">
        <v>24947</v>
      </c>
      <c r="G327" s="20" t="n">
        <v>130950</v>
      </c>
    </row>
    <row r="328" customFormat="false" ht="15" hidden="false" customHeight="false" outlineLevel="0" collapsed="false">
      <c r="A328" s="22" t="n">
        <v>46144</v>
      </c>
      <c r="B328" s="19" t="s">
        <v>50</v>
      </c>
      <c r="C328" s="19" t="s">
        <v>12</v>
      </c>
      <c r="D328" s="19" t="s">
        <v>29</v>
      </c>
      <c r="E328" s="19" t="s">
        <v>75</v>
      </c>
      <c r="F328" s="20" t="n">
        <v>7776</v>
      </c>
      <c r="G328" s="20" t="n">
        <v>0</v>
      </c>
    </row>
    <row r="329" customFormat="false" ht="15" hidden="false" customHeight="false" outlineLevel="0" collapsed="false">
      <c r="A329" s="22" t="n">
        <v>46145</v>
      </c>
      <c r="B329" s="19" t="s">
        <v>50</v>
      </c>
      <c r="C329" s="19" t="s">
        <v>11</v>
      </c>
      <c r="D329" s="19" t="s">
        <v>27</v>
      </c>
      <c r="E329" s="19" t="s">
        <v>63</v>
      </c>
      <c r="F329" s="20" t="n">
        <v>7754</v>
      </c>
      <c r="G329" s="20" t="n">
        <v>39000</v>
      </c>
    </row>
    <row r="330" customFormat="false" ht="15" hidden="false" customHeight="false" outlineLevel="0" collapsed="false">
      <c r="A330" s="22" t="n">
        <v>46145</v>
      </c>
      <c r="B330" s="19" t="s">
        <v>50</v>
      </c>
      <c r="C330" s="19" t="s">
        <v>13</v>
      </c>
      <c r="D330" s="19" t="s">
        <v>44</v>
      </c>
      <c r="E330" s="19" t="s">
        <v>64</v>
      </c>
      <c r="F330" s="20" t="n">
        <v>278661</v>
      </c>
      <c r="G330" s="20" t="n">
        <v>1410412</v>
      </c>
    </row>
    <row r="331" customFormat="false" ht="15" hidden="false" customHeight="false" outlineLevel="0" collapsed="false">
      <c r="A331" s="22" t="n">
        <v>46145</v>
      </c>
      <c r="B331" s="19" t="s">
        <v>50</v>
      </c>
      <c r="C331" s="19" t="s">
        <v>12</v>
      </c>
      <c r="D331" s="19" t="s">
        <v>31</v>
      </c>
      <c r="E331" s="19" t="s">
        <v>65</v>
      </c>
      <c r="F331" s="20" t="n">
        <v>296190</v>
      </c>
      <c r="G331" s="20" t="n">
        <v>1990562</v>
      </c>
    </row>
    <row r="332" customFormat="false" ht="15" hidden="false" customHeight="false" outlineLevel="0" collapsed="false">
      <c r="A332" s="22" t="n">
        <v>46145</v>
      </c>
      <c r="B332" s="19" t="s">
        <v>50</v>
      </c>
      <c r="C332" s="19" t="s">
        <v>12</v>
      </c>
      <c r="D332" s="19" t="s">
        <v>37</v>
      </c>
      <c r="E332" s="19" t="s">
        <v>66</v>
      </c>
      <c r="F332" s="20" t="n">
        <v>38604</v>
      </c>
      <c r="G332" s="20" t="n">
        <v>297000</v>
      </c>
    </row>
    <row r="333" customFormat="false" ht="15" hidden="false" customHeight="false" outlineLevel="0" collapsed="false">
      <c r="A333" s="22" t="n">
        <v>46145</v>
      </c>
      <c r="B333" s="19" t="s">
        <v>50</v>
      </c>
      <c r="C333" s="19" t="s">
        <v>12</v>
      </c>
      <c r="D333" s="19" t="s">
        <v>29</v>
      </c>
      <c r="E333" s="19" t="s">
        <v>75</v>
      </c>
      <c r="F333" s="20" t="n">
        <v>7162</v>
      </c>
      <c r="G333" s="20" t="n">
        <v>0</v>
      </c>
    </row>
    <row r="334" customFormat="false" ht="15" hidden="false" customHeight="false" outlineLevel="0" collapsed="false">
      <c r="A334" s="22" t="n">
        <v>46145</v>
      </c>
      <c r="B334" s="19" t="s">
        <v>50</v>
      </c>
      <c r="C334" s="19" t="s">
        <v>11</v>
      </c>
      <c r="D334" s="19" t="s">
        <v>28</v>
      </c>
      <c r="E334" s="19" t="s">
        <v>69</v>
      </c>
      <c r="F334" s="20" t="n">
        <v>28521</v>
      </c>
      <c r="G334" s="20" t="n">
        <v>94300</v>
      </c>
    </row>
    <row r="335" customFormat="false" ht="15" hidden="false" customHeight="false" outlineLevel="0" collapsed="false">
      <c r="A335" s="22" t="n">
        <v>46145</v>
      </c>
      <c r="B335" s="19" t="s">
        <v>50</v>
      </c>
      <c r="C335" s="19" t="s">
        <v>15</v>
      </c>
      <c r="D335" s="19" t="s">
        <v>45</v>
      </c>
      <c r="E335" s="19" t="s">
        <v>67</v>
      </c>
      <c r="F335" s="20" t="n">
        <v>10752</v>
      </c>
      <c r="G335" s="20" t="n">
        <v>0</v>
      </c>
    </row>
    <row r="336" customFormat="false" ht="15" hidden="false" customHeight="false" outlineLevel="0" collapsed="false">
      <c r="A336" s="22" t="n">
        <v>46145</v>
      </c>
      <c r="B336" s="19" t="s">
        <v>50</v>
      </c>
      <c r="C336" s="19" t="s">
        <v>13</v>
      </c>
      <c r="D336" s="19" t="s">
        <v>43</v>
      </c>
      <c r="E336" s="19" t="s">
        <v>68</v>
      </c>
      <c r="F336" s="20" t="n">
        <v>3253</v>
      </c>
      <c r="G336" s="20" t="n">
        <v>0</v>
      </c>
    </row>
    <row r="337" customFormat="false" ht="15" hidden="false" customHeight="false" outlineLevel="0" collapsed="false">
      <c r="A337" s="22" t="n">
        <v>46146</v>
      </c>
      <c r="B337" s="19" t="s">
        <v>50</v>
      </c>
      <c r="C337" s="19" t="s">
        <v>11</v>
      </c>
      <c r="D337" s="19" t="s">
        <v>27</v>
      </c>
      <c r="E337" s="19" t="s">
        <v>63</v>
      </c>
      <c r="F337" s="20" t="n">
        <v>2310</v>
      </c>
      <c r="G337" s="20" t="n">
        <v>0</v>
      </c>
    </row>
    <row r="338" customFormat="false" ht="15" hidden="false" customHeight="false" outlineLevel="0" collapsed="false">
      <c r="A338" s="22" t="n">
        <v>46146</v>
      </c>
      <c r="B338" s="19" t="s">
        <v>50</v>
      </c>
      <c r="C338" s="19" t="s">
        <v>13</v>
      </c>
      <c r="D338" s="19" t="s">
        <v>44</v>
      </c>
      <c r="E338" s="19" t="s">
        <v>64</v>
      </c>
      <c r="F338" s="20" t="n">
        <v>332007</v>
      </c>
      <c r="G338" s="20" t="n">
        <v>2096542</v>
      </c>
    </row>
    <row r="339" customFormat="false" ht="15" hidden="false" customHeight="false" outlineLevel="0" collapsed="false">
      <c r="A339" s="22" t="n">
        <v>46146</v>
      </c>
      <c r="B339" s="19" t="s">
        <v>50</v>
      </c>
      <c r="C339" s="19" t="s">
        <v>12</v>
      </c>
      <c r="D339" s="19" t="s">
        <v>31</v>
      </c>
      <c r="E339" s="19" t="s">
        <v>65</v>
      </c>
      <c r="F339" s="20" t="n">
        <v>252687</v>
      </c>
      <c r="G339" s="20" t="n">
        <v>1152806</v>
      </c>
    </row>
    <row r="340" customFormat="false" ht="15" hidden="false" customHeight="false" outlineLevel="0" collapsed="false">
      <c r="A340" s="22" t="n">
        <v>46146</v>
      </c>
      <c r="B340" s="19" t="s">
        <v>50</v>
      </c>
      <c r="C340" s="19" t="s">
        <v>12</v>
      </c>
      <c r="D340" s="19" t="s">
        <v>37</v>
      </c>
      <c r="E340" s="19" t="s">
        <v>66</v>
      </c>
      <c r="F340" s="20" t="n">
        <v>70823</v>
      </c>
      <c r="G340" s="20" t="n">
        <v>328950</v>
      </c>
    </row>
    <row r="341" customFormat="false" ht="15" hidden="false" customHeight="false" outlineLevel="0" collapsed="false">
      <c r="A341" s="22" t="n">
        <v>46146</v>
      </c>
      <c r="B341" s="19" t="s">
        <v>50</v>
      </c>
      <c r="C341" s="19" t="s">
        <v>15</v>
      </c>
      <c r="D341" s="19" t="s">
        <v>45</v>
      </c>
      <c r="E341" s="19" t="s">
        <v>67</v>
      </c>
      <c r="F341" s="20" t="n">
        <v>7919</v>
      </c>
      <c r="G341" s="20" t="n">
        <v>0</v>
      </c>
    </row>
    <row r="342" customFormat="false" ht="15" hidden="false" customHeight="false" outlineLevel="0" collapsed="false">
      <c r="A342" s="22" t="n">
        <v>46146</v>
      </c>
      <c r="B342" s="19" t="s">
        <v>50</v>
      </c>
      <c r="C342" s="19" t="s">
        <v>11</v>
      </c>
      <c r="D342" s="19" t="s">
        <v>28</v>
      </c>
      <c r="E342" s="19" t="s">
        <v>69</v>
      </c>
      <c r="F342" s="20" t="n">
        <v>9062</v>
      </c>
      <c r="G342" s="20" t="n">
        <v>0</v>
      </c>
    </row>
    <row r="343" customFormat="false" ht="15" hidden="false" customHeight="false" outlineLevel="0" collapsed="false">
      <c r="A343" s="22" t="n">
        <v>46146</v>
      </c>
      <c r="B343" s="19" t="s">
        <v>50</v>
      </c>
      <c r="C343" s="19" t="s">
        <v>13</v>
      </c>
      <c r="D343" s="19" t="s">
        <v>43</v>
      </c>
      <c r="E343" s="19" t="s">
        <v>68</v>
      </c>
      <c r="F343" s="20" t="n">
        <v>40649</v>
      </c>
      <c r="G343" s="20" t="n">
        <v>370866</v>
      </c>
    </row>
    <row r="344" customFormat="false" ht="15" hidden="false" customHeight="false" outlineLevel="0" collapsed="false">
      <c r="A344" s="22" t="n">
        <v>46146</v>
      </c>
      <c r="B344" s="19" t="s">
        <v>50</v>
      </c>
      <c r="C344" s="19" t="s">
        <v>12</v>
      </c>
      <c r="D344" s="19" t="s">
        <v>29</v>
      </c>
      <c r="E344" s="19" t="s">
        <v>75</v>
      </c>
      <c r="F344" s="20" t="n">
        <v>18294</v>
      </c>
      <c r="G344" s="20" t="n">
        <v>0</v>
      </c>
    </row>
    <row r="345" customFormat="false" ht="15" hidden="false" customHeight="false" outlineLevel="0" collapsed="false">
      <c r="A345" s="22" t="n">
        <v>46147</v>
      </c>
      <c r="B345" s="19" t="s">
        <v>50</v>
      </c>
      <c r="C345" s="19" t="s">
        <v>11</v>
      </c>
      <c r="D345" s="19" t="s">
        <v>27</v>
      </c>
      <c r="E345" s="19" t="s">
        <v>63</v>
      </c>
      <c r="F345" s="20" t="n">
        <v>90365</v>
      </c>
      <c r="G345" s="20" t="n">
        <v>467359</v>
      </c>
    </row>
    <row r="346" customFormat="false" ht="15" hidden="false" customHeight="false" outlineLevel="0" collapsed="false">
      <c r="A346" s="22" t="n">
        <v>46147</v>
      </c>
      <c r="B346" s="19" t="s">
        <v>50</v>
      </c>
      <c r="C346" s="19" t="s">
        <v>13</v>
      </c>
      <c r="D346" s="19" t="s">
        <v>44</v>
      </c>
      <c r="E346" s="19" t="s">
        <v>64</v>
      </c>
      <c r="F346" s="20" t="n">
        <v>1100000</v>
      </c>
      <c r="G346" s="20" t="n">
        <v>7027049</v>
      </c>
    </row>
    <row r="347" customFormat="false" ht="15" hidden="false" customHeight="false" outlineLevel="0" collapsed="false">
      <c r="A347" s="22" t="n">
        <v>46147</v>
      </c>
      <c r="B347" s="19" t="s">
        <v>50</v>
      </c>
      <c r="C347" s="19" t="s">
        <v>12</v>
      </c>
      <c r="D347" s="19" t="s">
        <v>31</v>
      </c>
      <c r="E347" s="19" t="s">
        <v>65</v>
      </c>
      <c r="F347" s="20" t="n">
        <v>462779</v>
      </c>
      <c r="G347" s="20" t="n">
        <v>1925562</v>
      </c>
    </row>
    <row r="348" customFormat="false" ht="15" hidden="false" customHeight="false" outlineLevel="0" collapsed="false">
      <c r="A348" s="22" t="n">
        <v>46147</v>
      </c>
      <c r="B348" s="19" t="s">
        <v>50</v>
      </c>
      <c r="C348" s="19" t="s">
        <v>11</v>
      </c>
      <c r="D348" s="19" t="s">
        <v>28</v>
      </c>
      <c r="E348" s="19" t="s">
        <v>69</v>
      </c>
      <c r="F348" s="20" t="n">
        <v>187954</v>
      </c>
      <c r="G348" s="20" t="n">
        <v>656810</v>
      </c>
    </row>
    <row r="349" customFormat="false" ht="15" hidden="false" customHeight="false" outlineLevel="0" collapsed="false">
      <c r="A349" s="22" t="n">
        <v>46147</v>
      </c>
      <c r="B349" s="19" t="s">
        <v>50</v>
      </c>
      <c r="C349" s="19" t="s">
        <v>15</v>
      </c>
      <c r="D349" s="19" t="s">
        <v>45</v>
      </c>
      <c r="E349" s="19" t="s">
        <v>67</v>
      </c>
      <c r="F349" s="20" t="n">
        <v>28643</v>
      </c>
      <c r="G349" s="20" t="n">
        <v>88076</v>
      </c>
    </row>
    <row r="350" customFormat="false" ht="15" hidden="false" customHeight="false" outlineLevel="0" collapsed="false">
      <c r="A350" s="22" t="n">
        <v>46148</v>
      </c>
      <c r="B350" s="19" t="s">
        <v>50</v>
      </c>
      <c r="C350" s="19" t="s">
        <v>11</v>
      </c>
      <c r="D350" s="19" t="s">
        <v>27</v>
      </c>
      <c r="E350" s="19" t="s">
        <v>63</v>
      </c>
      <c r="F350" s="20" t="n">
        <v>19308</v>
      </c>
      <c r="G350" s="20" t="n">
        <v>78000</v>
      </c>
    </row>
    <row r="351" customFormat="false" ht="15" hidden="false" customHeight="false" outlineLevel="0" collapsed="false">
      <c r="A351" s="22" t="n">
        <v>46148</v>
      </c>
      <c r="B351" s="19" t="s">
        <v>50</v>
      </c>
      <c r="C351" s="19" t="s">
        <v>13</v>
      </c>
      <c r="D351" s="19" t="s">
        <v>44</v>
      </c>
      <c r="E351" s="19" t="s">
        <v>64</v>
      </c>
      <c r="F351" s="20" t="n">
        <v>388030</v>
      </c>
      <c r="G351" s="20" t="n">
        <v>1860932</v>
      </c>
    </row>
    <row r="352" customFormat="false" ht="15" hidden="false" customHeight="false" outlineLevel="0" collapsed="false">
      <c r="A352" s="22" t="n">
        <v>46148</v>
      </c>
      <c r="B352" s="19" t="s">
        <v>50</v>
      </c>
      <c r="C352" s="19" t="s">
        <v>15</v>
      </c>
      <c r="D352" s="19" t="s">
        <v>45</v>
      </c>
      <c r="E352" s="19" t="s">
        <v>67</v>
      </c>
      <c r="F352" s="20" t="n">
        <v>28369</v>
      </c>
      <c r="G352" s="20" t="n">
        <v>94300</v>
      </c>
    </row>
    <row r="353" customFormat="false" ht="15" hidden="false" customHeight="false" outlineLevel="0" collapsed="false">
      <c r="A353" s="22" t="n">
        <v>46148</v>
      </c>
      <c r="B353" s="19" t="s">
        <v>50</v>
      </c>
      <c r="C353" s="19" t="s">
        <v>12</v>
      </c>
      <c r="D353" s="19" t="s">
        <v>31</v>
      </c>
      <c r="E353" s="19" t="s">
        <v>65</v>
      </c>
      <c r="F353" s="20" t="n">
        <v>46069</v>
      </c>
      <c r="G353" s="20" t="n">
        <v>0</v>
      </c>
    </row>
    <row r="354" customFormat="false" ht="15" hidden="false" customHeight="false" outlineLevel="0" collapsed="false">
      <c r="A354" s="22" t="n">
        <v>46148</v>
      </c>
      <c r="B354" s="19" t="s">
        <v>50</v>
      </c>
      <c r="C354" s="19" t="s">
        <v>11</v>
      </c>
      <c r="D354" s="19" t="s">
        <v>28</v>
      </c>
      <c r="E354" s="19" t="s">
        <v>69</v>
      </c>
      <c r="F354" s="20" t="n">
        <v>13897</v>
      </c>
      <c r="G354" s="20" t="n">
        <v>0</v>
      </c>
    </row>
    <row r="355" customFormat="false" ht="15" hidden="false" customHeight="false" outlineLevel="0" collapsed="false">
      <c r="A355" s="22" t="n">
        <v>46149</v>
      </c>
      <c r="B355" s="19" t="s">
        <v>50</v>
      </c>
      <c r="C355" s="19" t="s">
        <v>11</v>
      </c>
      <c r="D355" s="19" t="s">
        <v>27</v>
      </c>
      <c r="E355" s="19" t="s">
        <v>63</v>
      </c>
      <c r="F355" s="20" t="n">
        <v>13269</v>
      </c>
      <c r="G355" s="20" t="n">
        <v>39000</v>
      </c>
    </row>
    <row r="356" customFormat="false" ht="15" hidden="false" customHeight="false" outlineLevel="0" collapsed="false">
      <c r="A356" s="22" t="n">
        <v>46149</v>
      </c>
      <c r="B356" s="19" t="s">
        <v>50</v>
      </c>
      <c r="C356" s="19" t="s">
        <v>13</v>
      </c>
      <c r="D356" s="19" t="s">
        <v>44</v>
      </c>
      <c r="E356" s="19" t="s">
        <v>64</v>
      </c>
      <c r="F356" s="20" t="n">
        <v>362776</v>
      </c>
      <c r="G356" s="20" t="n">
        <v>1714133</v>
      </c>
    </row>
    <row r="357" customFormat="false" ht="15" hidden="false" customHeight="false" outlineLevel="0" collapsed="false">
      <c r="A357" s="22" t="n">
        <v>46149</v>
      </c>
      <c r="B357" s="19" t="s">
        <v>50</v>
      </c>
      <c r="C357" s="19" t="s">
        <v>12</v>
      </c>
      <c r="D357" s="19" t="s">
        <v>31</v>
      </c>
      <c r="E357" s="19" t="s">
        <v>65</v>
      </c>
      <c r="F357" s="20" t="n">
        <v>295441</v>
      </c>
      <c r="G357" s="20" t="n">
        <v>1392382</v>
      </c>
    </row>
    <row r="358" customFormat="false" ht="15" hidden="false" customHeight="false" outlineLevel="0" collapsed="false">
      <c r="A358" s="22" t="n">
        <v>46149</v>
      </c>
      <c r="B358" s="19" t="s">
        <v>50</v>
      </c>
      <c r="C358" s="19" t="s">
        <v>11</v>
      </c>
      <c r="D358" s="19" t="s">
        <v>28</v>
      </c>
      <c r="E358" s="19" t="s">
        <v>69</v>
      </c>
      <c r="F358" s="20" t="n">
        <v>50216</v>
      </c>
      <c r="G358" s="20" t="n">
        <v>188600</v>
      </c>
    </row>
    <row r="359" customFormat="false" ht="15" hidden="false" customHeight="false" outlineLevel="0" collapsed="false">
      <c r="A359" s="22" t="n">
        <v>46149</v>
      </c>
      <c r="B359" s="19" t="s">
        <v>50</v>
      </c>
      <c r="C359" s="19" t="s">
        <v>15</v>
      </c>
      <c r="D359" s="19" t="s">
        <v>45</v>
      </c>
      <c r="E359" s="19" t="s">
        <v>67</v>
      </c>
      <c r="F359" s="20" t="n">
        <v>19179</v>
      </c>
      <c r="G359" s="20" t="n">
        <v>0</v>
      </c>
    </row>
    <row r="360" customFormat="false" ht="15" hidden="false" customHeight="false" outlineLevel="0" collapsed="false">
      <c r="A360" s="22" t="n">
        <v>46150</v>
      </c>
      <c r="B360" s="19" t="s">
        <v>50</v>
      </c>
      <c r="C360" s="19" t="s">
        <v>11</v>
      </c>
      <c r="D360" s="19" t="s">
        <v>27</v>
      </c>
      <c r="E360" s="19" t="s">
        <v>63</v>
      </c>
      <c r="F360" s="20" t="n">
        <v>3565</v>
      </c>
      <c r="G360" s="20" t="n">
        <v>0</v>
      </c>
    </row>
    <row r="361" customFormat="false" ht="15" hidden="false" customHeight="false" outlineLevel="0" collapsed="false">
      <c r="A361" s="22" t="n">
        <v>46150</v>
      </c>
      <c r="B361" s="19" t="s">
        <v>50</v>
      </c>
      <c r="C361" s="19" t="s">
        <v>13</v>
      </c>
      <c r="D361" s="19" t="s">
        <v>44</v>
      </c>
      <c r="E361" s="19" t="s">
        <v>64</v>
      </c>
      <c r="F361" s="20" t="n">
        <v>46106</v>
      </c>
      <c r="G361" s="20" t="n">
        <v>656527</v>
      </c>
    </row>
    <row r="362" customFormat="false" ht="15" hidden="false" customHeight="false" outlineLevel="0" collapsed="false">
      <c r="A362" s="22" t="n">
        <v>46150</v>
      </c>
      <c r="B362" s="19" t="s">
        <v>50</v>
      </c>
      <c r="C362" s="19" t="s">
        <v>12</v>
      </c>
      <c r="D362" s="19" t="s">
        <v>31</v>
      </c>
      <c r="E362" s="19" t="s">
        <v>65</v>
      </c>
      <c r="F362" s="20" t="n">
        <v>71498</v>
      </c>
      <c r="G362" s="20" t="n">
        <v>1830109</v>
      </c>
    </row>
    <row r="363" customFormat="false" ht="15" hidden="false" customHeight="false" outlineLevel="0" collapsed="false">
      <c r="A363" s="22" t="n">
        <v>46150</v>
      </c>
      <c r="B363" s="19" t="s">
        <v>50</v>
      </c>
      <c r="C363" s="19" t="s">
        <v>11</v>
      </c>
      <c r="D363" s="19" t="s">
        <v>28</v>
      </c>
      <c r="E363" s="19" t="s">
        <v>69</v>
      </c>
      <c r="F363" s="20" t="n">
        <v>3299</v>
      </c>
      <c r="G363" s="20" t="n">
        <v>188600</v>
      </c>
    </row>
    <row r="364" customFormat="false" ht="15" hidden="false" customHeight="false" outlineLevel="0" collapsed="false">
      <c r="A364" s="22" t="n">
        <v>46150</v>
      </c>
      <c r="B364" s="19" t="s">
        <v>50</v>
      </c>
      <c r="C364" s="19" t="s">
        <v>15</v>
      </c>
      <c r="D364" s="19" t="s">
        <v>45</v>
      </c>
      <c r="E364" s="19" t="s">
        <v>67</v>
      </c>
      <c r="F364" s="20" t="n">
        <v>1851</v>
      </c>
      <c r="G364" s="20" t="n">
        <v>0</v>
      </c>
    </row>
    <row r="365" customFormat="false" ht="15" hidden="false" customHeight="false" outlineLevel="0" collapsed="false">
      <c r="A365" s="22" t="n">
        <v>46151</v>
      </c>
      <c r="B365" s="19" t="s">
        <v>50</v>
      </c>
      <c r="C365" s="19" t="s">
        <v>11</v>
      </c>
      <c r="D365" s="19" t="s">
        <v>27</v>
      </c>
      <c r="E365" s="19" t="s">
        <v>63</v>
      </c>
      <c r="F365" s="20" t="n">
        <v>21537</v>
      </c>
      <c r="G365" s="20" t="n">
        <v>78000</v>
      </c>
    </row>
    <row r="366" customFormat="false" ht="15" hidden="false" customHeight="false" outlineLevel="0" collapsed="false">
      <c r="A366" s="22" t="n">
        <v>46152</v>
      </c>
      <c r="B366" s="19" t="s">
        <v>50</v>
      </c>
      <c r="C366" s="19" t="s">
        <v>11</v>
      </c>
      <c r="D366" s="19" t="s">
        <v>27</v>
      </c>
      <c r="E366" s="19" t="s">
        <v>63</v>
      </c>
      <c r="F366" s="20" t="n">
        <v>16487</v>
      </c>
      <c r="G366" s="20" t="n">
        <v>75075</v>
      </c>
    </row>
    <row r="367" customFormat="false" ht="15" hidden="false" customHeight="false" outlineLevel="0" collapsed="false">
      <c r="A367" s="22" t="n">
        <v>46153</v>
      </c>
      <c r="B367" s="19" t="s">
        <v>50</v>
      </c>
      <c r="C367" s="19" t="s">
        <v>11</v>
      </c>
      <c r="D367" s="19" t="s">
        <v>27</v>
      </c>
      <c r="E367" s="19" t="s">
        <v>63</v>
      </c>
      <c r="F367" s="20" t="n">
        <v>4914</v>
      </c>
      <c r="G367" s="20" t="n">
        <v>0</v>
      </c>
    </row>
    <row r="368" customFormat="false" ht="15" hidden="false" customHeight="false" outlineLevel="0" collapsed="false">
      <c r="A368" s="22" t="n">
        <v>46154</v>
      </c>
      <c r="B368" s="19" t="s">
        <v>50</v>
      </c>
      <c r="C368" s="19" t="s">
        <v>11</v>
      </c>
      <c r="D368" s="19" t="s">
        <v>27</v>
      </c>
      <c r="E368" s="19" t="s">
        <v>63</v>
      </c>
      <c r="F368" s="20" t="n">
        <v>11505</v>
      </c>
      <c r="G368" s="20" t="n">
        <v>39000</v>
      </c>
    </row>
    <row r="369" customFormat="false" ht="15" hidden="false" customHeight="false" outlineLevel="0" collapsed="false">
      <c r="A369" s="22" t="n">
        <v>46155</v>
      </c>
      <c r="B369" s="19" t="s">
        <v>50</v>
      </c>
      <c r="C369" s="19" t="s">
        <v>11</v>
      </c>
      <c r="D369" s="19" t="s">
        <v>27</v>
      </c>
      <c r="E369" s="19" t="s">
        <v>63</v>
      </c>
      <c r="F369" s="20" t="n">
        <v>29667</v>
      </c>
      <c r="G369" s="20" t="n">
        <v>39000</v>
      </c>
    </row>
    <row r="370" customFormat="false" ht="15" hidden="false" customHeight="false" outlineLevel="0" collapsed="false">
      <c r="A370" s="22" t="n">
        <v>46156</v>
      </c>
      <c r="B370" s="19" t="s">
        <v>50</v>
      </c>
      <c r="C370" s="19" t="s">
        <v>11</v>
      </c>
      <c r="D370" s="19" t="s">
        <v>27</v>
      </c>
      <c r="E370" s="19" t="s">
        <v>63</v>
      </c>
      <c r="F370" s="20" t="n">
        <v>8435</v>
      </c>
      <c r="G370" s="20" t="n">
        <v>39000</v>
      </c>
    </row>
    <row r="371" customFormat="false" ht="15" hidden="false" customHeight="false" outlineLevel="0" collapsed="false">
      <c r="A371" s="22" t="n">
        <v>46157</v>
      </c>
      <c r="B371" s="19" t="s">
        <v>50</v>
      </c>
      <c r="C371" s="19" t="s">
        <v>11</v>
      </c>
      <c r="D371" s="19" t="s">
        <v>27</v>
      </c>
      <c r="E371" s="19" t="s">
        <v>63</v>
      </c>
      <c r="F371" s="20" t="n">
        <v>5186</v>
      </c>
      <c r="G371" s="20" t="n">
        <v>0</v>
      </c>
    </row>
    <row r="372" customFormat="false" ht="15" hidden="false" customHeight="false" outlineLevel="0" collapsed="false">
      <c r="A372" s="22" t="n">
        <v>46157</v>
      </c>
      <c r="B372" s="19" t="s">
        <v>50</v>
      </c>
      <c r="C372" s="19" t="s">
        <v>13</v>
      </c>
      <c r="D372" s="19" t="s">
        <v>44</v>
      </c>
      <c r="E372" s="19" t="s">
        <v>64</v>
      </c>
      <c r="F372" s="20" t="n">
        <v>340318</v>
      </c>
      <c r="G372" s="20" t="n">
        <v>1724489</v>
      </c>
    </row>
    <row r="373" customFormat="false" ht="15" hidden="false" customHeight="false" outlineLevel="0" collapsed="false">
      <c r="A373" s="22" t="n">
        <v>46157</v>
      </c>
      <c r="B373" s="19" t="s">
        <v>50</v>
      </c>
      <c r="C373" s="19" t="s">
        <v>12</v>
      </c>
      <c r="D373" s="19" t="s">
        <v>31</v>
      </c>
      <c r="E373" s="19" t="s">
        <v>65</v>
      </c>
      <c r="F373" s="20" t="n">
        <v>225577</v>
      </c>
      <c r="G373" s="20" t="n">
        <v>614327</v>
      </c>
    </row>
    <row r="374" customFormat="false" ht="15" hidden="false" customHeight="false" outlineLevel="0" collapsed="false">
      <c r="A374" s="22" t="n">
        <v>46158</v>
      </c>
      <c r="B374" s="19" t="s">
        <v>50</v>
      </c>
      <c r="C374" s="19" t="s">
        <v>11</v>
      </c>
      <c r="D374" s="19" t="s">
        <v>27</v>
      </c>
      <c r="E374" s="19" t="s">
        <v>63</v>
      </c>
      <c r="F374" s="20" t="n">
        <v>18576</v>
      </c>
      <c r="G374" s="20" t="n">
        <v>72399</v>
      </c>
    </row>
    <row r="375" customFormat="false" ht="15" hidden="false" customHeight="false" outlineLevel="0" collapsed="false">
      <c r="A375" s="22" t="n">
        <v>46158</v>
      </c>
      <c r="B375" s="19" t="s">
        <v>50</v>
      </c>
      <c r="C375" s="19" t="s">
        <v>13</v>
      </c>
      <c r="D375" s="19" t="s">
        <v>44</v>
      </c>
      <c r="E375" s="19" t="s">
        <v>64</v>
      </c>
      <c r="F375" s="20" t="n">
        <v>298893</v>
      </c>
      <c r="G375" s="20" t="n">
        <v>1541430</v>
      </c>
    </row>
    <row r="376" customFormat="false" ht="15" hidden="false" customHeight="false" outlineLevel="0" collapsed="false">
      <c r="A376" s="22" t="n">
        <v>46158</v>
      </c>
      <c r="B376" s="19" t="s">
        <v>50</v>
      </c>
      <c r="C376" s="19" t="s">
        <v>12</v>
      </c>
      <c r="D376" s="19" t="s">
        <v>31</v>
      </c>
      <c r="E376" s="19" t="s">
        <v>65</v>
      </c>
      <c r="F376" s="20" t="n">
        <v>248744</v>
      </c>
      <c r="G376" s="20" t="n">
        <v>1401651</v>
      </c>
    </row>
    <row r="377" customFormat="false" ht="15" hidden="false" customHeight="false" outlineLevel="0" collapsed="false">
      <c r="A377" s="22" t="n">
        <v>46159</v>
      </c>
      <c r="B377" s="19" t="s">
        <v>50</v>
      </c>
      <c r="C377" s="19" t="s">
        <v>11</v>
      </c>
      <c r="D377" s="19" t="s">
        <v>27</v>
      </c>
      <c r="E377" s="19" t="s">
        <v>63</v>
      </c>
      <c r="F377" s="20" t="n">
        <v>1864</v>
      </c>
      <c r="G377" s="20" t="n">
        <v>0</v>
      </c>
    </row>
    <row r="378" customFormat="false" ht="15" hidden="false" customHeight="false" outlineLevel="0" collapsed="false">
      <c r="A378" s="22" t="n">
        <v>46159</v>
      </c>
      <c r="B378" s="19" t="s">
        <v>50</v>
      </c>
      <c r="C378" s="19" t="s">
        <v>13</v>
      </c>
      <c r="D378" s="19" t="s">
        <v>44</v>
      </c>
      <c r="E378" s="19" t="s">
        <v>64</v>
      </c>
      <c r="F378" s="20" t="n">
        <v>379236</v>
      </c>
      <c r="G378" s="20" t="n">
        <v>1813767</v>
      </c>
    </row>
    <row r="379" customFormat="false" ht="15" hidden="false" customHeight="false" outlineLevel="0" collapsed="false">
      <c r="A379" s="22" t="n">
        <v>46159</v>
      </c>
      <c r="B379" s="19" t="s">
        <v>50</v>
      </c>
      <c r="C379" s="19" t="s">
        <v>12</v>
      </c>
      <c r="D379" s="19" t="s">
        <v>31</v>
      </c>
      <c r="E379" s="19" t="s">
        <v>65</v>
      </c>
      <c r="F379" s="20" t="n">
        <v>300000</v>
      </c>
      <c r="G379" s="20" t="n">
        <v>1586528</v>
      </c>
    </row>
    <row r="380" customFormat="false" ht="15" hidden="false" customHeight="false" outlineLevel="0" collapsed="false">
      <c r="A380" s="22" t="n">
        <v>46160</v>
      </c>
      <c r="B380" s="19" t="s">
        <v>50</v>
      </c>
      <c r="C380" s="19" t="s">
        <v>11</v>
      </c>
      <c r="D380" s="19" t="s">
        <v>27</v>
      </c>
      <c r="E380" s="19" t="s">
        <v>63</v>
      </c>
      <c r="F380" s="20" t="n">
        <v>13497</v>
      </c>
      <c r="G380" s="20" t="n">
        <v>76596</v>
      </c>
    </row>
    <row r="381" customFormat="false" ht="15" hidden="false" customHeight="false" outlineLevel="0" collapsed="false">
      <c r="A381" s="22" t="n">
        <v>46160</v>
      </c>
      <c r="B381" s="19" t="s">
        <v>50</v>
      </c>
      <c r="C381" s="19" t="s">
        <v>13</v>
      </c>
      <c r="D381" s="19" t="s">
        <v>44</v>
      </c>
      <c r="E381" s="19" t="s">
        <v>64</v>
      </c>
      <c r="F381" s="20" t="n">
        <v>187161</v>
      </c>
      <c r="G381" s="20" t="n">
        <v>951072</v>
      </c>
    </row>
    <row r="382" customFormat="false" ht="15" hidden="false" customHeight="false" outlineLevel="0" collapsed="false">
      <c r="A382" s="22" t="n">
        <v>46160</v>
      </c>
      <c r="B382" s="19" t="s">
        <v>50</v>
      </c>
      <c r="C382" s="19" t="s">
        <v>12</v>
      </c>
      <c r="D382" s="19" t="s">
        <v>31</v>
      </c>
      <c r="E382" s="19" t="s">
        <v>65</v>
      </c>
      <c r="F382" s="20" t="n">
        <v>107587</v>
      </c>
      <c r="G382" s="20" t="n">
        <v>520000</v>
      </c>
    </row>
    <row r="383" customFormat="false" ht="15" hidden="false" customHeight="false" outlineLevel="0" collapsed="false">
      <c r="A383" s="22" t="n">
        <v>46161</v>
      </c>
      <c r="B383" s="19" t="s">
        <v>50</v>
      </c>
      <c r="C383" s="19" t="s">
        <v>11</v>
      </c>
      <c r="D383" s="19" t="s">
        <v>27</v>
      </c>
      <c r="E383" s="19" t="s">
        <v>63</v>
      </c>
      <c r="F383" s="20" t="n">
        <v>9048</v>
      </c>
      <c r="G383" s="20" t="n">
        <v>37427</v>
      </c>
    </row>
    <row r="384" customFormat="false" ht="15" hidden="false" customHeight="false" outlineLevel="0" collapsed="false">
      <c r="A384" s="22" t="n">
        <v>46161</v>
      </c>
      <c r="B384" s="19" t="s">
        <v>50</v>
      </c>
      <c r="C384" s="19" t="s">
        <v>13</v>
      </c>
      <c r="D384" s="19" t="s">
        <v>44</v>
      </c>
      <c r="E384" s="19" t="s">
        <v>64</v>
      </c>
      <c r="F384" s="20" t="n">
        <v>303972</v>
      </c>
      <c r="G384" s="20" t="n">
        <v>1710453</v>
      </c>
    </row>
    <row r="385" customFormat="false" ht="15" hidden="false" customHeight="false" outlineLevel="0" collapsed="false">
      <c r="A385" s="22" t="n">
        <v>46161</v>
      </c>
      <c r="B385" s="19" t="s">
        <v>50</v>
      </c>
      <c r="C385" s="19" t="s">
        <v>12</v>
      </c>
      <c r="D385" s="19" t="s">
        <v>31</v>
      </c>
      <c r="E385" s="19" t="s">
        <v>65</v>
      </c>
      <c r="F385" s="20" t="n">
        <v>224616</v>
      </c>
      <c r="G385" s="20" t="n">
        <v>1090907</v>
      </c>
    </row>
    <row r="386" customFormat="false" ht="15" hidden="false" customHeight="false" outlineLevel="0" collapsed="false">
      <c r="A386" s="22" t="n">
        <v>46162</v>
      </c>
      <c r="B386" s="19" t="s">
        <v>50</v>
      </c>
      <c r="C386" s="19" t="s">
        <v>11</v>
      </c>
      <c r="D386" s="19" t="s">
        <v>27</v>
      </c>
      <c r="E386" s="19" t="s">
        <v>63</v>
      </c>
      <c r="F386" s="20" t="n">
        <v>35946</v>
      </c>
      <c r="G386" s="20" t="n">
        <v>191100</v>
      </c>
    </row>
    <row r="387" customFormat="false" ht="15" hidden="false" customHeight="false" outlineLevel="0" collapsed="false">
      <c r="A387" s="22" t="n">
        <v>46162</v>
      </c>
      <c r="B387" s="19" t="s">
        <v>50</v>
      </c>
      <c r="C387" s="19" t="s">
        <v>13</v>
      </c>
      <c r="D387" s="19" t="s">
        <v>44</v>
      </c>
      <c r="E387" s="19" t="s">
        <v>64</v>
      </c>
      <c r="F387" s="20" t="n">
        <v>400000</v>
      </c>
      <c r="G387" s="20" t="n">
        <v>2966875</v>
      </c>
    </row>
    <row r="388" customFormat="false" ht="15" hidden="false" customHeight="false" outlineLevel="0" collapsed="false">
      <c r="A388" s="22" t="n">
        <v>46162</v>
      </c>
      <c r="B388" s="19" t="s">
        <v>50</v>
      </c>
      <c r="C388" s="19" t="s">
        <v>12</v>
      </c>
      <c r="D388" s="19" t="s">
        <v>31</v>
      </c>
      <c r="E388" s="19" t="s">
        <v>65</v>
      </c>
      <c r="F388" s="20" t="n">
        <v>183798</v>
      </c>
      <c r="G388" s="20" t="n">
        <v>744350</v>
      </c>
    </row>
    <row r="389" customFormat="false" ht="15" hidden="false" customHeight="false" outlineLevel="0" collapsed="false">
      <c r="A389" s="22" t="n">
        <v>46163</v>
      </c>
      <c r="B389" s="19" t="s">
        <v>50</v>
      </c>
      <c r="C389" s="19" t="s">
        <v>11</v>
      </c>
      <c r="D389" s="19" t="s">
        <v>27</v>
      </c>
      <c r="E389" s="19" t="s">
        <v>63</v>
      </c>
      <c r="F389" s="20" t="n">
        <v>24831</v>
      </c>
      <c r="G389" s="20" t="n">
        <v>157363</v>
      </c>
    </row>
    <row r="390" customFormat="false" ht="15" hidden="false" customHeight="false" outlineLevel="0" collapsed="false">
      <c r="A390" s="22" t="n">
        <v>46163</v>
      </c>
      <c r="B390" s="19" t="s">
        <v>50</v>
      </c>
      <c r="C390" s="19" t="s">
        <v>13</v>
      </c>
      <c r="D390" s="19" t="s">
        <v>44</v>
      </c>
      <c r="E390" s="19" t="s">
        <v>64</v>
      </c>
      <c r="F390" s="20" t="n">
        <v>345429</v>
      </c>
      <c r="G390" s="20" t="n">
        <v>1759340</v>
      </c>
    </row>
    <row r="391" customFormat="false" ht="15" hidden="false" customHeight="false" outlineLevel="0" collapsed="false">
      <c r="A391" s="22" t="n">
        <v>46163</v>
      </c>
      <c r="B391" s="19" t="s">
        <v>50</v>
      </c>
      <c r="C391" s="19" t="s">
        <v>12</v>
      </c>
      <c r="D391" s="19" t="s">
        <v>31</v>
      </c>
      <c r="E391" s="19" t="s">
        <v>65</v>
      </c>
      <c r="F391" s="20" t="n">
        <v>500000</v>
      </c>
      <c r="G391" s="20" t="n">
        <v>2767301</v>
      </c>
    </row>
    <row r="392" customFormat="false" ht="15" hidden="false" customHeight="false" outlineLevel="0" collapsed="false">
      <c r="A392" s="22" t="n">
        <v>46164</v>
      </c>
      <c r="B392" s="19" t="s">
        <v>50</v>
      </c>
      <c r="C392" s="19" t="s">
        <v>11</v>
      </c>
      <c r="D392" s="19" t="s">
        <v>27</v>
      </c>
      <c r="E392" s="19" t="s">
        <v>63</v>
      </c>
      <c r="F392" s="20" t="n">
        <v>7910</v>
      </c>
      <c r="G392" s="20" t="n">
        <v>39000</v>
      </c>
    </row>
    <row r="393" customFormat="false" ht="15" hidden="false" customHeight="false" outlineLevel="0" collapsed="false">
      <c r="A393" s="22" t="n">
        <v>46164</v>
      </c>
      <c r="B393" s="19" t="s">
        <v>50</v>
      </c>
      <c r="C393" s="19" t="s">
        <v>13</v>
      </c>
      <c r="D393" s="19" t="s">
        <v>44</v>
      </c>
      <c r="E393" s="19" t="s">
        <v>64</v>
      </c>
      <c r="F393" s="20" t="n">
        <v>400000</v>
      </c>
      <c r="G393" s="20" t="n">
        <v>2468215</v>
      </c>
    </row>
    <row r="394" customFormat="false" ht="15" hidden="false" customHeight="false" outlineLevel="0" collapsed="false">
      <c r="A394" s="22" t="n">
        <v>46164</v>
      </c>
      <c r="B394" s="19" t="s">
        <v>50</v>
      </c>
      <c r="C394" s="19" t="s">
        <v>12</v>
      </c>
      <c r="D394" s="19" t="s">
        <v>31</v>
      </c>
      <c r="E394" s="19" t="s">
        <v>65</v>
      </c>
      <c r="F394" s="20" t="n">
        <v>246021</v>
      </c>
      <c r="G394" s="20" t="n">
        <v>823434</v>
      </c>
    </row>
    <row r="395" customFormat="false" ht="15" hidden="false" customHeight="false" outlineLevel="0" collapsed="false">
      <c r="A395" s="22" t="n">
        <v>46165</v>
      </c>
      <c r="B395" s="19" t="s">
        <v>50</v>
      </c>
      <c r="C395" s="19" t="s">
        <v>11</v>
      </c>
      <c r="D395" s="19" t="s">
        <v>27</v>
      </c>
      <c r="E395" s="19" t="s">
        <v>63</v>
      </c>
      <c r="F395" s="20" t="n">
        <v>684</v>
      </c>
      <c r="G395" s="20" t="n">
        <v>0</v>
      </c>
    </row>
    <row r="396" customFormat="false" ht="15" hidden="false" customHeight="false" outlineLevel="0" collapsed="false">
      <c r="A396" s="22" t="n">
        <v>46165</v>
      </c>
      <c r="B396" s="19" t="s">
        <v>50</v>
      </c>
      <c r="C396" s="19" t="s">
        <v>13</v>
      </c>
      <c r="D396" s="19" t="s">
        <v>44</v>
      </c>
      <c r="E396" s="19" t="s">
        <v>64</v>
      </c>
      <c r="F396" s="20" t="n">
        <v>325037</v>
      </c>
      <c r="G396" s="20" t="n">
        <v>1629083</v>
      </c>
    </row>
    <row r="397" customFormat="false" ht="15" hidden="false" customHeight="false" outlineLevel="0" collapsed="false">
      <c r="A397" s="22" t="n">
        <v>46165</v>
      </c>
      <c r="B397" s="19" t="s">
        <v>50</v>
      </c>
      <c r="C397" s="19" t="s">
        <v>12</v>
      </c>
      <c r="D397" s="19" t="s">
        <v>31</v>
      </c>
      <c r="E397" s="19" t="s">
        <v>65</v>
      </c>
      <c r="F397" s="20" t="n">
        <v>132890</v>
      </c>
      <c r="G397" s="20" t="n">
        <v>656237</v>
      </c>
    </row>
    <row r="398" customFormat="false" ht="15" hidden="false" customHeight="false" outlineLevel="0" collapsed="false">
      <c r="A398" s="22" t="n">
        <v>46166</v>
      </c>
      <c r="B398" s="19" t="s">
        <v>50</v>
      </c>
      <c r="C398" s="19" t="s">
        <v>11</v>
      </c>
      <c r="D398" s="19" t="s">
        <v>27</v>
      </c>
      <c r="E398" s="19" t="s">
        <v>63</v>
      </c>
      <c r="F398" s="20" t="n">
        <v>10652</v>
      </c>
      <c r="G398" s="20" t="n">
        <v>0</v>
      </c>
    </row>
    <row r="399" customFormat="false" ht="15" hidden="false" customHeight="false" outlineLevel="0" collapsed="false">
      <c r="A399" s="22" t="n">
        <v>46166</v>
      </c>
      <c r="B399" s="19" t="s">
        <v>50</v>
      </c>
      <c r="C399" s="19" t="s">
        <v>13</v>
      </c>
      <c r="D399" s="19" t="s">
        <v>44</v>
      </c>
      <c r="E399" s="19" t="s">
        <v>64</v>
      </c>
      <c r="F399" s="20" t="n">
        <v>295337</v>
      </c>
      <c r="G399" s="20" t="n">
        <v>2079123</v>
      </c>
    </row>
    <row r="400" customFormat="false" ht="15" hidden="false" customHeight="false" outlineLevel="0" collapsed="false">
      <c r="A400" s="22" t="n">
        <v>46166</v>
      </c>
      <c r="B400" s="19" t="s">
        <v>50</v>
      </c>
      <c r="C400" s="19" t="s">
        <v>12</v>
      </c>
      <c r="D400" s="19" t="s">
        <v>31</v>
      </c>
      <c r="E400" s="19" t="s">
        <v>65</v>
      </c>
      <c r="F400" s="20" t="n">
        <v>79978</v>
      </c>
      <c r="G400" s="20" t="n">
        <v>481896</v>
      </c>
    </row>
    <row r="401" customFormat="false" ht="15" hidden="false" customHeight="false" outlineLevel="0" collapsed="false">
      <c r="A401" s="22" t="n">
        <v>46167</v>
      </c>
      <c r="B401" s="19" t="s">
        <v>50</v>
      </c>
      <c r="C401" s="19" t="s">
        <v>11</v>
      </c>
      <c r="D401" s="19" t="s">
        <v>27</v>
      </c>
      <c r="E401" s="19" t="s">
        <v>63</v>
      </c>
      <c r="F401" s="20" t="n">
        <v>47189</v>
      </c>
      <c r="G401" s="20" t="n">
        <v>233586</v>
      </c>
    </row>
    <row r="402" customFormat="false" ht="15" hidden="false" customHeight="false" outlineLevel="0" collapsed="false">
      <c r="A402" s="22" t="n">
        <v>46167</v>
      </c>
      <c r="B402" s="19" t="s">
        <v>50</v>
      </c>
      <c r="C402" s="19" t="s">
        <v>13</v>
      </c>
      <c r="D402" s="19" t="s">
        <v>44</v>
      </c>
      <c r="E402" s="19" t="s">
        <v>64</v>
      </c>
      <c r="F402" s="20" t="n">
        <v>282543</v>
      </c>
      <c r="G402" s="20" t="n">
        <v>1239741</v>
      </c>
    </row>
    <row r="403" customFormat="false" ht="15" hidden="false" customHeight="false" outlineLevel="0" collapsed="false">
      <c r="A403" s="22" t="n">
        <v>46167</v>
      </c>
      <c r="B403" s="19" t="s">
        <v>50</v>
      </c>
      <c r="C403" s="19" t="s">
        <v>12</v>
      </c>
      <c r="D403" s="19" t="s">
        <v>31</v>
      </c>
      <c r="E403" s="19" t="s">
        <v>65</v>
      </c>
      <c r="F403" s="20" t="n">
        <v>269327</v>
      </c>
      <c r="G403" s="20" t="n">
        <v>1315971</v>
      </c>
    </row>
    <row r="404" customFormat="false" ht="15" hidden="false" customHeight="false" outlineLevel="0" collapsed="false">
      <c r="A404" s="22" t="n">
        <v>46168</v>
      </c>
      <c r="B404" s="19" t="s">
        <v>50</v>
      </c>
      <c r="C404" s="19" t="s">
        <v>11</v>
      </c>
      <c r="D404" s="19" t="s">
        <v>27</v>
      </c>
      <c r="E404" s="19" t="s">
        <v>63</v>
      </c>
      <c r="F404" s="20" t="n">
        <v>4049</v>
      </c>
      <c r="G404" s="20" t="n">
        <v>0</v>
      </c>
    </row>
    <row r="405" customFormat="false" ht="15" hidden="false" customHeight="false" outlineLevel="0" collapsed="false">
      <c r="A405" s="22" t="n">
        <v>46168</v>
      </c>
      <c r="B405" s="19" t="s">
        <v>50</v>
      </c>
      <c r="C405" s="19" t="s">
        <v>13</v>
      </c>
      <c r="D405" s="19" t="s">
        <v>44</v>
      </c>
      <c r="E405" s="19" t="s">
        <v>64</v>
      </c>
      <c r="F405" s="20" t="n">
        <v>268206</v>
      </c>
      <c r="G405" s="20" t="n">
        <v>823249</v>
      </c>
    </row>
    <row r="406" customFormat="false" ht="15" hidden="false" customHeight="false" outlineLevel="0" collapsed="false">
      <c r="A406" s="22" t="n">
        <v>46168</v>
      </c>
      <c r="B406" s="19" t="s">
        <v>50</v>
      </c>
      <c r="C406" s="19" t="s">
        <v>12</v>
      </c>
      <c r="D406" s="19" t="s">
        <v>31</v>
      </c>
      <c r="E406" s="19" t="s">
        <v>65</v>
      </c>
      <c r="F406" s="20" t="n">
        <v>126397</v>
      </c>
      <c r="G406" s="20" t="n">
        <v>0</v>
      </c>
    </row>
    <row r="407" customFormat="false" ht="15" hidden="false" customHeight="false" outlineLevel="0" collapsed="false">
      <c r="A407" s="22" t="n">
        <v>46169</v>
      </c>
      <c r="B407" s="19" t="s">
        <v>50</v>
      </c>
      <c r="C407" s="19" t="s">
        <v>11</v>
      </c>
      <c r="D407" s="19" t="s">
        <v>27</v>
      </c>
      <c r="E407" s="19" t="s">
        <v>63</v>
      </c>
      <c r="F407" s="20" t="n">
        <v>21181</v>
      </c>
      <c r="G407" s="20" t="n">
        <v>101119</v>
      </c>
    </row>
    <row r="408" customFormat="false" ht="15" hidden="false" customHeight="false" outlineLevel="0" collapsed="false">
      <c r="A408" s="22" t="n">
        <v>46169</v>
      </c>
      <c r="B408" s="19" t="s">
        <v>50</v>
      </c>
      <c r="C408" s="19" t="s">
        <v>13</v>
      </c>
      <c r="D408" s="19" t="s">
        <v>44</v>
      </c>
      <c r="E408" s="19" t="s">
        <v>64</v>
      </c>
      <c r="F408" s="20" t="n">
        <v>290840</v>
      </c>
      <c r="G408" s="20" t="n">
        <v>1389520</v>
      </c>
    </row>
    <row r="409" customFormat="false" ht="15" hidden="false" customHeight="false" outlineLevel="0" collapsed="false">
      <c r="A409" s="22" t="n">
        <v>46169</v>
      </c>
      <c r="B409" s="19" t="s">
        <v>50</v>
      </c>
      <c r="C409" s="19" t="s">
        <v>12</v>
      </c>
      <c r="D409" s="19" t="s">
        <v>31</v>
      </c>
      <c r="E409" s="19" t="s">
        <v>65</v>
      </c>
      <c r="F409" s="20" t="n">
        <v>700000</v>
      </c>
      <c r="G409" s="20" t="n">
        <v>3471170</v>
      </c>
    </row>
    <row r="410" customFormat="false" ht="15" hidden="false" customHeight="false" outlineLevel="0" collapsed="false">
      <c r="A410" s="22" t="n">
        <v>46170</v>
      </c>
      <c r="B410" s="19" t="s">
        <v>50</v>
      </c>
      <c r="C410" s="19" t="s">
        <v>11</v>
      </c>
      <c r="D410" s="19" t="s">
        <v>27</v>
      </c>
      <c r="E410" s="19" t="s">
        <v>63</v>
      </c>
      <c r="F410" s="20" t="n">
        <v>1075</v>
      </c>
      <c r="G410" s="20" t="n">
        <v>0</v>
      </c>
    </row>
    <row r="411" customFormat="false" ht="15" hidden="false" customHeight="false" outlineLevel="0" collapsed="false">
      <c r="A411" s="22" t="n">
        <v>46170</v>
      </c>
      <c r="B411" s="19" t="s">
        <v>50</v>
      </c>
      <c r="C411" s="19" t="s">
        <v>13</v>
      </c>
      <c r="D411" s="19" t="s">
        <v>44</v>
      </c>
      <c r="E411" s="19" t="s">
        <v>64</v>
      </c>
      <c r="F411" s="20" t="n">
        <v>400000</v>
      </c>
      <c r="G411" s="20" t="n">
        <v>2785490</v>
      </c>
    </row>
    <row r="412" customFormat="false" ht="15" hidden="false" customHeight="false" outlineLevel="0" collapsed="false">
      <c r="A412" s="22" t="n">
        <v>46170</v>
      </c>
      <c r="B412" s="19" t="s">
        <v>50</v>
      </c>
      <c r="C412" s="19" t="s">
        <v>12</v>
      </c>
      <c r="D412" s="19" t="s">
        <v>31</v>
      </c>
      <c r="E412" s="19" t="s">
        <v>65</v>
      </c>
      <c r="F412" s="20" t="n">
        <v>509075</v>
      </c>
      <c r="G412" s="20" t="n">
        <v>2151284</v>
      </c>
    </row>
    <row r="413" customFormat="false" ht="15" hidden="false" customHeight="false" outlineLevel="0" collapsed="false">
      <c r="A413" s="22" t="n">
        <v>46171</v>
      </c>
      <c r="B413" s="19" t="s">
        <v>50</v>
      </c>
      <c r="C413" s="19" t="s">
        <v>11</v>
      </c>
      <c r="D413" s="19" t="s">
        <v>27</v>
      </c>
      <c r="E413" s="19" t="s">
        <v>63</v>
      </c>
      <c r="F413" s="20" t="n">
        <v>3069</v>
      </c>
      <c r="G413" s="20" t="n">
        <v>0</v>
      </c>
    </row>
    <row r="414" customFormat="false" ht="15" hidden="false" customHeight="false" outlineLevel="0" collapsed="false">
      <c r="A414" s="22" t="n">
        <v>46171</v>
      </c>
      <c r="B414" s="19" t="s">
        <v>50</v>
      </c>
      <c r="C414" s="19" t="s">
        <v>12</v>
      </c>
      <c r="D414" s="19" t="s">
        <v>31</v>
      </c>
      <c r="E414" s="19" t="s">
        <v>65</v>
      </c>
      <c r="F414" s="20" t="n">
        <v>628556</v>
      </c>
      <c r="G414" s="20" t="n">
        <v>2989386</v>
      </c>
    </row>
    <row r="415" customFormat="false" ht="15" hidden="false" customHeight="false" outlineLevel="0" collapsed="false">
      <c r="A415" s="22" t="n">
        <v>46171</v>
      </c>
      <c r="B415" s="19" t="s">
        <v>50</v>
      </c>
      <c r="C415" s="19" t="s">
        <v>13</v>
      </c>
      <c r="D415" s="19" t="s">
        <v>44</v>
      </c>
      <c r="E415" s="19" t="s">
        <v>64</v>
      </c>
      <c r="F415" s="20" t="n">
        <v>297051</v>
      </c>
      <c r="G415" s="20" t="n">
        <v>1531945</v>
      </c>
    </row>
    <row r="416" customFormat="false" ht="15" hidden="false" customHeight="false" outlineLevel="0" collapsed="false">
      <c r="A416" s="22" t="n">
        <v>46172</v>
      </c>
      <c r="B416" s="19" t="s">
        <v>50</v>
      </c>
      <c r="C416" s="19" t="s">
        <v>11</v>
      </c>
      <c r="D416" s="19" t="s">
        <v>27</v>
      </c>
      <c r="E416" s="19" t="s">
        <v>63</v>
      </c>
      <c r="F416" s="20" t="n">
        <v>14264</v>
      </c>
      <c r="G416" s="20" t="n">
        <v>78000</v>
      </c>
    </row>
    <row r="417" customFormat="false" ht="15" hidden="false" customHeight="false" outlineLevel="0" collapsed="false">
      <c r="A417" s="22" t="n">
        <v>46172</v>
      </c>
      <c r="B417" s="19" t="s">
        <v>50</v>
      </c>
      <c r="C417" s="19" t="s">
        <v>12</v>
      </c>
      <c r="D417" s="19" t="s">
        <v>31</v>
      </c>
      <c r="E417" s="19" t="s">
        <v>65</v>
      </c>
      <c r="F417" s="20" t="n">
        <v>700000</v>
      </c>
      <c r="G417" s="20" t="n">
        <v>3436119</v>
      </c>
    </row>
    <row r="418" customFormat="false" ht="15" hidden="false" customHeight="false" outlineLevel="0" collapsed="false">
      <c r="A418" s="22" t="n">
        <v>46172</v>
      </c>
      <c r="B418" s="19" t="s">
        <v>50</v>
      </c>
      <c r="C418" s="19" t="s">
        <v>13</v>
      </c>
      <c r="D418" s="19" t="s">
        <v>44</v>
      </c>
      <c r="E418" s="19" t="s">
        <v>64</v>
      </c>
      <c r="F418" s="20" t="n">
        <v>183045</v>
      </c>
      <c r="G418" s="20" t="n">
        <v>1019630</v>
      </c>
    </row>
    <row r="419" customFormat="false" ht="15" hidden="false" customHeight="false" outlineLevel="0" collapsed="false">
      <c r="A419" s="22" t="n">
        <v>46173</v>
      </c>
      <c r="B419" s="19" t="s">
        <v>50</v>
      </c>
      <c r="C419" s="19" t="s">
        <v>11</v>
      </c>
      <c r="D419" s="19" t="s">
        <v>27</v>
      </c>
      <c r="E419" s="19" t="s">
        <v>63</v>
      </c>
      <c r="F419" s="20" t="n">
        <v>5495</v>
      </c>
      <c r="G419" s="20" t="n">
        <v>0</v>
      </c>
    </row>
    <row r="420" customFormat="false" ht="15" hidden="false" customHeight="false" outlineLevel="0" collapsed="false">
      <c r="A420" s="22" t="n">
        <v>46173</v>
      </c>
      <c r="B420" s="19" t="s">
        <v>50</v>
      </c>
      <c r="C420" s="19" t="s">
        <v>13</v>
      </c>
      <c r="D420" s="19" t="s">
        <v>44</v>
      </c>
      <c r="E420" s="19" t="s">
        <v>64</v>
      </c>
      <c r="F420" s="20" t="n">
        <v>169959</v>
      </c>
      <c r="G420" s="20" t="n">
        <v>655152</v>
      </c>
    </row>
    <row r="421" customFormat="false" ht="15" hidden="false" customHeight="false" outlineLevel="0" collapsed="false">
      <c r="A421" s="22" t="n">
        <v>46173</v>
      </c>
      <c r="B421" s="19" t="s">
        <v>50</v>
      </c>
      <c r="C421" s="19" t="s">
        <v>12</v>
      </c>
      <c r="D421" s="19" t="s">
        <v>31</v>
      </c>
      <c r="E421" s="19" t="s">
        <v>65</v>
      </c>
      <c r="F421" s="20" t="n">
        <v>202836</v>
      </c>
      <c r="G421" s="20" t="n">
        <v>272810</v>
      </c>
    </row>
    <row r="422" customFormat="false" ht="15" hidden="false" customHeight="false" outlineLevel="0" collapsed="false">
      <c r="A422" s="22" t="n">
        <v>46174</v>
      </c>
      <c r="B422" s="19" t="s">
        <v>50</v>
      </c>
      <c r="C422" s="19" t="s">
        <v>11</v>
      </c>
      <c r="D422" s="19" t="s">
        <v>27</v>
      </c>
      <c r="E422" s="19" t="s">
        <v>63</v>
      </c>
      <c r="F422" s="20" t="n">
        <v>44817</v>
      </c>
      <c r="G422" s="20" t="n">
        <v>230880</v>
      </c>
    </row>
    <row r="423" customFormat="false" ht="15" hidden="false" customHeight="false" outlineLevel="0" collapsed="false">
      <c r="A423" s="22" t="n">
        <v>46174</v>
      </c>
      <c r="B423" s="19" t="s">
        <v>50</v>
      </c>
      <c r="C423" s="19" t="s">
        <v>13</v>
      </c>
      <c r="D423" s="19" t="s">
        <v>44</v>
      </c>
      <c r="E423" s="19" t="s">
        <v>64</v>
      </c>
      <c r="F423" s="20" t="n">
        <v>343464</v>
      </c>
      <c r="G423" s="20" t="n">
        <v>1922547</v>
      </c>
    </row>
    <row r="424" customFormat="false" ht="15" hidden="false" customHeight="false" outlineLevel="0" collapsed="false">
      <c r="A424" s="22" t="n">
        <v>46174</v>
      </c>
      <c r="B424" s="19" t="s">
        <v>50</v>
      </c>
      <c r="C424" s="19" t="s">
        <v>12</v>
      </c>
      <c r="D424" s="19" t="s">
        <v>31</v>
      </c>
      <c r="E424" s="19" t="s">
        <v>65</v>
      </c>
      <c r="F424" s="20" t="n">
        <v>215003</v>
      </c>
      <c r="G424" s="20" t="n">
        <v>698605</v>
      </c>
    </row>
    <row r="425" customFormat="false" ht="15" hidden="false" customHeight="false" outlineLevel="0" collapsed="false">
      <c r="A425" s="22" t="n">
        <v>46175</v>
      </c>
      <c r="B425" s="19" t="s">
        <v>50</v>
      </c>
      <c r="C425" s="19" t="s">
        <v>11</v>
      </c>
      <c r="D425" s="19" t="s">
        <v>27</v>
      </c>
      <c r="E425" s="19" t="s">
        <v>63</v>
      </c>
      <c r="F425" s="20" t="n">
        <v>5863</v>
      </c>
      <c r="G425" s="20" t="n">
        <v>0</v>
      </c>
    </row>
    <row r="426" customFormat="false" ht="15" hidden="false" customHeight="false" outlineLevel="0" collapsed="false">
      <c r="A426" s="22" t="n">
        <v>46175</v>
      </c>
      <c r="B426" s="19" t="s">
        <v>50</v>
      </c>
      <c r="C426" s="19" t="s">
        <v>12</v>
      </c>
      <c r="D426" s="19" t="s">
        <v>31</v>
      </c>
      <c r="E426" s="19" t="s">
        <v>65</v>
      </c>
      <c r="F426" s="20" t="n">
        <v>539815</v>
      </c>
      <c r="G426" s="20" t="n">
        <v>2404773</v>
      </c>
    </row>
    <row r="427" customFormat="false" ht="15" hidden="false" customHeight="false" outlineLevel="0" collapsed="false">
      <c r="A427" s="22" t="n">
        <v>46175</v>
      </c>
      <c r="B427" s="19" t="s">
        <v>50</v>
      </c>
      <c r="C427" s="19" t="s">
        <v>13</v>
      </c>
      <c r="D427" s="19" t="s">
        <v>44</v>
      </c>
      <c r="E427" s="19" t="s">
        <v>64</v>
      </c>
      <c r="F427" s="20" t="n">
        <v>127543</v>
      </c>
      <c r="G427" s="20" t="n">
        <v>286631</v>
      </c>
    </row>
    <row r="428" customFormat="false" ht="15" hidden="false" customHeight="false" outlineLevel="0" collapsed="false">
      <c r="A428" s="22" t="n">
        <v>46176</v>
      </c>
      <c r="B428" s="19" t="s">
        <v>50</v>
      </c>
      <c r="C428" s="19" t="s">
        <v>11</v>
      </c>
      <c r="D428" s="19" t="s">
        <v>27</v>
      </c>
      <c r="E428" s="19" t="s">
        <v>63</v>
      </c>
      <c r="F428" s="20" t="n">
        <v>8852</v>
      </c>
      <c r="G428" s="20" t="n">
        <v>39000</v>
      </c>
    </row>
    <row r="429" customFormat="false" ht="15" hidden="false" customHeight="false" outlineLevel="0" collapsed="false">
      <c r="A429" s="22" t="n">
        <v>46176</v>
      </c>
      <c r="B429" s="19" t="s">
        <v>50</v>
      </c>
      <c r="C429" s="19" t="s">
        <v>13</v>
      </c>
      <c r="D429" s="19" t="s">
        <v>44</v>
      </c>
      <c r="E429" s="19" t="s">
        <v>64</v>
      </c>
      <c r="F429" s="20" t="n">
        <v>650000</v>
      </c>
      <c r="G429" s="20" t="n">
        <v>3966926</v>
      </c>
    </row>
    <row r="430" customFormat="false" ht="15" hidden="false" customHeight="false" outlineLevel="0" collapsed="false">
      <c r="A430" s="22" t="n">
        <v>46176</v>
      </c>
      <c r="B430" s="19" t="s">
        <v>50</v>
      </c>
      <c r="C430" s="19" t="s">
        <v>12</v>
      </c>
      <c r="D430" s="19" t="s">
        <v>31</v>
      </c>
      <c r="E430" s="19" t="s">
        <v>65</v>
      </c>
      <c r="F430" s="20" t="n">
        <v>360050</v>
      </c>
      <c r="G430" s="20" t="n">
        <v>1746685</v>
      </c>
    </row>
    <row r="431" customFormat="false" ht="15" hidden="false" customHeight="false" outlineLevel="0" collapsed="false">
      <c r="A431" s="22" t="n">
        <v>46177</v>
      </c>
      <c r="B431" s="19" t="s">
        <v>50</v>
      </c>
      <c r="C431" s="19" t="s">
        <v>11</v>
      </c>
      <c r="D431" s="19" t="s">
        <v>27</v>
      </c>
      <c r="E431" s="19" t="s">
        <v>63</v>
      </c>
      <c r="F431" s="20" t="n">
        <v>6501</v>
      </c>
      <c r="G431" s="20" t="n">
        <v>0</v>
      </c>
    </row>
    <row r="432" customFormat="false" ht="15" hidden="false" customHeight="false" outlineLevel="0" collapsed="false">
      <c r="A432" s="22" t="n">
        <v>46177</v>
      </c>
      <c r="B432" s="19" t="s">
        <v>50</v>
      </c>
      <c r="C432" s="19" t="s">
        <v>12</v>
      </c>
      <c r="D432" s="19" t="s">
        <v>31</v>
      </c>
      <c r="E432" s="19" t="s">
        <v>65</v>
      </c>
      <c r="F432" s="20" t="n">
        <v>144945</v>
      </c>
      <c r="G432" s="20" t="n">
        <v>665185</v>
      </c>
    </row>
    <row r="433" customFormat="false" ht="15" hidden="false" customHeight="false" outlineLevel="0" collapsed="false">
      <c r="A433" s="22" t="n">
        <v>46177</v>
      </c>
      <c r="B433" s="19" t="s">
        <v>50</v>
      </c>
      <c r="C433" s="19" t="s">
        <v>13</v>
      </c>
      <c r="D433" s="19" t="s">
        <v>44</v>
      </c>
      <c r="E433" s="19" t="s">
        <v>95</v>
      </c>
      <c r="F433" s="20" t="n">
        <v>225294</v>
      </c>
      <c r="G433" s="20" t="n">
        <v>1120894</v>
      </c>
    </row>
    <row r="434" customFormat="false" ht="15" hidden="false" customHeight="false" outlineLevel="0" collapsed="false">
      <c r="A434" s="22" t="n">
        <v>46177</v>
      </c>
      <c r="B434" s="19" t="s">
        <v>50</v>
      </c>
      <c r="C434" s="19" t="s">
        <v>13</v>
      </c>
      <c r="D434" s="19" t="s">
        <v>44</v>
      </c>
      <c r="E434" s="19" t="s">
        <v>64</v>
      </c>
      <c r="F434" s="20" t="n">
        <v>78363</v>
      </c>
      <c r="G434" s="20" t="n">
        <v>0</v>
      </c>
    </row>
    <row r="435" customFormat="false" ht="15" hidden="false" customHeight="false" outlineLevel="0" collapsed="false">
      <c r="A435" s="22" t="n">
        <v>46177</v>
      </c>
      <c r="B435" s="19" t="s">
        <v>50</v>
      </c>
      <c r="C435" s="19" t="s">
        <v>13</v>
      </c>
      <c r="D435" s="19" t="s">
        <v>44</v>
      </c>
      <c r="E435" s="19" t="s">
        <v>96</v>
      </c>
      <c r="F435" s="20" t="n">
        <v>51651</v>
      </c>
      <c r="G435" s="20" t="n">
        <v>0</v>
      </c>
    </row>
    <row r="436" customFormat="false" ht="15" hidden="false" customHeight="false" outlineLevel="0" collapsed="false">
      <c r="A436" s="22" t="n">
        <v>46178</v>
      </c>
      <c r="B436" s="19" t="s">
        <v>50</v>
      </c>
      <c r="C436" s="19" t="s">
        <v>11</v>
      </c>
      <c r="D436" s="19" t="s">
        <v>27</v>
      </c>
      <c r="E436" s="19" t="s">
        <v>63</v>
      </c>
      <c r="F436" s="20" t="n">
        <v>33803</v>
      </c>
      <c r="G436" s="20" t="n">
        <v>162000</v>
      </c>
    </row>
    <row r="437" customFormat="false" ht="15" hidden="false" customHeight="false" outlineLevel="0" collapsed="false">
      <c r="A437" s="22" t="n">
        <v>46178</v>
      </c>
      <c r="B437" s="19" t="s">
        <v>50</v>
      </c>
      <c r="C437" s="19" t="s">
        <v>12</v>
      </c>
      <c r="D437" s="19" t="s">
        <v>31</v>
      </c>
      <c r="E437" s="19" t="s">
        <v>65</v>
      </c>
      <c r="F437" s="20" t="n">
        <v>377680</v>
      </c>
      <c r="G437" s="20" t="n">
        <v>1693572</v>
      </c>
    </row>
    <row r="438" customFormat="false" ht="15" hidden="false" customHeight="false" outlineLevel="0" collapsed="false">
      <c r="A438" s="22" t="n">
        <v>46178</v>
      </c>
      <c r="B438" s="19" t="s">
        <v>50</v>
      </c>
      <c r="C438" s="19" t="s">
        <v>13</v>
      </c>
      <c r="D438" s="19" t="s">
        <v>44</v>
      </c>
      <c r="E438" s="19" t="s">
        <v>95</v>
      </c>
      <c r="F438" s="20" t="n">
        <v>799575</v>
      </c>
      <c r="G438" s="20" t="n">
        <v>3632900</v>
      </c>
    </row>
    <row r="439" customFormat="false" ht="15" hidden="false" customHeight="false" outlineLevel="0" collapsed="false">
      <c r="A439" s="22" t="n">
        <v>46179</v>
      </c>
      <c r="B439" s="19" t="s">
        <v>50</v>
      </c>
      <c r="C439" s="19" t="s">
        <v>11</v>
      </c>
      <c r="D439" s="19" t="s">
        <v>27</v>
      </c>
      <c r="E439" s="19" t="s">
        <v>63</v>
      </c>
      <c r="F439" s="20" t="n">
        <v>34076</v>
      </c>
      <c r="G439" s="20" t="n">
        <v>154050</v>
      </c>
    </row>
    <row r="440" customFormat="false" ht="15" hidden="false" customHeight="false" outlineLevel="0" collapsed="false">
      <c r="A440" s="22" t="n">
        <v>46179</v>
      </c>
      <c r="B440" s="19" t="s">
        <v>50</v>
      </c>
      <c r="C440" s="19" t="s">
        <v>15</v>
      </c>
      <c r="D440" s="19" t="s">
        <v>45</v>
      </c>
      <c r="E440" s="19" t="s">
        <v>97</v>
      </c>
      <c r="F440" s="20" t="n">
        <v>2539</v>
      </c>
      <c r="G440" s="20" t="n">
        <v>66792</v>
      </c>
    </row>
    <row r="441" customFormat="false" ht="15" hidden="false" customHeight="false" outlineLevel="0" collapsed="false">
      <c r="A441" s="22" t="n">
        <v>46179</v>
      </c>
      <c r="B441" s="19" t="s">
        <v>50</v>
      </c>
      <c r="C441" s="19" t="s">
        <v>11</v>
      </c>
      <c r="D441" s="19" t="s">
        <v>28</v>
      </c>
      <c r="E441" s="19" t="s">
        <v>98</v>
      </c>
      <c r="F441" s="20" t="n">
        <v>6421</v>
      </c>
      <c r="G441" s="20" t="n">
        <v>0</v>
      </c>
    </row>
    <row r="442" customFormat="false" ht="15" hidden="false" customHeight="false" outlineLevel="0" collapsed="false">
      <c r="A442" s="22" t="n">
        <v>46179</v>
      </c>
      <c r="B442" s="19" t="s">
        <v>50</v>
      </c>
      <c r="C442" s="19" t="s">
        <v>13</v>
      </c>
      <c r="D442" s="19" t="s">
        <v>44</v>
      </c>
      <c r="E442" s="19" t="s">
        <v>95</v>
      </c>
      <c r="F442" s="20" t="n">
        <v>556835</v>
      </c>
      <c r="G442" s="20" t="n">
        <v>2546474</v>
      </c>
    </row>
    <row r="443" customFormat="false" ht="15" hidden="false" customHeight="false" outlineLevel="0" collapsed="false">
      <c r="A443" s="22" t="n">
        <v>46179</v>
      </c>
      <c r="B443" s="19" t="s">
        <v>50</v>
      </c>
      <c r="C443" s="19" t="s">
        <v>12</v>
      </c>
      <c r="D443" s="19" t="s">
        <v>31</v>
      </c>
      <c r="E443" s="19" t="s">
        <v>99</v>
      </c>
      <c r="F443" s="20" t="n">
        <v>200000</v>
      </c>
      <c r="G443" s="20" t="n">
        <v>175000</v>
      </c>
    </row>
    <row r="444" customFormat="false" ht="15" hidden="false" customHeight="false" outlineLevel="0" collapsed="false">
      <c r="A444" s="22" t="n">
        <v>46179</v>
      </c>
      <c r="B444" s="19" t="s">
        <v>50</v>
      </c>
      <c r="C444" s="19" t="s">
        <v>12</v>
      </c>
      <c r="D444" s="19" t="s">
        <v>31</v>
      </c>
      <c r="E444" s="19" t="s">
        <v>100</v>
      </c>
      <c r="F444" s="20" t="n">
        <v>72243</v>
      </c>
      <c r="G444" s="20" t="n">
        <v>296842</v>
      </c>
    </row>
    <row r="445" customFormat="false" ht="15" hidden="false" customHeight="false" outlineLevel="0" collapsed="false">
      <c r="A445" s="22" t="n">
        <v>46179</v>
      </c>
      <c r="B445" s="19" t="s">
        <v>50</v>
      </c>
      <c r="C445" s="19" t="s">
        <v>12</v>
      </c>
      <c r="D445" s="19" t="s">
        <v>31</v>
      </c>
      <c r="E445" s="19" t="s">
        <v>65</v>
      </c>
      <c r="F445" s="20" t="n">
        <v>70836</v>
      </c>
      <c r="G445" s="20" t="n">
        <v>269440</v>
      </c>
    </row>
    <row r="446" customFormat="false" ht="15" hidden="false" customHeight="false" outlineLevel="0" collapsed="false">
      <c r="A446" s="22" t="n">
        <v>46179</v>
      </c>
      <c r="B446" s="19" t="s">
        <v>50</v>
      </c>
      <c r="C446" s="19" t="s">
        <v>12</v>
      </c>
      <c r="D446" s="19" t="s">
        <v>31</v>
      </c>
      <c r="E446" s="19" t="s">
        <v>101</v>
      </c>
      <c r="F446" s="20" t="n">
        <v>70933</v>
      </c>
      <c r="G446" s="20" t="n">
        <v>0</v>
      </c>
    </row>
    <row r="447" customFormat="false" ht="15" hidden="false" customHeight="false" outlineLevel="0" collapsed="false">
      <c r="A447" s="22" t="n">
        <v>46179</v>
      </c>
      <c r="B447" s="19" t="s">
        <v>50</v>
      </c>
      <c r="C447" s="19" t="s">
        <v>13</v>
      </c>
      <c r="D447" s="19" t="s">
        <v>41</v>
      </c>
      <c r="E447" s="19" t="s">
        <v>102</v>
      </c>
      <c r="F447" s="20" t="n">
        <v>9993</v>
      </c>
      <c r="G447" s="20" t="n">
        <v>0</v>
      </c>
    </row>
    <row r="448" customFormat="false" ht="15" hidden="false" customHeight="false" outlineLevel="0" collapsed="false">
      <c r="A448" s="22" t="n">
        <v>46179</v>
      </c>
      <c r="B448" s="19" t="s">
        <v>50</v>
      </c>
      <c r="C448" s="19" t="s">
        <v>13</v>
      </c>
      <c r="D448" s="19" t="s">
        <v>43</v>
      </c>
      <c r="E448" s="19" t="s">
        <v>103</v>
      </c>
      <c r="F448" s="20" t="n">
        <v>37</v>
      </c>
      <c r="G448" s="20" t="n">
        <v>0</v>
      </c>
    </row>
    <row r="449" customFormat="false" ht="15" hidden="false" customHeight="false" outlineLevel="0" collapsed="false">
      <c r="A449" s="22" t="n">
        <v>46179</v>
      </c>
      <c r="B449" s="19" t="s">
        <v>50</v>
      </c>
      <c r="C449" s="19" t="s">
        <v>11</v>
      </c>
      <c r="D449" s="19" t="s">
        <v>26</v>
      </c>
      <c r="E449" s="19" t="s">
        <v>104</v>
      </c>
      <c r="F449" s="20" t="n">
        <v>1419</v>
      </c>
      <c r="G449" s="20" t="n">
        <v>0</v>
      </c>
    </row>
    <row r="450" customFormat="false" ht="15" hidden="false" customHeight="false" outlineLevel="0" collapsed="false">
      <c r="A450" s="22" t="n">
        <v>46180</v>
      </c>
      <c r="B450" s="19" t="s">
        <v>50</v>
      </c>
      <c r="C450" s="19" t="s">
        <v>15</v>
      </c>
      <c r="D450" s="19" t="s">
        <v>45</v>
      </c>
      <c r="E450" s="19" t="s">
        <v>97</v>
      </c>
      <c r="F450" s="20" t="n">
        <v>32588</v>
      </c>
      <c r="G450" s="20" t="n">
        <v>0</v>
      </c>
    </row>
    <row r="451" customFormat="false" ht="15" hidden="false" customHeight="false" outlineLevel="0" collapsed="false">
      <c r="A451" s="22" t="n">
        <v>46180</v>
      </c>
      <c r="B451" s="19" t="s">
        <v>50</v>
      </c>
      <c r="C451" s="19" t="s">
        <v>11</v>
      </c>
      <c r="D451" s="19" t="s">
        <v>27</v>
      </c>
      <c r="E451" s="19" t="s">
        <v>63</v>
      </c>
      <c r="F451" s="20" t="n">
        <v>115142</v>
      </c>
      <c r="G451" s="20" t="n">
        <v>583759</v>
      </c>
    </row>
    <row r="452" customFormat="false" ht="15" hidden="false" customHeight="false" outlineLevel="0" collapsed="false">
      <c r="A452" s="22" t="n">
        <v>46180</v>
      </c>
      <c r="B452" s="19" t="s">
        <v>50</v>
      </c>
      <c r="C452" s="19" t="s">
        <v>11</v>
      </c>
      <c r="D452" s="19" t="s">
        <v>28</v>
      </c>
      <c r="E452" s="19" t="s">
        <v>98</v>
      </c>
      <c r="F452" s="20" t="n">
        <v>97714</v>
      </c>
      <c r="G452" s="20" t="n">
        <v>431719</v>
      </c>
    </row>
    <row r="453" customFormat="false" ht="15" hidden="false" customHeight="false" outlineLevel="0" collapsed="false">
      <c r="A453" s="22" t="n">
        <v>46180</v>
      </c>
      <c r="B453" s="19" t="s">
        <v>50</v>
      </c>
      <c r="C453" s="19" t="s">
        <v>11</v>
      </c>
      <c r="D453" s="19" t="s">
        <v>25</v>
      </c>
      <c r="E453" s="19" t="s">
        <v>105</v>
      </c>
      <c r="F453" s="20" t="n">
        <v>63632</v>
      </c>
      <c r="G453" s="20" t="n">
        <v>295000</v>
      </c>
    </row>
    <row r="454" customFormat="false" ht="15" hidden="false" customHeight="false" outlineLevel="0" collapsed="false">
      <c r="A454" s="22" t="n">
        <v>46180</v>
      </c>
      <c r="B454" s="19" t="s">
        <v>50</v>
      </c>
      <c r="C454" s="19" t="s">
        <v>11</v>
      </c>
      <c r="D454" s="19" t="s">
        <v>24</v>
      </c>
      <c r="E454" s="19" t="s">
        <v>106</v>
      </c>
      <c r="F454" s="20" t="n">
        <v>93677</v>
      </c>
      <c r="G454" s="20" t="n">
        <v>1323000</v>
      </c>
    </row>
    <row r="455" customFormat="false" ht="15" hidden="false" customHeight="false" outlineLevel="0" collapsed="false">
      <c r="A455" s="22" t="n">
        <v>46180</v>
      </c>
      <c r="B455" s="19" t="s">
        <v>50</v>
      </c>
      <c r="C455" s="19" t="s">
        <v>13</v>
      </c>
      <c r="D455" s="19" t="s">
        <v>43</v>
      </c>
      <c r="E455" s="19" t="s">
        <v>103</v>
      </c>
      <c r="F455" s="20" t="n">
        <v>32906</v>
      </c>
      <c r="G455" s="20" t="n">
        <v>0</v>
      </c>
    </row>
    <row r="456" customFormat="false" ht="15" hidden="false" customHeight="false" outlineLevel="0" collapsed="false">
      <c r="A456" s="22" t="n">
        <v>46180</v>
      </c>
      <c r="B456" s="19" t="s">
        <v>50</v>
      </c>
      <c r="C456" s="19" t="s">
        <v>13</v>
      </c>
      <c r="D456" s="19" t="s">
        <v>44</v>
      </c>
      <c r="E456" s="19" t="s">
        <v>95</v>
      </c>
      <c r="F456" s="20" t="n">
        <v>38645</v>
      </c>
      <c r="G456" s="20" t="n">
        <v>195000</v>
      </c>
    </row>
    <row r="457" customFormat="false" ht="15" hidden="false" customHeight="false" outlineLevel="0" collapsed="false">
      <c r="A457" s="22" t="n">
        <v>46180</v>
      </c>
      <c r="B457" s="19" t="s">
        <v>50</v>
      </c>
      <c r="C457" s="19" t="s">
        <v>13</v>
      </c>
      <c r="D457" s="19" t="s">
        <v>41</v>
      </c>
      <c r="E457" s="19" t="s">
        <v>102</v>
      </c>
      <c r="F457" s="20" t="n">
        <v>41887</v>
      </c>
      <c r="G457" s="20" t="n">
        <v>0</v>
      </c>
    </row>
    <row r="458" customFormat="false" ht="15" hidden="false" customHeight="false" outlineLevel="0" collapsed="false">
      <c r="A458" s="22" t="n">
        <v>46180</v>
      </c>
      <c r="B458" s="19" t="s">
        <v>50</v>
      </c>
      <c r="C458" s="19" t="s">
        <v>12</v>
      </c>
      <c r="D458" s="19" t="s">
        <v>31</v>
      </c>
      <c r="E458" s="19" t="s">
        <v>107</v>
      </c>
      <c r="F458" s="20" t="n">
        <v>68999</v>
      </c>
      <c r="G458" s="20" t="n">
        <v>519400</v>
      </c>
    </row>
    <row r="459" customFormat="false" ht="15" hidden="false" customHeight="false" outlineLevel="0" collapsed="false">
      <c r="A459" s="22" t="n">
        <v>46180</v>
      </c>
      <c r="B459" s="19" t="s">
        <v>50</v>
      </c>
      <c r="C459" s="19" t="s">
        <v>13</v>
      </c>
      <c r="D459" s="19" t="s">
        <v>44</v>
      </c>
      <c r="E459" s="19" t="s">
        <v>108</v>
      </c>
      <c r="F459" s="20" t="n">
        <v>42665</v>
      </c>
      <c r="G459" s="20" t="n">
        <v>376860</v>
      </c>
    </row>
    <row r="460" customFormat="false" ht="15" hidden="false" customHeight="false" outlineLevel="0" collapsed="false">
      <c r="A460" s="22" t="n">
        <v>46180</v>
      </c>
      <c r="B460" s="19" t="s">
        <v>50</v>
      </c>
      <c r="C460" s="19" t="s">
        <v>12</v>
      </c>
      <c r="D460" s="19" t="s">
        <v>31</v>
      </c>
      <c r="E460" s="19" t="s">
        <v>101</v>
      </c>
      <c r="F460" s="20" t="n">
        <v>70674</v>
      </c>
      <c r="G460" s="20" t="n">
        <v>0</v>
      </c>
    </row>
    <row r="461" customFormat="false" ht="15" hidden="false" customHeight="false" outlineLevel="0" collapsed="false">
      <c r="A461" s="22" t="n">
        <v>46180</v>
      </c>
      <c r="B461" s="19" t="s">
        <v>50</v>
      </c>
      <c r="C461" s="19" t="s">
        <v>11</v>
      </c>
      <c r="D461" s="19" t="s">
        <v>26</v>
      </c>
      <c r="E461" s="19" t="s">
        <v>104</v>
      </c>
      <c r="F461" s="20" t="n">
        <v>8303</v>
      </c>
      <c r="G461" s="20" t="n">
        <v>0</v>
      </c>
    </row>
    <row r="462" customFormat="false" ht="15" hidden="false" customHeight="false" outlineLevel="0" collapsed="false">
      <c r="A462" s="22" t="n">
        <v>46181</v>
      </c>
      <c r="B462" s="19" t="s">
        <v>50</v>
      </c>
      <c r="C462" s="19" t="s">
        <v>11</v>
      </c>
      <c r="D462" s="19" t="s">
        <v>28</v>
      </c>
      <c r="E462" s="19" t="s">
        <v>98</v>
      </c>
      <c r="F462" s="20" t="n">
        <v>22563</v>
      </c>
      <c r="G462" s="20" t="n">
        <v>115000</v>
      </c>
    </row>
    <row r="463" customFormat="false" ht="15" hidden="false" customHeight="false" outlineLevel="0" collapsed="false">
      <c r="A463" s="22" t="n">
        <v>46181</v>
      </c>
      <c r="B463" s="19" t="s">
        <v>50</v>
      </c>
      <c r="C463" s="19" t="s">
        <v>15</v>
      </c>
      <c r="D463" s="19" t="s">
        <v>45</v>
      </c>
      <c r="E463" s="19" t="s">
        <v>97</v>
      </c>
      <c r="F463" s="20" t="n">
        <v>25212</v>
      </c>
      <c r="G463" s="20" t="n">
        <v>64307</v>
      </c>
    </row>
    <row r="464" customFormat="false" ht="15" hidden="false" customHeight="false" outlineLevel="0" collapsed="false">
      <c r="A464" s="22" t="n">
        <v>46181</v>
      </c>
      <c r="B464" s="19" t="s">
        <v>50</v>
      </c>
      <c r="C464" s="19" t="s">
        <v>11</v>
      </c>
      <c r="D464" s="19" t="s">
        <v>27</v>
      </c>
      <c r="E464" s="19" t="s">
        <v>63</v>
      </c>
      <c r="F464" s="20" t="n">
        <v>23584</v>
      </c>
      <c r="G464" s="20" t="n">
        <v>39000</v>
      </c>
    </row>
    <row r="465" customFormat="false" ht="15" hidden="false" customHeight="false" outlineLevel="0" collapsed="false">
      <c r="A465" s="22" t="n">
        <v>46181</v>
      </c>
      <c r="B465" s="19" t="s">
        <v>50</v>
      </c>
      <c r="C465" s="19" t="s">
        <v>11</v>
      </c>
      <c r="D465" s="19" t="s">
        <v>24</v>
      </c>
      <c r="E465" s="19" t="s">
        <v>106</v>
      </c>
      <c r="F465" s="20" t="n">
        <v>145265</v>
      </c>
      <c r="G465" s="20" t="n">
        <v>824000</v>
      </c>
    </row>
    <row r="466" customFormat="false" ht="15" hidden="false" customHeight="false" outlineLevel="0" collapsed="false">
      <c r="A466" s="22" t="n">
        <v>46181</v>
      </c>
      <c r="B466" s="19" t="s">
        <v>50</v>
      </c>
      <c r="C466" s="19" t="s">
        <v>13</v>
      </c>
      <c r="D466" s="19" t="s">
        <v>41</v>
      </c>
      <c r="E466" s="19" t="s">
        <v>102</v>
      </c>
      <c r="F466" s="20" t="n">
        <v>222371</v>
      </c>
      <c r="G466" s="20" t="n">
        <v>1396600</v>
      </c>
    </row>
    <row r="467" customFormat="false" ht="15" hidden="false" customHeight="false" outlineLevel="0" collapsed="false">
      <c r="A467" s="22" t="n">
        <v>46181</v>
      </c>
      <c r="B467" s="19" t="s">
        <v>50</v>
      </c>
      <c r="C467" s="19" t="s">
        <v>11</v>
      </c>
      <c r="D467" s="19" t="s">
        <v>25</v>
      </c>
      <c r="E467" s="19" t="s">
        <v>105</v>
      </c>
      <c r="F467" s="20" t="n">
        <v>39679</v>
      </c>
      <c r="G467" s="20" t="n">
        <v>279100</v>
      </c>
    </row>
    <row r="468" customFormat="false" ht="15" hidden="false" customHeight="false" outlineLevel="0" collapsed="false">
      <c r="A468" s="22" t="n">
        <v>46181</v>
      </c>
      <c r="B468" s="19" t="s">
        <v>50</v>
      </c>
      <c r="C468" s="19" t="s">
        <v>13</v>
      </c>
      <c r="D468" s="19" t="s">
        <v>44</v>
      </c>
      <c r="E468" s="19" t="s">
        <v>108</v>
      </c>
      <c r="F468" s="20" t="n">
        <v>53501</v>
      </c>
      <c r="G468" s="20" t="n">
        <v>426280</v>
      </c>
    </row>
    <row r="469" customFormat="false" ht="15" hidden="false" customHeight="false" outlineLevel="0" collapsed="false">
      <c r="A469" s="22" t="n">
        <v>46181</v>
      </c>
      <c r="B469" s="19" t="s">
        <v>50</v>
      </c>
      <c r="C469" s="19" t="s">
        <v>12</v>
      </c>
      <c r="D469" s="19" t="s">
        <v>31</v>
      </c>
      <c r="E469" s="19" t="s">
        <v>107</v>
      </c>
      <c r="F469" s="20" t="n">
        <v>71950</v>
      </c>
      <c r="G469" s="20" t="n">
        <v>289100</v>
      </c>
    </row>
    <row r="470" customFormat="false" ht="15" hidden="false" customHeight="false" outlineLevel="0" collapsed="false">
      <c r="A470" s="22" t="n">
        <v>46181</v>
      </c>
      <c r="B470" s="19" t="s">
        <v>50</v>
      </c>
      <c r="C470" s="19" t="s">
        <v>13</v>
      </c>
      <c r="D470" s="19" t="s">
        <v>43</v>
      </c>
      <c r="E470" s="19" t="s">
        <v>103</v>
      </c>
      <c r="F470" s="20" t="n">
        <v>23244</v>
      </c>
      <c r="G470" s="20" t="n">
        <v>195000</v>
      </c>
    </row>
    <row r="471" customFormat="false" ht="15" hidden="false" customHeight="false" outlineLevel="0" collapsed="false">
      <c r="A471" s="22" t="n">
        <v>46181</v>
      </c>
      <c r="B471" s="19" t="s">
        <v>50</v>
      </c>
      <c r="C471" s="19" t="s">
        <v>11</v>
      </c>
      <c r="D471" s="19" t="s">
        <v>26</v>
      </c>
      <c r="E471" s="19" t="s">
        <v>104</v>
      </c>
      <c r="F471" s="20" t="n">
        <v>47388</v>
      </c>
      <c r="G471" s="20" t="n">
        <v>269441</v>
      </c>
    </row>
    <row r="472" customFormat="false" ht="15" hidden="false" customHeight="false" outlineLevel="0" collapsed="false">
      <c r="A472" s="22" t="n">
        <v>46182</v>
      </c>
      <c r="B472" s="19" t="s">
        <v>50</v>
      </c>
      <c r="C472" s="19" t="s">
        <v>15</v>
      </c>
      <c r="D472" s="19" t="s">
        <v>45</v>
      </c>
      <c r="E472" s="19" t="s">
        <v>97</v>
      </c>
      <c r="F472" s="20" t="n">
        <v>45332</v>
      </c>
      <c r="G472" s="20" t="n">
        <v>250000</v>
      </c>
    </row>
    <row r="473" customFormat="false" ht="15" hidden="false" customHeight="false" outlineLevel="0" collapsed="false">
      <c r="A473" s="22" t="n">
        <v>46182</v>
      </c>
      <c r="B473" s="19" t="s">
        <v>50</v>
      </c>
      <c r="C473" s="19" t="s">
        <v>11</v>
      </c>
      <c r="D473" s="19" t="s">
        <v>28</v>
      </c>
      <c r="E473" s="19" t="s">
        <v>98</v>
      </c>
      <c r="F473" s="20" t="n">
        <v>30885</v>
      </c>
      <c r="G473" s="20" t="n">
        <v>0</v>
      </c>
    </row>
    <row r="474" customFormat="false" ht="15" hidden="false" customHeight="false" outlineLevel="0" collapsed="false">
      <c r="A474" s="22" t="n">
        <v>46182</v>
      </c>
      <c r="B474" s="19" t="s">
        <v>50</v>
      </c>
      <c r="C474" s="19" t="s">
        <v>11</v>
      </c>
      <c r="D474" s="19" t="s">
        <v>27</v>
      </c>
      <c r="E474" s="19" t="s">
        <v>63</v>
      </c>
      <c r="F474" s="20" t="n">
        <v>3053</v>
      </c>
      <c r="G474" s="20" t="n">
        <v>0</v>
      </c>
    </row>
    <row r="475" customFormat="false" ht="15" hidden="false" customHeight="false" outlineLevel="0" collapsed="false">
      <c r="A475" s="22" t="n">
        <v>46182</v>
      </c>
      <c r="B475" s="19" t="s">
        <v>50</v>
      </c>
      <c r="C475" s="19" t="s">
        <v>13</v>
      </c>
      <c r="D475" s="19" t="s">
        <v>44</v>
      </c>
      <c r="E475" s="19" t="s">
        <v>108</v>
      </c>
      <c r="F475" s="20" t="n">
        <v>232903</v>
      </c>
      <c r="G475" s="20" t="n">
        <v>1071086</v>
      </c>
    </row>
    <row r="476" customFormat="false" ht="15" hidden="false" customHeight="false" outlineLevel="0" collapsed="false">
      <c r="A476" s="22" t="n">
        <v>46182</v>
      </c>
      <c r="B476" s="19" t="s">
        <v>50</v>
      </c>
      <c r="C476" s="19" t="s">
        <v>11</v>
      </c>
      <c r="D476" s="19" t="s">
        <v>25</v>
      </c>
      <c r="E476" s="19" t="s">
        <v>105</v>
      </c>
      <c r="F476" s="20" t="n">
        <v>28632</v>
      </c>
      <c r="G476" s="20" t="n">
        <v>0</v>
      </c>
    </row>
    <row r="477" customFormat="false" ht="15" hidden="false" customHeight="false" outlineLevel="0" collapsed="false">
      <c r="A477" s="22" t="n">
        <v>46182</v>
      </c>
      <c r="B477" s="19" t="s">
        <v>50</v>
      </c>
      <c r="C477" s="19" t="s">
        <v>13</v>
      </c>
      <c r="D477" s="19" t="s">
        <v>43</v>
      </c>
      <c r="E477" s="19" t="s">
        <v>103</v>
      </c>
      <c r="F477" s="20" t="n">
        <v>35945</v>
      </c>
      <c r="G477" s="20" t="n">
        <v>195000</v>
      </c>
    </row>
    <row r="478" customFormat="false" ht="15" hidden="false" customHeight="false" outlineLevel="0" collapsed="false">
      <c r="A478" s="22" t="n">
        <v>46182</v>
      </c>
      <c r="B478" s="19" t="s">
        <v>50</v>
      </c>
      <c r="C478" s="19" t="s">
        <v>11</v>
      </c>
      <c r="D478" s="19" t="s">
        <v>24</v>
      </c>
      <c r="E478" s="19" t="s">
        <v>106</v>
      </c>
      <c r="F478" s="20" t="n">
        <v>85596</v>
      </c>
      <c r="G478" s="20" t="n">
        <v>0</v>
      </c>
    </row>
    <row r="479" customFormat="false" ht="15" hidden="false" customHeight="false" outlineLevel="0" collapsed="false">
      <c r="A479" s="22" t="n">
        <v>46182</v>
      </c>
      <c r="B479" s="19" t="s">
        <v>50</v>
      </c>
      <c r="C479" s="19" t="s">
        <v>12</v>
      </c>
      <c r="D479" s="19" t="s">
        <v>31</v>
      </c>
      <c r="E479" s="19" t="s">
        <v>107</v>
      </c>
      <c r="F479" s="20" t="n">
        <v>80325</v>
      </c>
      <c r="G479" s="20" t="n">
        <v>0</v>
      </c>
    </row>
    <row r="480" customFormat="false" ht="15" hidden="false" customHeight="false" outlineLevel="0" collapsed="false">
      <c r="A480" s="22" t="n">
        <v>46182</v>
      </c>
      <c r="B480" s="19" t="s">
        <v>50</v>
      </c>
      <c r="C480" s="19" t="s">
        <v>11</v>
      </c>
      <c r="D480" s="19" t="s">
        <v>26</v>
      </c>
      <c r="E480" s="19" t="s">
        <v>104</v>
      </c>
      <c r="F480" s="20" t="n">
        <v>24178</v>
      </c>
      <c r="G480" s="20" t="n">
        <v>0</v>
      </c>
    </row>
    <row r="481" customFormat="false" ht="15" hidden="false" customHeight="false" outlineLevel="0" collapsed="false">
      <c r="A481" s="22" t="n">
        <v>46182</v>
      </c>
      <c r="B481" s="19" t="s">
        <v>50</v>
      </c>
      <c r="C481" s="19" t="s">
        <v>13</v>
      </c>
      <c r="D481" s="19" t="s">
        <v>41</v>
      </c>
      <c r="E481" s="19" t="s">
        <v>102</v>
      </c>
      <c r="F481" s="20" t="n">
        <v>47866</v>
      </c>
      <c r="G481" s="20" t="n">
        <v>195000</v>
      </c>
    </row>
    <row r="482" customFormat="false" ht="15" hidden="false" customHeight="false" outlineLevel="0" collapsed="false">
      <c r="A482" s="22" t="n">
        <v>46183</v>
      </c>
      <c r="B482" s="19" t="s">
        <v>50</v>
      </c>
      <c r="C482" s="19" t="s">
        <v>15</v>
      </c>
      <c r="D482" s="19" t="s">
        <v>45</v>
      </c>
      <c r="E482" s="19" t="s">
        <v>97</v>
      </c>
      <c r="F482" s="20" t="n">
        <v>24807</v>
      </c>
      <c r="G482" s="20" t="n">
        <v>135000</v>
      </c>
    </row>
    <row r="483" customFormat="false" ht="15" hidden="false" customHeight="false" outlineLevel="0" collapsed="false">
      <c r="A483" s="22" t="n">
        <v>46183</v>
      </c>
      <c r="B483" s="19" t="s">
        <v>50</v>
      </c>
      <c r="C483" s="19" t="s">
        <v>11</v>
      </c>
      <c r="D483" s="19" t="s">
        <v>27</v>
      </c>
      <c r="E483" s="19" t="s">
        <v>63</v>
      </c>
      <c r="F483" s="20" t="n">
        <v>40916</v>
      </c>
      <c r="G483" s="20" t="n">
        <v>156000</v>
      </c>
    </row>
    <row r="484" customFormat="false" ht="15" hidden="false" customHeight="false" outlineLevel="0" collapsed="false">
      <c r="A484" s="22" t="n">
        <v>46183</v>
      </c>
      <c r="B484" s="19" t="s">
        <v>50</v>
      </c>
      <c r="C484" s="19" t="s">
        <v>11</v>
      </c>
      <c r="D484" s="19" t="s">
        <v>28</v>
      </c>
      <c r="E484" s="19" t="s">
        <v>98</v>
      </c>
      <c r="F484" s="20" t="n">
        <v>31075</v>
      </c>
      <c r="G484" s="20" t="n">
        <v>112000</v>
      </c>
    </row>
    <row r="485" customFormat="false" ht="15" hidden="false" customHeight="false" outlineLevel="0" collapsed="false">
      <c r="A485" s="22" t="n">
        <v>46183</v>
      </c>
      <c r="B485" s="19" t="s">
        <v>50</v>
      </c>
      <c r="C485" s="19" t="s">
        <v>13</v>
      </c>
      <c r="D485" s="19" t="s">
        <v>44</v>
      </c>
      <c r="E485" s="19" t="s">
        <v>108</v>
      </c>
      <c r="F485" s="20" t="n">
        <v>800000</v>
      </c>
      <c r="G485" s="20" t="n">
        <v>3880662</v>
      </c>
    </row>
    <row r="486" customFormat="false" ht="15" hidden="false" customHeight="false" outlineLevel="0" collapsed="false">
      <c r="A486" s="22" t="n">
        <v>46183</v>
      </c>
      <c r="B486" s="19" t="s">
        <v>50</v>
      </c>
      <c r="C486" s="19" t="s">
        <v>13</v>
      </c>
      <c r="D486" s="19" t="s">
        <v>41</v>
      </c>
      <c r="E486" s="19" t="s">
        <v>102</v>
      </c>
      <c r="F486" s="20" t="n">
        <v>157328</v>
      </c>
      <c r="G486" s="20" t="n">
        <v>937727</v>
      </c>
    </row>
    <row r="487" customFormat="false" ht="15" hidden="false" customHeight="false" outlineLevel="0" collapsed="false">
      <c r="A487" s="22" t="n">
        <v>46183</v>
      </c>
      <c r="B487" s="19" t="s">
        <v>50</v>
      </c>
      <c r="C487" s="19" t="s">
        <v>11</v>
      </c>
      <c r="D487" s="19" t="s">
        <v>24</v>
      </c>
      <c r="E487" s="19" t="s">
        <v>106</v>
      </c>
      <c r="F487" s="20" t="n">
        <v>79587</v>
      </c>
      <c r="G487" s="20" t="n">
        <v>268284</v>
      </c>
    </row>
    <row r="488" customFormat="false" ht="15" hidden="false" customHeight="false" outlineLevel="0" collapsed="false">
      <c r="A488" s="22" t="n">
        <v>46183</v>
      </c>
      <c r="B488" s="19" t="s">
        <v>50</v>
      </c>
      <c r="C488" s="19" t="s">
        <v>11</v>
      </c>
      <c r="D488" s="19" t="s">
        <v>26</v>
      </c>
      <c r="E488" s="19" t="s">
        <v>104</v>
      </c>
      <c r="F488" s="20" t="n">
        <v>15831</v>
      </c>
      <c r="G488" s="20" t="n">
        <v>0</v>
      </c>
    </row>
    <row r="489" customFormat="false" ht="15" hidden="false" customHeight="false" outlineLevel="0" collapsed="false">
      <c r="A489" s="22" t="n">
        <v>46183</v>
      </c>
      <c r="B489" s="19" t="s">
        <v>50</v>
      </c>
      <c r="C489" s="19" t="s">
        <v>11</v>
      </c>
      <c r="D489" s="19" t="s">
        <v>25</v>
      </c>
      <c r="E489" s="19" t="s">
        <v>105</v>
      </c>
      <c r="F489" s="20" t="n">
        <v>50159</v>
      </c>
      <c r="G489" s="20" t="n">
        <v>0</v>
      </c>
    </row>
    <row r="490" customFormat="false" ht="15" hidden="false" customHeight="false" outlineLevel="0" collapsed="false">
      <c r="A490" s="22" t="n">
        <v>46183</v>
      </c>
      <c r="B490" s="19" t="s">
        <v>50</v>
      </c>
      <c r="C490" s="19" t="s">
        <v>13</v>
      </c>
      <c r="D490" s="19" t="s">
        <v>43</v>
      </c>
      <c r="E490" s="19" t="s">
        <v>103</v>
      </c>
      <c r="F490" s="20" t="n">
        <v>61799</v>
      </c>
      <c r="G490" s="20" t="n">
        <v>569634</v>
      </c>
    </row>
    <row r="491" customFormat="false" ht="15" hidden="false" customHeight="false" outlineLevel="0" collapsed="false">
      <c r="A491" s="22" t="n">
        <v>46183</v>
      </c>
      <c r="B491" s="19" t="s">
        <v>50</v>
      </c>
      <c r="C491" s="19" t="s">
        <v>12</v>
      </c>
      <c r="D491" s="19" t="s">
        <v>31</v>
      </c>
      <c r="E491" s="19" t="s">
        <v>109</v>
      </c>
      <c r="F491" s="20" t="n">
        <v>42525</v>
      </c>
      <c r="G491" s="20" t="n">
        <v>175000</v>
      </c>
    </row>
    <row r="492" customFormat="false" ht="15" hidden="false" customHeight="false" outlineLevel="0" collapsed="false">
      <c r="A492" s="22" t="n">
        <v>46183</v>
      </c>
      <c r="B492" s="19" t="s">
        <v>50</v>
      </c>
      <c r="C492" s="19" t="s">
        <v>12</v>
      </c>
      <c r="D492" s="19" t="s">
        <v>31</v>
      </c>
      <c r="E492" s="19" t="s">
        <v>107</v>
      </c>
      <c r="F492" s="20" t="n">
        <v>60392</v>
      </c>
      <c r="G492" s="20" t="n">
        <v>0</v>
      </c>
    </row>
    <row r="493" customFormat="false" ht="15" hidden="false" customHeight="false" outlineLevel="0" collapsed="false">
      <c r="A493" s="22" t="n">
        <v>46184</v>
      </c>
      <c r="B493" s="19" t="s">
        <v>50</v>
      </c>
      <c r="C493" s="19" t="s">
        <v>11</v>
      </c>
      <c r="D493" s="19" t="s">
        <v>28</v>
      </c>
      <c r="E493" s="19" t="s">
        <v>98</v>
      </c>
      <c r="F493" s="20" t="n">
        <v>99634</v>
      </c>
      <c r="G493" s="20" t="n">
        <v>863640</v>
      </c>
    </row>
    <row r="494" customFormat="false" ht="15" hidden="false" customHeight="false" outlineLevel="0" collapsed="false">
      <c r="A494" s="22" t="n">
        <v>46184</v>
      </c>
      <c r="B494" s="19" t="s">
        <v>50</v>
      </c>
      <c r="C494" s="19" t="s">
        <v>15</v>
      </c>
      <c r="D494" s="19" t="s">
        <v>45</v>
      </c>
      <c r="E494" s="19" t="s">
        <v>97</v>
      </c>
      <c r="F494" s="20" t="n">
        <v>32582</v>
      </c>
      <c r="G494" s="20" t="n">
        <v>0</v>
      </c>
    </row>
    <row r="495" customFormat="false" ht="15" hidden="false" customHeight="false" outlineLevel="0" collapsed="false">
      <c r="A495" s="22" t="n">
        <v>46184</v>
      </c>
      <c r="B495" s="19" t="s">
        <v>50</v>
      </c>
      <c r="C495" s="19" t="s">
        <v>11</v>
      </c>
      <c r="D495" s="19" t="s">
        <v>27</v>
      </c>
      <c r="E495" s="19" t="s">
        <v>63</v>
      </c>
      <c r="F495" s="20" t="n">
        <v>9816</v>
      </c>
      <c r="G495" s="20" t="n">
        <v>39000</v>
      </c>
    </row>
    <row r="496" customFormat="false" ht="15" hidden="false" customHeight="false" outlineLevel="0" collapsed="false">
      <c r="A496" s="22" t="n">
        <v>46184</v>
      </c>
      <c r="B496" s="19" t="s">
        <v>50</v>
      </c>
      <c r="C496" s="19" t="s">
        <v>13</v>
      </c>
      <c r="D496" s="19" t="s">
        <v>44</v>
      </c>
      <c r="E496" s="19" t="s">
        <v>108</v>
      </c>
      <c r="F496" s="20" t="n">
        <v>790718</v>
      </c>
      <c r="G496" s="20" t="n">
        <v>3971380</v>
      </c>
    </row>
    <row r="497" customFormat="false" ht="15" hidden="false" customHeight="false" outlineLevel="0" collapsed="false">
      <c r="A497" s="22" t="n">
        <v>46184</v>
      </c>
      <c r="B497" s="19" t="s">
        <v>50</v>
      </c>
      <c r="C497" s="19" t="s">
        <v>13</v>
      </c>
      <c r="D497" s="19" t="s">
        <v>41</v>
      </c>
      <c r="E497" s="19" t="s">
        <v>102</v>
      </c>
      <c r="F497" s="20" t="n">
        <v>174036</v>
      </c>
      <c r="G497" s="20" t="n">
        <v>939303</v>
      </c>
    </row>
    <row r="498" customFormat="false" ht="15" hidden="false" customHeight="false" outlineLevel="0" collapsed="false">
      <c r="A498" s="22" t="n">
        <v>46184</v>
      </c>
      <c r="B498" s="19" t="s">
        <v>50</v>
      </c>
      <c r="C498" s="19" t="s">
        <v>12</v>
      </c>
      <c r="D498" s="19" t="s">
        <v>31</v>
      </c>
      <c r="E498" s="19" t="s">
        <v>109</v>
      </c>
      <c r="F498" s="20" t="n">
        <v>94320</v>
      </c>
      <c r="G498" s="20" t="n">
        <v>431597</v>
      </c>
    </row>
    <row r="499" customFormat="false" ht="15" hidden="false" customHeight="false" outlineLevel="0" collapsed="false">
      <c r="A499" s="22" t="n">
        <v>46184</v>
      </c>
      <c r="B499" s="19" t="s">
        <v>50</v>
      </c>
      <c r="C499" s="19" t="s">
        <v>11</v>
      </c>
      <c r="D499" s="19" t="s">
        <v>24</v>
      </c>
      <c r="E499" s="19" t="s">
        <v>106</v>
      </c>
      <c r="F499" s="20" t="n">
        <v>58487</v>
      </c>
      <c r="G499" s="20" t="n">
        <v>0</v>
      </c>
    </row>
    <row r="500" customFormat="false" ht="15" hidden="false" customHeight="false" outlineLevel="0" collapsed="false">
      <c r="A500" s="22" t="n">
        <v>46184</v>
      </c>
      <c r="B500" s="19" t="s">
        <v>50</v>
      </c>
      <c r="C500" s="19" t="s">
        <v>11</v>
      </c>
      <c r="D500" s="19" t="s">
        <v>25</v>
      </c>
      <c r="E500" s="19" t="s">
        <v>105</v>
      </c>
      <c r="F500" s="20" t="n">
        <v>29921</v>
      </c>
      <c r="G500" s="20" t="n">
        <v>0</v>
      </c>
    </row>
    <row r="501" customFormat="false" ht="15" hidden="false" customHeight="false" outlineLevel="0" collapsed="false">
      <c r="A501" s="22" t="n">
        <v>46184</v>
      </c>
      <c r="B501" s="19" t="s">
        <v>50</v>
      </c>
      <c r="C501" s="19" t="s">
        <v>13</v>
      </c>
      <c r="D501" s="19" t="s">
        <v>43</v>
      </c>
      <c r="E501" s="19" t="s">
        <v>103</v>
      </c>
      <c r="F501" s="20" t="n">
        <v>35502</v>
      </c>
      <c r="G501" s="20" t="n">
        <v>190200</v>
      </c>
    </row>
    <row r="502" customFormat="false" ht="15" hidden="false" customHeight="false" outlineLevel="0" collapsed="false">
      <c r="A502" s="22" t="n">
        <v>46184</v>
      </c>
      <c r="B502" s="19" t="s">
        <v>50</v>
      </c>
      <c r="C502" s="19" t="s">
        <v>11</v>
      </c>
      <c r="D502" s="19" t="s">
        <v>26</v>
      </c>
      <c r="E502" s="19" t="s">
        <v>104</v>
      </c>
      <c r="F502" s="20" t="n">
        <v>18281</v>
      </c>
      <c r="G502" s="20" t="n">
        <v>0</v>
      </c>
    </row>
    <row r="503" customFormat="false" ht="15" hidden="false" customHeight="false" outlineLevel="0" collapsed="false">
      <c r="A503" s="22" t="n">
        <v>46185</v>
      </c>
      <c r="B503" s="19" t="s">
        <v>50</v>
      </c>
      <c r="C503" s="19" t="s">
        <v>15</v>
      </c>
      <c r="D503" s="19" t="s">
        <v>45</v>
      </c>
      <c r="E503" s="19" t="s">
        <v>97</v>
      </c>
      <c r="F503" s="20" t="n">
        <v>20753</v>
      </c>
      <c r="G503" s="20" t="n">
        <v>115000</v>
      </c>
    </row>
    <row r="504" customFormat="false" ht="15" hidden="false" customHeight="false" outlineLevel="0" collapsed="false">
      <c r="A504" s="22" t="n">
        <v>46185</v>
      </c>
      <c r="B504" s="19" t="s">
        <v>50</v>
      </c>
      <c r="C504" s="19" t="s">
        <v>11</v>
      </c>
      <c r="D504" s="19" t="s">
        <v>27</v>
      </c>
      <c r="E504" s="19" t="s">
        <v>63</v>
      </c>
      <c r="F504" s="20" t="n">
        <v>27386</v>
      </c>
      <c r="G504" s="20" t="n">
        <v>139968</v>
      </c>
    </row>
    <row r="505" customFormat="false" ht="15" hidden="false" customHeight="false" outlineLevel="0" collapsed="false">
      <c r="A505" s="22" t="n">
        <v>46185</v>
      </c>
      <c r="B505" s="19" t="s">
        <v>50</v>
      </c>
      <c r="C505" s="19" t="s">
        <v>11</v>
      </c>
      <c r="D505" s="19" t="s">
        <v>28</v>
      </c>
      <c r="E505" s="19" t="s">
        <v>98</v>
      </c>
      <c r="F505" s="20" t="n">
        <v>41315</v>
      </c>
      <c r="G505" s="20" t="n">
        <v>0</v>
      </c>
    </row>
    <row r="506" customFormat="false" ht="15" hidden="false" customHeight="false" outlineLevel="0" collapsed="false">
      <c r="A506" s="22" t="n">
        <v>46185</v>
      </c>
      <c r="B506" s="19" t="s">
        <v>50</v>
      </c>
      <c r="C506" s="19" t="s">
        <v>13</v>
      </c>
      <c r="D506" s="19" t="s">
        <v>44</v>
      </c>
      <c r="E506" s="19" t="s">
        <v>108</v>
      </c>
      <c r="F506" s="20" t="n">
        <v>816089</v>
      </c>
      <c r="G506" s="20" t="n">
        <v>4007772</v>
      </c>
    </row>
    <row r="507" customFormat="false" ht="15" hidden="false" customHeight="false" outlineLevel="0" collapsed="false">
      <c r="A507" s="22" t="n">
        <v>46185</v>
      </c>
      <c r="B507" s="19" t="s">
        <v>50</v>
      </c>
      <c r="C507" s="19" t="s">
        <v>12</v>
      </c>
      <c r="D507" s="19" t="s">
        <v>31</v>
      </c>
      <c r="E507" s="19" t="s">
        <v>109</v>
      </c>
      <c r="F507" s="20" t="n">
        <v>130941</v>
      </c>
      <c r="G507" s="20" t="n">
        <v>647076</v>
      </c>
    </row>
    <row r="508" customFormat="false" ht="15" hidden="false" customHeight="false" outlineLevel="0" collapsed="false">
      <c r="A508" s="22" t="n">
        <v>46185</v>
      </c>
      <c r="B508" s="19" t="s">
        <v>50</v>
      </c>
      <c r="C508" s="19" t="s">
        <v>11</v>
      </c>
      <c r="D508" s="19" t="s">
        <v>25</v>
      </c>
      <c r="E508" s="19" t="s">
        <v>105</v>
      </c>
      <c r="F508" s="20" t="n">
        <v>91593</v>
      </c>
      <c r="G508" s="20" t="n">
        <v>365999</v>
      </c>
    </row>
    <row r="509" customFormat="false" ht="15" hidden="false" customHeight="false" outlineLevel="0" collapsed="false">
      <c r="A509" s="22" t="n">
        <v>46185</v>
      </c>
      <c r="B509" s="19" t="s">
        <v>50</v>
      </c>
      <c r="C509" s="19" t="s">
        <v>11</v>
      </c>
      <c r="D509" s="19" t="s">
        <v>24</v>
      </c>
      <c r="E509" s="19" t="s">
        <v>106</v>
      </c>
      <c r="F509" s="20" t="n">
        <v>47312</v>
      </c>
      <c r="G509" s="20" t="n">
        <v>0</v>
      </c>
    </row>
    <row r="510" customFormat="false" ht="15" hidden="false" customHeight="false" outlineLevel="0" collapsed="false">
      <c r="A510" s="22" t="n">
        <v>46185</v>
      </c>
      <c r="B510" s="19" t="s">
        <v>50</v>
      </c>
      <c r="C510" s="19" t="s">
        <v>13</v>
      </c>
      <c r="D510" s="19" t="s">
        <v>41</v>
      </c>
      <c r="E510" s="19" t="s">
        <v>102</v>
      </c>
      <c r="F510" s="20" t="n">
        <v>96222</v>
      </c>
      <c r="G510" s="20" t="n">
        <v>496069</v>
      </c>
    </row>
    <row r="511" customFormat="false" ht="15" hidden="false" customHeight="false" outlineLevel="0" collapsed="false">
      <c r="A511" s="22" t="n">
        <v>46185</v>
      </c>
      <c r="B511" s="19" t="s">
        <v>50</v>
      </c>
      <c r="C511" s="19" t="s">
        <v>13</v>
      </c>
      <c r="D511" s="19" t="s">
        <v>43</v>
      </c>
      <c r="E511" s="19" t="s">
        <v>103</v>
      </c>
      <c r="F511" s="20" t="n">
        <v>33212</v>
      </c>
      <c r="G511" s="20" t="n">
        <v>0</v>
      </c>
    </row>
    <row r="512" customFormat="false" ht="15" hidden="false" customHeight="false" outlineLevel="0" collapsed="false">
      <c r="A512" s="22" t="n">
        <v>46185</v>
      </c>
      <c r="B512" s="19" t="s">
        <v>50</v>
      </c>
      <c r="C512" s="19" t="s">
        <v>11</v>
      </c>
      <c r="D512" s="19" t="s">
        <v>26</v>
      </c>
      <c r="E512" s="19" t="s">
        <v>104</v>
      </c>
      <c r="F512" s="20" t="n">
        <v>19268</v>
      </c>
      <c r="G512" s="20" t="n">
        <v>0</v>
      </c>
    </row>
    <row r="513" customFormat="false" ht="15" hidden="false" customHeight="false" outlineLevel="0" collapsed="false">
      <c r="A513" s="22" t="n">
        <v>46186</v>
      </c>
      <c r="B513" s="19" t="s">
        <v>50</v>
      </c>
      <c r="C513" s="19" t="s">
        <v>11</v>
      </c>
      <c r="D513" s="19" t="s">
        <v>28</v>
      </c>
      <c r="E513" s="19" t="s">
        <v>98</v>
      </c>
      <c r="F513" s="20" t="n">
        <v>69278</v>
      </c>
      <c r="G513" s="20" t="n">
        <v>345000</v>
      </c>
    </row>
    <row r="514" customFormat="false" ht="15" hidden="false" customHeight="false" outlineLevel="0" collapsed="false">
      <c r="A514" s="22" t="n">
        <v>46186</v>
      </c>
      <c r="B514" s="19" t="s">
        <v>50</v>
      </c>
      <c r="C514" s="19" t="s">
        <v>15</v>
      </c>
      <c r="D514" s="19" t="s">
        <v>45</v>
      </c>
      <c r="E514" s="19" t="s">
        <v>97</v>
      </c>
      <c r="F514" s="20" t="n">
        <v>26327</v>
      </c>
      <c r="G514" s="20" t="n">
        <v>106648</v>
      </c>
    </row>
    <row r="515" customFormat="false" ht="15" hidden="false" customHeight="false" outlineLevel="0" collapsed="false">
      <c r="A515" s="22" t="n">
        <v>46186</v>
      </c>
      <c r="B515" s="19" t="s">
        <v>50</v>
      </c>
      <c r="C515" s="19" t="s">
        <v>11</v>
      </c>
      <c r="D515" s="19" t="s">
        <v>27</v>
      </c>
      <c r="E515" s="19" t="s">
        <v>63</v>
      </c>
      <c r="F515" s="20" t="n">
        <v>8965</v>
      </c>
      <c r="G515" s="20" t="n">
        <v>39000</v>
      </c>
    </row>
    <row r="516" customFormat="false" ht="15" hidden="false" customHeight="false" outlineLevel="0" collapsed="false">
      <c r="A516" s="22" t="n">
        <v>46186</v>
      </c>
      <c r="B516" s="19" t="s">
        <v>50</v>
      </c>
      <c r="C516" s="19" t="s">
        <v>13</v>
      </c>
      <c r="D516" s="19" t="s">
        <v>44</v>
      </c>
      <c r="E516" s="19" t="s">
        <v>108</v>
      </c>
      <c r="F516" s="20" t="n">
        <v>711693</v>
      </c>
      <c r="G516" s="20" t="n">
        <v>3436336</v>
      </c>
    </row>
    <row r="517" customFormat="false" ht="15" hidden="false" customHeight="false" outlineLevel="0" collapsed="false">
      <c r="A517" s="22" t="n">
        <v>46186</v>
      </c>
      <c r="B517" s="19" t="s">
        <v>50</v>
      </c>
      <c r="C517" s="19" t="s">
        <v>11</v>
      </c>
      <c r="D517" s="19" t="s">
        <v>25</v>
      </c>
      <c r="E517" s="19" t="s">
        <v>105</v>
      </c>
      <c r="F517" s="20" t="n">
        <v>57799</v>
      </c>
      <c r="G517" s="20" t="n">
        <v>259700</v>
      </c>
    </row>
    <row r="518" customFormat="false" ht="15" hidden="false" customHeight="false" outlineLevel="0" collapsed="false">
      <c r="A518" s="22" t="n">
        <v>46186</v>
      </c>
      <c r="B518" s="19" t="s">
        <v>50</v>
      </c>
      <c r="C518" s="19" t="s">
        <v>11</v>
      </c>
      <c r="D518" s="19" t="s">
        <v>24</v>
      </c>
      <c r="E518" s="19" t="s">
        <v>106</v>
      </c>
      <c r="F518" s="20" t="n">
        <v>40915</v>
      </c>
      <c r="G518" s="20" t="n">
        <v>0</v>
      </c>
    </row>
    <row r="519" customFormat="false" ht="15" hidden="false" customHeight="false" outlineLevel="0" collapsed="false">
      <c r="A519" s="22" t="n">
        <v>46186</v>
      </c>
      <c r="B519" s="19" t="s">
        <v>50</v>
      </c>
      <c r="C519" s="19" t="s">
        <v>13</v>
      </c>
      <c r="D519" s="19" t="s">
        <v>43</v>
      </c>
      <c r="E519" s="19" t="s">
        <v>103</v>
      </c>
      <c r="F519" s="20" t="n">
        <v>54657</v>
      </c>
      <c r="G519" s="20" t="n">
        <v>314000</v>
      </c>
    </row>
    <row r="520" customFormat="false" ht="15" hidden="false" customHeight="false" outlineLevel="0" collapsed="false">
      <c r="A520" s="22" t="n">
        <v>46186</v>
      </c>
      <c r="B520" s="19" t="s">
        <v>50</v>
      </c>
      <c r="C520" s="19" t="s">
        <v>12</v>
      </c>
      <c r="D520" s="19" t="s">
        <v>31</v>
      </c>
      <c r="E520" s="19" t="s">
        <v>109</v>
      </c>
      <c r="F520" s="20" t="n">
        <v>66026</v>
      </c>
      <c r="G520" s="20" t="n">
        <v>0</v>
      </c>
    </row>
    <row r="521" customFormat="false" ht="15" hidden="false" customHeight="false" outlineLevel="0" collapsed="false">
      <c r="A521" s="22" t="n">
        <v>46186</v>
      </c>
      <c r="B521" s="19" t="s">
        <v>50</v>
      </c>
      <c r="C521" s="19" t="s">
        <v>11</v>
      </c>
      <c r="D521" s="19" t="s">
        <v>26</v>
      </c>
      <c r="E521" s="19" t="s">
        <v>104</v>
      </c>
      <c r="F521" s="20" t="n">
        <v>20806</v>
      </c>
      <c r="G521" s="20" t="n">
        <v>0</v>
      </c>
    </row>
    <row r="522" customFormat="false" ht="15" hidden="false" customHeight="false" outlineLevel="0" collapsed="false">
      <c r="A522" s="22" t="n">
        <v>46186</v>
      </c>
      <c r="B522" s="19" t="s">
        <v>50</v>
      </c>
      <c r="C522" s="19" t="s">
        <v>13</v>
      </c>
      <c r="D522" s="19" t="s">
        <v>41</v>
      </c>
      <c r="E522" s="19" t="s">
        <v>102</v>
      </c>
      <c r="F522" s="20" t="n">
        <v>25019</v>
      </c>
      <c r="G522" s="20" t="n">
        <v>0</v>
      </c>
    </row>
    <row r="523" customFormat="false" ht="15" hidden="false" customHeight="false" outlineLevel="0" collapsed="false">
      <c r="A523" s="22" t="n">
        <v>46187</v>
      </c>
      <c r="B523" s="19" t="s">
        <v>50</v>
      </c>
      <c r="C523" s="19" t="s">
        <v>11</v>
      </c>
      <c r="D523" s="19" t="s">
        <v>27</v>
      </c>
      <c r="E523" s="19" t="s">
        <v>63</v>
      </c>
      <c r="F523" s="20" t="n">
        <v>9148</v>
      </c>
      <c r="G523" s="20" t="n">
        <v>39000</v>
      </c>
    </row>
    <row r="524" customFormat="false" ht="15" hidden="false" customHeight="false" outlineLevel="0" collapsed="false">
      <c r="A524" s="22" t="n">
        <v>46187</v>
      </c>
      <c r="B524" s="19" t="s">
        <v>50</v>
      </c>
      <c r="C524" s="19" t="s">
        <v>15</v>
      </c>
      <c r="D524" s="19" t="s">
        <v>45</v>
      </c>
      <c r="E524" s="19" t="s">
        <v>97</v>
      </c>
      <c r="F524" s="20" t="n">
        <v>9146</v>
      </c>
      <c r="G524" s="20" t="n">
        <v>0</v>
      </c>
    </row>
    <row r="525" customFormat="false" ht="15" hidden="false" customHeight="false" outlineLevel="0" collapsed="false">
      <c r="A525" s="22" t="n">
        <v>46187</v>
      </c>
      <c r="B525" s="19" t="s">
        <v>50</v>
      </c>
      <c r="C525" s="19" t="s">
        <v>11</v>
      </c>
      <c r="D525" s="19" t="s">
        <v>28</v>
      </c>
      <c r="E525" s="19" t="s">
        <v>98</v>
      </c>
      <c r="F525" s="20" t="n">
        <v>12819</v>
      </c>
      <c r="G525" s="20" t="n">
        <v>0</v>
      </c>
    </row>
    <row r="526" customFormat="false" ht="15" hidden="false" customHeight="false" outlineLevel="0" collapsed="false">
      <c r="A526" s="22" t="n">
        <v>46187</v>
      </c>
      <c r="B526" s="19" t="s">
        <v>50</v>
      </c>
      <c r="C526" s="19" t="s">
        <v>12</v>
      </c>
      <c r="D526" s="19" t="s">
        <v>31</v>
      </c>
      <c r="E526" s="19" t="s">
        <v>109</v>
      </c>
      <c r="F526" s="20" t="n">
        <v>600000</v>
      </c>
      <c r="G526" s="20" t="n">
        <v>3703938</v>
      </c>
    </row>
    <row r="527" customFormat="false" ht="15" hidden="false" customHeight="false" outlineLevel="0" collapsed="false">
      <c r="A527" s="22" t="n">
        <v>46187</v>
      </c>
      <c r="B527" s="19" t="s">
        <v>50</v>
      </c>
      <c r="C527" s="19" t="s">
        <v>13</v>
      </c>
      <c r="D527" s="19" t="s">
        <v>44</v>
      </c>
      <c r="E527" s="19" t="s">
        <v>108</v>
      </c>
      <c r="F527" s="20" t="n">
        <v>112943</v>
      </c>
      <c r="G527" s="20" t="n">
        <v>428000</v>
      </c>
    </row>
    <row r="528" customFormat="false" ht="15" hidden="false" customHeight="false" outlineLevel="0" collapsed="false">
      <c r="A528" s="22" t="n">
        <v>46187</v>
      </c>
      <c r="B528" s="19" t="s">
        <v>50</v>
      </c>
      <c r="C528" s="19" t="s">
        <v>11</v>
      </c>
      <c r="D528" s="19" t="s">
        <v>25</v>
      </c>
      <c r="E528" s="19" t="s">
        <v>105</v>
      </c>
      <c r="F528" s="20" t="n">
        <v>42449</v>
      </c>
      <c r="G528" s="20" t="n">
        <v>241001</v>
      </c>
    </row>
    <row r="529" customFormat="false" ht="15" hidden="false" customHeight="false" outlineLevel="0" collapsed="false">
      <c r="A529" s="22" t="n">
        <v>46187</v>
      </c>
      <c r="B529" s="19" t="s">
        <v>50</v>
      </c>
      <c r="C529" s="19" t="s">
        <v>11</v>
      </c>
      <c r="D529" s="19" t="s">
        <v>24</v>
      </c>
      <c r="E529" s="19" t="s">
        <v>106</v>
      </c>
      <c r="F529" s="20" t="n">
        <v>32431</v>
      </c>
      <c r="G529" s="20" t="n">
        <v>0</v>
      </c>
    </row>
    <row r="530" customFormat="false" ht="15" hidden="false" customHeight="false" outlineLevel="0" collapsed="false">
      <c r="A530" s="22" t="n">
        <v>46187</v>
      </c>
      <c r="B530" s="19" t="s">
        <v>50</v>
      </c>
      <c r="C530" s="19" t="s">
        <v>11</v>
      </c>
      <c r="D530" s="19" t="s">
        <v>26</v>
      </c>
      <c r="E530" s="19" t="s">
        <v>104</v>
      </c>
      <c r="F530" s="20" t="n">
        <v>14350</v>
      </c>
      <c r="G530" s="20" t="n">
        <v>0</v>
      </c>
    </row>
    <row r="531" customFormat="false" ht="15" hidden="false" customHeight="false" outlineLevel="0" collapsed="false">
      <c r="A531" s="22" t="n">
        <v>46187</v>
      </c>
      <c r="B531" s="19" t="s">
        <v>50</v>
      </c>
      <c r="C531" s="19" t="s">
        <v>13</v>
      </c>
      <c r="D531" s="19" t="s">
        <v>41</v>
      </c>
      <c r="E531" s="19" t="s">
        <v>102</v>
      </c>
      <c r="F531" s="20" t="n">
        <v>8806</v>
      </c>
      <c r="G531" s="20" t="n">
        <v>0</v>
      </c>
    </row>
    <row r="532" customFormat="false" ht="15" hidden="false" customHeight="false" outlineLevel="0" collapsed="false">
      <c r="A532" s="22" t="n">
        <v>46187</v>
      </c>
      <c r="B532" s="19" t="s">
        <v>50</v>
      </c>
      <c r="C532" s="19" t="s">
        <v>13</v>
      </c>
      <c r="D532" s="19" t="s">
        <v>43</v>
      </c>
      <c r="E532" s="19" t="s">
        <v>103</v>
      </c>
      <c r="F532" s="20" t="n">
        <v>2277</v>
      </c>
      <c r="G532" s="20" t="n">
        <v>0</v>
      </c>
    </row>
    <row r="533" customFormat="false" ht="15" hidden="false" customHeight="false" outlineLevel="0" collapsed="false">
      <c r="A533" s="22" t="n">
        <v>46188</v>
      </c>
      <c r="B533" s="19" t="s">
        <v>50</v>
      </c>
      <c r="C533" s="19" t="s">
        <v>15</v>
      </c>
      <c r="D533" s="19" t="s">
        <v>45</v>
      </c>
      <c r="E533" s="19" t="s">
        <v>97</v>
      </c>
      <c r="F533" s="20" t="n">
        <v>92294</v>
      </c>
      <c r="G533" s="20" t="n">
        <v>423236</v>
      </c>
    </row>
    <row r="534" customFormat="false" ht="15" hidden="false" customHeight="false" outlineLevel="0" collapsed="false">
      <c r="A534" s="22" t="n">
        <v>46188</v>
      </c>
      <c r="B534" s="19" t="s">
        <v>50</v>
      </c>
      <c r="C534" s="19" t="s">
        <v>12</v>
      </c>
      <c r="D534" s="19" t="s">
        <v>34</v>
      </c>
      <c r="E534" s="19" t="s">
        <v>112</v>
      </c>
      <c r="F534" s="20" t="n">
        <v>41287</v>
      </c>
      <c r="G534" s="20" t="n">
        <v>242714</v>
      </c>
    </row>
    <row r="535" customFormat="false" ht="15" hidden="false" customHeight="false" outlineLevel="0" collapsed="false">
      <c r="A535" s="22" t="n">
        <v>46188</v>
      </c>
      <c r="B535" s="19" t="s">
        <v>50</v>
      </c>
      <c r="C535" s="19" t="s">
        <v>11</v>
      </c>
      <c r="D535" s="19" t="s">
        <v>28</v>
      </c>
      <c r="E535" s="19" t="s">
        <v>98</v>
      </c>
      <c r="F535" s="20" t="n">
        <v>30660</v>
      </c>
      <c r="G535" s="20" t="n">
        <v>115000</v>
      </c>
    </row>
    <row r="536" customFormat="false" ht="15" hidden="false" customHeight="false" outlineLevel="0" collapsed="false">
      <c r="A536" s="22" t="n">
        <v>46188</v>
      </c>
      <c r="B536" s="19" t="s">
        <v>50</v>
      </c>
      <c r="C536" s="19" t="s">
        <v>11</v>
      </c>
      <c r="D536" s="19" t="s">
        <v>27</v>
      </c>
      <c r="E536" s="19" t="s">
        <v>63</v>
      </c>
      <c r="F536" s="20" t="n">
        <v>6209</v>
      </c>
      <c r="G536" s="20" t="n">
        <v>0</v>
      </c>
    </row>
    <row r="537" customFormat="false" ht="15" hidden="false" customHeight="false" outlineLevel="0" collapsed="false">
      <c r="A537" s="22" t="n">
        <v>46188</v>
      </c>
      <c r="B537" s="19" t="s">
        <v>50</v>
      </c>
      <c r="C537" s="19" t="s">
        <v>13</v>
      </c>
      <c r="D537" s="19" t="s">
        <v>44</v>
      </c>
      <c r="E537" s="19" t="s">
        <v>108</v>
      </c>
      <c r="F537" s="20" t="n">
        <v>800000</v>
      </c>
      <c r="G537" s="20" t="n">
        <v>4072603</v>
      </c>
    </row>
    <row r="538" customFormat="false" ht="15" hidden="false" customHeight="false" outlineLevel="0" collapsed="false">
      <c r="A538" s="22" t="n">
        <v>46188</v>
      </c>
      <c r="B538" s="19" t="s">
        <v>50</v>
      </c>
      <c r="C538" s="19" t="s">
        <v>12</v>
      </c>
      <c r="D538" s="19" t="s">
        <v>31</v>
      </c>
      <c r="E538" s="19" t="s">
        <v>109</v>
      </c>
      <c r="F538" s="20" t="n">
        <v>275567</v>
      </c>
      <c r="G538" s="20" t="n">
        <v>556568</v>
      </c>
    </row>
    <row r="539" customFormat="false" ht="15" hidden="false" customHeight="false" outlineLevel="0" collapsed="false">
      <c r="A539" s="22" t="n">
        <v>46188</v>
      </c>
      <c r="B539" s="19" t="s">
        <v>50</v>
      </c>
      <c r="C539" s="19" t="s">
        <v>13</v>
      </c>
      <c r="D539" s="19" t="s">
        <v>41</v>
      </c>
      <c r="E539" s="19" t="s">
        <v>102</v>
      </c>
      <c r="F539" s="20" t="n">
        <v>135472</v>
      </c>
      <c r="G539" s="20" t="n">
        <v>659343</v>
      </c>
    </row>
    <row r="540" customFormat="false" ht="15" hidden="false" customHeight="false" outlineLevel="0" collapsed="false">
      <c r="A540" s="22" t="n">
        <v>46188</v>
      </c>
      <c r="B540" s="19" t="s">
        <v>50</v>
      </c>
      <c r="C540" s="19" t="s">
        <v>12</v>
      </c>
      <c r="D540" s="19" t="s">
        <v>31</v>
      </c>
      <c r="E540" s="19" t="s">
        <v>113</v>
      </c>
      <c r="F540" s="20" t="n">
        <v>70720</v>
      </c>
      <c r="G540" s="20" t="n">
        <v>270138</v>
      </c>
    </row>
    <row r="541" customFormat="false" ht="15" hidden="false" customHeight="false" outlineLevel="0" collapsed="false">
      <c r="A541" s="22" t="n">
        <v>46188</v>
      </c>
      <c r="B541" s="19" t="s">
        <v>50</v>
      </c>
      <c r="C541" s="19" t="s">
        <v>11</v>
      </c>
      <c r="D541" s="19" t="s">
        <v>25</v>
      </c>
      <c r="E541" s="19" t="s">
        <v>105</v>
      </c>
      <c r="F541" s="20" t="n">
        <v>47129</v>
      </c>
      <c r="G541" s="20" t="n">
        <v>0</v>
      </c>
    </row>
    <row r="542" customFormat="false" ht="15" hidden="false" customHeight="false" outlineLevel="0" collapsed="false">
      <c r="A542" s="22" t="n">
        <v>46188</v>
      </c>
      <c r="B542" s="19" t="s">
        <v>50</v>
      </c>
      <c r="C542" s="19" t="s">
        <v>14</v>
      </c>
      <c r="D542" s="19" t="s">
        <v>38</v>
      </c>
      <c r="E542" s="19" t="s">
        <v>114</v>
      </c>
      <c r="F542" s="20" t="n">
        <v>44032</v>
      </c>
      <c r="G542" s="20" t="n">
        <v>0</v>
      </c>
    </row>
    <row r="543" customFormat="false" ht="15" hidden="false" customHeight="false" outlineLevel="0" collapsed="false">
      <c r="A543" s="22" t="n">
        <v>46188</v>
      </c>
      <c r="B543" s="19" t="s">
        <v>50</v>
      </c>
      <c r="C543" s="19" t="s">
        <v>11</v>
      </c>
      <c r="D543" s="19" t="s">
        <v>24</v>
      </c>
      <c r="E543" s="19" t="s">
        <v>106</v>
      </c>
      <c r="F543" s="20" t="n">
        <v>20273</v>
      </c>
      <c r="G543" s="20" t="n">
        <v>0</v>
      </c>
    </row>
    <row r="544" customFormat="false" ht="15" hidden="false" customHeight="false" outlineLevel="0" collapsed="false">
      <c r="A544" s="22" t="n">
        <v>46188</v>
      </c>
      <c r="B544" s="19" t="s">
        <v>50</v>
      </c>
      <c r="C544" s="19" t="s">
        <v>13</v>
      </c>
      <c r="D544" s="19" t="s">
        <v>43</v>
      </c>
      <c r="E544" s="19" t="s">
        <v>103</v>
      </c>
      <c r="F544" s="20" t="n">
        <v>11692</v>
      </c>
      <c r="G544" s="20" t="n">
        <v>0</v>
      </c>
    </row>
    <row r="545" customFormat="false" ht="15" hidden="false" customHeight="false" outlineLevel="0" collapsed="false">
      <c r="A545" s="22" t="n">
        <v>46188</v>
      </c>
      <c r="B545" s="19" t="s">
        <v>50</v>
      </c>
      <c r="C545" s="19" t="s">
        <v>11</v>
      </c>
      <c r="D545" s="19" t="s">
        <v>26</v>
      </c>
      <c r="E545" s="19" t="s">
        <v>104</v>
      </c>
      <c r="F545" s="20" t="n">
        <v>17610</v>
      </c>
      <c r="G545" s="20" t="n">
        <v>0</v>
      </c>
    </row>
    <row r="546" customFormat="false" ht="15" hidden="false" customHeight="false" outlineLevel="0" collapsed="false">
      <c r="A546" s="22" t="n">
        <v>46188</v>
      </c>
      <c r="B546" s="19" t="s">
        <v>50</v>
      </c>
      <c r="C546" s="19" t="s">
        <v>14</v>
      </c>
      <c r="D546" s="19" t="s">
        <v>40</v>
      </c>
      <c r="E546" s="19" t="s">
        <v>115</v>
      </c>
      <c r="F546" s="20" t="n">
        <v>6903</v>
      </c>
      <c r="G546" s="20" t="n">
        <v>0</v>
      </c>
    </row>
    <row r="547" customFormat="false" ht="15" hidden="false" customHeight="false" outlineLevel="0" collapsed="false">
      <c r="A547" s="22" t="n">
        <v>46188</v>
      </c>
      <c r="B547" s="19" t="s">
        <v>50</v>
      </c>
      <c r="C547" s="19" t="s">
        <v>14</v>
      </c>
      <c r="D547" s="19" t="s">
        <v>39</v>
      </c>
      <c r="E547" s="19" t="s">
        <v>116</v>
      </c>
      <c r="F547" s="20" t="n">
        <v>3116</v>
      </c>
      <c r="G547" s="20" t="n">
        <v>0</v>
      </c>
    </row>
    <row r="548" customFormat="false" ht="15" hidden="false" customHeight="false" outlineLevel="0" collapsed="false">
      <c r="A548" s="22" t="n">
        <v>46189</v>
      </c>
      <c r="B548" s="19" t="s">
        <v>50</v>
      </c>
      <c r="C548" s="19" t="s">
        <v>12</v>
      </c>
      <c r="D548" s="19" t="s">
        <v>34</v>
      </c>
      <c r="E548" s="19" t="s">
        <v>112</v>
      </c>
      <c r="F548" s="20" t="n">
        <v>26088</v>
      </c>
      <c r="G548" s="20" t="n">
        <v>130000</v>
      </c>
    </row>
    <row r="549" customFormat="false" ht="15" hidden="false" customHeight="false" outlineLevel="0" collapsed="false">
      <c r="A549" s="22" t="n">
        <v>46189</v>
      </c>
      <c r="B549" s="19" t="s">
        <v>50</v>
      </c>
      <c r="C549" s="19" t="s">
        <v>11</v>
      </c>
      <c r="D549" s="19" t="s">
        <v>27</v>
      </c>
      <c r="E549" s="19" t="s">
        <v>63</v>
      </c>
      <c r="F549" s="20" t="n">
        <v>74117</v>
      </c>
      <c r="G549" s="20" t="n">
        <v>389363</v>
      </c>
    </row>
    <row r="550" customFormat="false" ht="15" hidden="false" customHeight="false" outlineLevel="0" collapsed="false">
      <c r="A550" s="22" t="n">
        <v>46189</v>
      </c>
      <c r="B550" s="19" t="s">
        <v>50</v>
      </c>
      <c r="C550" s="19" t="s">
        <v>11</v>
      </c>
      <c r="D550" s="19" t="s">
        <v>28</v>
      </c>
      <c r="E550" s="19" t="s">
        <v>98</v>
      </c>
      <c r="F550" s="20" t="n">
        <v>45434</v>
      </c>
      <c r="G550" s="20" t="n">
        <v>115000</v>
      </c>
    </row>
    <row r="551" customFormat="false" ht="15" hidden="false" customHeight="false" outlineLevel="0" collapsed="false">
      <c r="A551" s="22" t="n">
        <v>46189</v>
      </c>
      <c r="B551" s="19" t="s">
        <v>50</v>
      </c>
      <c r="C551" s="19" t="s">
        <v>15</v>
      </c>
      <c r="D551" s="19" t="s">
        <v>45</v>
      </c>
      <c r="E551" s="19" t="s">
        <v>97</v>
      </c>
      <c r="F551" s="20" t="n">
        <v>10214</v>
      </c>
      <c r="G551" s="20" t="n">
        <v>0</v>
      </c>
    </row>
    <row r="552" customFormat="false" ht="15" hidden="false" customHeight="false" outlineLevel="0" collapsed="false">
      <c r="A552" s="22" t="n">
        <v>46189</v>
      </c>
      <c r="B552" s="19" t="s">
        <v>50</v>
      </c>
      <c r="C552" s="19" t="s">
        <v>13</v>
      </c>
      <c r="D552" s="19" t="s">
        <v>44</v>
      </c>
      <c r="E552" s="19" t="s">
        <v>117</v>
      </c>
      <c r="F552" s="20" t="n">
        <v>549667</v>
      </c>
      <c r="G552" s="20" t="n">
        <v>2722512</v>
      </c>
    </row>
    <row r="553" customFormat="false" ht="15" hidden="false" customHeight="false" outlineLevel="0" collapsed="false">
      <c r="A553" s="22" t="n">
        <v>46189</v>
      </c>
      <c r="B553" s="19" t="s">
        <v>50</v>
      </c>
      <c r="C553" s="19" t="s">
        <v>12</v>
      </c>
      <c r="D553" s="19" t="s">
        <v>31</v>
      </c>
      <c r="E553" s="19" t="s">
        <v>113</v>
      </c>
      <c r="F553" s="20" t="n">
        <v>280029</v>
      </c>
      <c r="G553" s="20" t="n">
        <v>1477980</v>
      </c>
    </row>
    <row r="554" customFormat="false" ht="15" hidden="false" customHeight="false" outlineLevel="0" collapsed="false">
      <c r="A554" s="22" t="n">
        <v>46189</v>
      </c>
      <c r="B554" s="19" t="s">
        <v>50</v>
      </c>
      <c r="C554" s="19" t="s">
        <v>13</v>
      </c>
      <c r="D554" s="19" t="s">
        <v>44</v>
      </c>
      <c r="E554" s="19" t="s">
        <v>108</v>
      </c>
      <c r="F554" s="20" t="n">
        <v>203794</v>
      </c>
      <c r="G554" s="20" t="n">
        <v>368951</v>
      </c>
    </row>
    <row r="555" customFormat="false" ht="15" hidden="false" customHeight="false" outlineLevel="0" collapsed="false">
      <c r="A555" s="22" t="n">
        <v>46189</v>
      </c>
      <c r="B555" s="19" t="s">
        <v>50</v>
      </c>
      <c r="C555" s="19" t="s">
        <v>14</v>
      </c>
      <c r="D555" s="19" t="s">
        <v>38</v>
      </c>
      <c r="E555" s="19" t="s">
        <v>114</v>
      </c>
      <c r="F555" s="20" t="n">
        <v>25554</v>
      </c>
      <c r="G555" s="20" t="n">
        <v>79000</v>
      </c>
    </row>
    <row r="556" customFormat="false" ht="15" hidden="false" customHeight="false" outlineLevel="0" collapsed="false">
      <c r="A556" s="22" t="n">
        <v>46189</v>
      </c>
      <c r="B556" s="19" t="s">
        <v>50</v>
      </c>
      <c r="C556" s="19" t="s">
        <v>13</v>
      </c>
      <c r="D556" s="19" t="s">
        <v>41</v>
      </c>
      <c r="E556" s="19" t="s">
        <v>102</v>
      </c>
      <c r="F556" s="20" t="n">
        <v>73429</v>
      </c>
      <c r="G556" s="20" t="n">
        <v>187207</v>
      </c>
    </row>
    <row r="557" customFormat="false" ht="15" hidden="false" customHeight="false" outlineLevel="0" collapsed="false">
      <c r="A557" s="22" t="n">
        <v>46189</v>
      </c>
      <c r="B557" s="19" t="s">
        <v>50</v>
      </c>
      <c r="C557" s="19" t="s">
        <v>14</v>
      </c>
      <c r="D557" s="19" t="s">
        <v>40</v>
      </c>
      <c r="E557" s="19" t="s">
        <v>115</v>
      </c>
      <c r="F557" s="20" t="n">
        <v>16634</v>
      </c>
      <c r="G557" s="20" t="n">
        <v>0</v>
      </c>
    </row>
    <row r="558" customFormat="false" ht="15" hidden="false" customHeight="false" outlineLevel="0" collapsed="false">
      <c r="A558" s="22" t="n">
        <v>46189</v>
      </c>
      <c r="B558" s="19" t="s">
        <v>50</v>
      </c>
      <c r="C558" s="19" t="s">
        <v>13</v>
      </c>
      <c r="D558" s="19" t="s">
        <v>43</v>
      </c>
      <c r="E558" s="19" t="s">
        <v>103</v>
      </c>
      <c r="F558" s="20" t="n">
        <v>4866</v>
      </c>
      <c r="G558" s="20" t="n">
        <v>0</v>
      </c>
    </row>
    <row r="559" customFormat="false" ht="15" hidden="false" customHeight="false" outlineLevel="0" collapsed="false">
      <c r="A559" s="22" t="n">
        <v>46189</v>
      </c>
      <c r="B559" s="19" t="s">
        <v>50</v>
      </c>
      <c r="C559" s="19" t="s">
        <v>14</v>
      </c>
      <c r="D559" s="19" t="s">
        <v>39</v>
      </c>
      <c r="E559" s="19" t="s">
        <v>116</v>
      </c>
      <c r="F559" s="20" t="n">
        <v>5734</v>
      </c>
      <c r="G559" s="20" t="n">
        <v>0</v>
      </c>
    </row>
    <row r="560" customFormat="false" ht="15" hidden="false" customHeight="false" outlineLevel="0" collapsed="false">
      <c r="A560" s="22" t="n">
        <v>46190</v>
      </c>
      <c r="B560" s="19" t="s">
        <v>50</v>
      </c>
      <c r="C560" s="19" t="s">
        <v>12</v>
      </c>
      <c r="D560" s="19" t="s">
        <v>34</v>
      </c>
      <c r="E560" s="19" t="s">
        <v>112</v>
      </c>
      <c r="F560" s="20" t="n">
        <v>52697</v>
      </c>
      <c r="G560" s="20" t="n">
        <v>235200</v>
      </c>
    </row>
    <row r="561" customFormat="false" ht="15" hidden="false" customHeight="false" outlineLevel="0" collapsed="false">
      <c r="A561" s="22" t="n">
        <v>46190</v>
      </c>
      <c r="B561" s="19" t="s">
        <v>50</v>
      </c>
      <c r="C561" s="19" t="s">
        <v>11</v>
      </c>
      <c r="D561" s="19" t="s">
        <v>27</v>
      </c>
      <c r="E561" s="19" t="s">
        <v>63</v>
      </c>
      <c r="F561" s="20" t="n">
        <v>18713</v>
      </c>
      <c r="G561" s="20" t="n">
        <v>76659</v>
      </c>
    </row>
    <row r="562" customFormat="false" ht="15" hidden="false" customHeight="false" outlineLevel="0" collapsed="false">
      <c r="A562" s="22" t="n">
        <v>46190</v>
      </c>
      <c r="B562" s="19" t="s">
        <v>50</v>
      </c>
      <c r="C562" s="19" t="s">
        <v>15</v>
      </c>
      <c r="D562" s="19" t="s">
        <v>45</v>
      </c>
      <c r="E562" s="19" t="s">
        <v>97</v>
      </c>
      <c r="F562" s="20" t="n">
        <v>16224</v>
      </c>
      <c r="G562" s="20" t="n">
        <v>0</v>
      </c>
    </row>
    <row r="563" customFormat="false" ht="15" hidden="false" customHeight="false" outlineLevel="0" collapsed="false">
      <c r="A563" s="22" t="n">
        <v>46190</v>
      </c>
      <c r="B563" s="19" t="s">
        <v>50</v>
      </c>
      <c r="C563" s="19" t="s">
        <v>11</v>
      </c>
      <c r="D563" s="19" t="s">
        <v>28</v>
      </c>
      <c r="E563" s="19" t="s">
        <v>98</v>
      </c>
      <c r="F563" s="20" t="n">
        <v>16515</v>
      </c>
      <c r="G563" s="20" t="n">
        <v>0</v>
      </c>
    </row>
    <row r="564" customFormat="false" ht="15" hidden="false" customHeight="false" outlineLevel="0" collapsed="false">
      <c r="A564" s="22" t="n">
        <v>46190</v>
      </c>
      <c r="B564" s="19" t="s">
        <v>50</v>
      </c>
      <c r="C564" s="19" t="s">
        <v>13</v>
      </c>
      <c r="D564" s="19" t="s">
        <v>44</v>
      </c>
      <c r="E564" s="19" t="s">
        <v>117</v>
      </c>
      <c r="F564" s="20" t="n">
        <v>850000</v>
      </c>
      <c r="G564" s="20" t="n">
        <v>4807376</v>
      </c>
    </row>
    <row r="565" customFormat="false" ht="15" hidden="false" customHeight="false" outlineLevel="0" collapsed="false">
      <c r="A565" s="22" t="n">
        <v>46190</v>
      </c>
      <c r="B565" s="19" t="s">
        <v>50</v>
      </c>
      <c r="C565" s="19" t="s">
        <v>12</v>
      </c>
      <c r="D565" s="19" t="s">
        <v>31</v>
      </c>
      <c r="E565" s="19" t="s">
        <v>113</v>
      </c>
      <c r="F565" s="20" t="n">
        <v>400000</v>
      </c>
      <c r="G565" s="20" t="n">
        <v>2624267</v>
      </c>
    </row>
    <row r="566" customFormat="false" ht="15" hidden="false" customHeight="false" outlineLevel="0" collapsed="false">
      <c r="A566" s="22" t="n">
        <v>46190</v>
      </c>
      <c r="B566" s="19" t="s">
        <v>50</v>
      </c>
      <c r="C566" s="19" t="s">
        <v>13</v>
      </c>
      <c r="D566" s="19" t="s">
        <v>43</v>
      </c>
      <c r="E566" s="19" t="s">
        <v>103</v>
      </c>
      <c r="F566" s="20" t="n">
        <v>25037</v>
      </c>
      <c r="G566" s="20" t="n">
        <v>127980</v>
      </c>
    </row>
    <row r="567" customFormat="false" ht="15" hidden="false" customHeight="false" outlineLevel="0" collapsed="false">
      <c r="A567" s="22" t="n">
        <v>46190</v>
      </c>
      <c r="B567" s="19" t="s">
        <v>50</v>
      </c>
      <c r="C567" s="19" t="s">
        <v>14</v>
      </c>
      <c r="D567" s="19" t="s">
        <v>38</v>
      </c>
      <c r="E567" s="19" t="s">
        <v>114</v>
      </c>
      <c r="F567" s="20" t="n">
        <v>15629</v>
      </c>
      <c r="G567" s="20" t="n">
        <v>0</v>
      </c>
    </row>
    <row r="568" customFormat="false" ht="15" hidden="false" customHeight="false" outlineLevel="0" collapsed="false">
      <c r="A568" s="22" t="n">
        <v>46190</v>
      </c>
      <c r="B568" s="19" t="s">
        <v>50</v>
      </c>
      <c r="C568" s="19" t="s">
        <v>13</v>
      </c>
      <c r="D568" s="19" t="s">
        <v>41</v>
      </c>
      <c r="E568" s="19" t="s">
        <v>102</v>
      </c>
      <c r="F568" s="20" t="n">
        <v>15663</v>
      </c>
      <c r="G568" s="20" t="n">
        <v>0</v>
      </c>
    </row>
    <row r="569" customFormat="false" ht="15" hidden="false" customHeight="false" outlineLevel="0" collapsed="false">
      <c r="A569" s="22" t="n">
        <v>46190</v>
      </c>
      <c r="B569" s="19" t="s">
        <v>50</v>
      </c>
      <c r="C569" s="19" t="s">
        <v>14</v>
      </c>
      <c r="D569" s="19" t="s">
        <v>39</v>
      </c>
      <c r="E569" s="19" t="s">
        <v>116</v>
      </c>
      <c r="F569" s="20" t="n">
        <v>3312</v>
      </c>
      <c r="G569" s="20" t="n">
        <v>0</v>
      </c>
    </row>
    <row r="570" customFormat="false" ht="15" hidden="false" customHeight="false" outlineLevel="0" collapsed="false">
      <c r="A570" s="22" t="n">
        <v>46190</v>
      </c>
      <c r="B570" s="19" t="s">
        <v>50</v>
      </c>
      <c r="C570" s="19" t="s">
        <v>14</v>
      </c>
      <c r="D570" s="19" t="s">
        <v>40</v>
      </c>
      <c r="E570" s="19" t="s">
        <v>115</v>
      </c>
      <c r="F570" s="20" t="n">
        <v>13530</v>
      </c>
      <c r="G570" s="20" t="n">
        <v>79000</v>
      </c>
    </row>
    <row r="571" customFormat="false" ht="15" hidden="false" customHeight="false" outlineLevel="0" collapsed="false">
      <c r="A571" s="22" t="n">
        <v>46191</v>
      </c>
      <c r="B571" s="19" t="s">
        <v>50</v>
      </c>
      <c r="C571" s="19" t="s">
        <v>12</v>
      </c>
      <c r="D571" s="19" t="s">
        <v>31</v>
      </c>
      <c r="E571" s="19" t="s">
        <v>118</v>
      </c>
      <c r="F571" s="20" t="n">
        <v>233742</v>
      </c>
      <c r="G571" s="20" t="n">
        <v>1280659</v>
      </c>
    </row>
    <row r="572" customFormat="false" ht="15" hidden="false" customHeight="false" outlineLevel="0" collapsed="false">
      <c r="A572" s="22" t="n">
        <v>46191</v>
      </c>
      <c r="B572" s="19" t="s">
        <v>50</v>
      </c>
      <c r="C572" s="19" t="s">
        <v>12</v>
      </c>
      <c r="D572" s="19" t="s">
        <v>34</v>
      </c>
      <c r="E572" s="19" t="s">
        <v>112</v>
      </c>
      <c r="F572" s="20" t="n">
        <v>23848</v>
      </c>
      <c r="G572" s="20" t="n">
        <v>0</v>
      </c>
    </row>
    <row r="573" customFormat="false" ht="15" hidden="false" customHeight="false" outlineLevel="0" collapsed="false">
      <c r="A573" s="22" t="n">
        <v>46191</v>
      </c>
      <c r="B573" s="19" t="s">
        <v>50</v>
      </c>
      <c r="C573" s="19" t="s">
        <v>11</v>
      </c>
      <c r="D573" s="19" t="s">
        <v>27</v>
      </c>
      <c r="E573" s="19" t="s">
        <v>63</v>
      </c>
      <c r="F573" s="20" t="n">
        <v>16533</v>
      </c>
      <c r="G573" s="20" t="n">
        <v>78000</v>
      </c>
    </row>
    <row r="574" customFormat="false" ht="15" hidden="false" customHeight="false" outlineLevel="0" collapsed="false">
      <c r="A574" s="22" t="n">
        <v>46191</v>
      </c>
      <c r="B574" s="19" t="s">
        <v>50</v>
      </c>
      <c r="C574" s="19" t="s">
        <v>15</v>
      </c>
      <c r="D574" s="19" t="s">
        <v>45</v>
      </c>
      <c r="E574" s="19" t="s">
        <v>97</v>
      </c>
      <c r="F574" s="20" t="n">
        <v>7673</v>
      </c>
      <c r="G574" s="20" t="n">
        <v>0</v>
      </c>
    </row>
    <row r="575" customFormat="false" ht="15" hidden="false" customHeight="false" outlineLevel="0" collapsed="false">
      <c r="A575" s="22" t="n">
        <v>46191</v>
      </c>
      <c r="B575" s="19" t="s">
        <v>50</v>
      </c>
      <c r="C575" s="19" t="s">
        <v>11</v>
      </c>
      <c r="D575" s="19" t="s">
        <v>28</v>
      </c>
      <c r="E575" s="19" t="s">
        <v>98</v>
      </c>
      <c r="F575" s="20" t="n">
        <v>12462</v>
      </c>
      <c r="G575" s="20" t="n">
        <v>0</v>
      </c>
    </row>
    <row r="576" customFormat="false" ht="15" hidden="false" customHeight="false" outlineLevel="0" collapsed="false">
      <c r="A576" s="22" t="n">
        <v>46191</v>
      </c>
      <c r="B576" s="19" t="s">
        <v>50</v>
      </c>
      <c r="C576" s="19" t="s">
        <v>13</v>
      </c>
      <c r="D576" s="19" t="s">
        <v>44</v>
      </c>
      <c r="E576" s="19" t="s">
        <v>117</v>
      </c>
      <c r="F576" s="20" t="n">
        <v>495238</v>
      </c>
      <c r="G576" s="20" t="n">
        <v>2202146</v>
      </c>
    </row>
    <row r="577" customFormat="false" ht="15" hidden="false" customHeight="false" outlineLevel="0" collapsed="false">
      <c r="A577" s="22" t="n">
        <v>46191</v>
      </c>
      <c r="B577" s="19" t="s">
        <v>50</v>
      </c>
      <c r="C577" s="19" t="s">
        <v>12</v>
      </c>
      <c r="D577" s="19" t="s">
        <v>31</v>
      </c>
      <c r="E577" s="19" t="s">
        <v>113</v>
      </c>
      <c r="F577" s="20" t="n">
        <v>133402</v>
      </c>
      <c r="G577" s="20" t="n">
        <v>0</v>
      </c>
    </row>
    <row r="578" customFormat="false" ht="15" hidden="false" customHeight="false" outlineLevel="0" collapsed="false">
      <c r="A578" s="22" t="n">
        <v>46191</v>
      </c>
      <c r="B578" s="19" t="s">
        <v>50</v>
      </c>
      <c r="C578" s="19" t="s">
        <v>13</v>
      </c>
      <c r="D578" s="19" t="s">
        <v>41</v>
      </c>
      <c r="E578" s="19" t="s">
        <v>102</v>
      </c>
      <c r="F578" s="20" t="n">
        <v>23156</v>
      </c>
      <c r="G578" s="20" t="n">
        <v>0</v>
      </c>
    </row>
    <row r="579" customFormat="false" ht="15" hidden="false" customHeight="false" outlineLevel="0" collapsed="false">
      <c r="A579" s="22" t="n">
        <v>46191</v>
      </c>
      <c r="B579" s="19" t="s">
        <v>50</v>
      </c>
      <c r="C579" s="19" t="s">
        <v>14</v>
      </c>
      <c r="D579" s="19" t="s">
        <v>38</v>
      </c>
      <c r="E579" s="19" t="s">
        <v>114</v>
      </c>
      <c r="F579" s="20" t="n">
        <v>21135</v>
      </c>
      <c r="G579" s="20" t="n">
        <v>79000</v>
      </c>
    </row>
    <row r="580" customFormat="false" ht="15" hidden="false" customHeight="false" outlineLevel="0" collapsed="false">
      <c r="A580" s="22" t="n">
        <v>46191</v>
      </c>
      <c r="B580" s="19" t="s">
        <v>50</v>
      </c>
      <c r="C580" s="19" t="s">
        <v>14</v>
      </c>
      <c r="D580" s="19" t="s">
        <v>39</v>
      </c>
      <c r="E580" s="19" t="s">
        <v>116</v>
      </c>
      <c r="F580" s="20" t="n">
        <v>13713</v>
      </c>
      <c r="G580" s="20" t="n">
        <v>79000</v>
      </c>
    </row>
    <row r="581" customFormat="false" ht="15" hidden="false" customHeight="false" outlineLevel="0" collapsed="false">
      <c r="A581" s="22" t="n">
        <v>46191</v>
      </c>
      <c r="B581" s="19" t="s">
        <v>50</v>
      </c>
      <c r="C581" s="19" t="s">
        <v>13</v>
      </c>
      <c r="D581" s="19" t="s">
        <v>43</v>
      </c>
      <c r="E581" s="19" t="s">
        <v>103</v>
      </c>
      <c r="F581" s="20" t="n">
        <v>3168</v>
      </c>
      <c r="G581" s="20" t="n">
        <v>0</v>
      </c>
    </row>
    <row r="582" customFormat="false" ht="15" hidden="false" customHeight="false" outlineLevel="0" collapsed="false">
      <c r="A582" s="22" t="n">
        <v>46191</v>
      </c>
      <c r="B582" s="19" t="s">
        <v>50</v>
      </c>
      <c r="C582" s="19" t="s">
        <v>14</v>
      </c>
      <c r="D582" s="19" t="s">
        <v>40</v>
      </c>
      <c r="E582" s="19" t="s">
        <v>115</v>
      </c>
      <c r="F582" s="20" t="n">
        <v>9479</v>
      </c>
      <c r="G582" s="20" t="n">
        <v>0</v>
      </c>
    </row>
    <row r="583" customFormat="false" ht="15" hidden="false" customHeight="false" outlineLevel="0" collapsed="false">
      <c r="A583" s="22" t="n">
        <v>46192</v>
      </c>
      <c r="B583" s="19" t="s">
        <v>50</v>
      </c>
      <c r="C583" s="19" t="s">
        <v>12</v>
      </c>
      <c r="D583" s="19" t="s">
        <v>31</v>
      </c>
      <c r="E583" s="19" t="s">
        <v>118</v>
      </c>
      <c r="F583" s="20" t="n">
        <v>263884</v>
      </c>
      <c r="G583" s="20" t="n">
        <v>1180912</v>
      </c>
    </row>
    <row r="584" customFormat="false" ht="15" hidden="false" customHeight="false" outlineLevel="0" collapsed="false">
      <c r="A584" s="22" t="n">
        <v>46192</v>
      </c>
      <c r="B584" s="19" t="s">
        <v>50</v>
      </c>
      <c r="C584" s="19" t="s">
        <v>11</v>
      </c>
      <c r="D584" s="19" t="s">
        <v>28</v>
      </c>
      <c r="E584" s="19" t="s">
        <v>98</v>
      </c>
      <c r="F584" s="20" t="n">
        <v>91777</v>
      </c>
      <c r="G584" s="20" t="n">
        <v>412960</v>
      </c>
    </row>
    <row r="585" customFormat="false" ht="15" hidden="false" customHeight="false" outlineLevel="0" collapsed="false">
      <c r="A585" s="22" t="n">
        <v>46192</v>
      </c>
      <c r="B585" s="19" t="s">
        <v>50</v>
      </c>
      <c r="C585" s="19" t="s">
        <v>15</v>
      </c>
      <c r="D585" s="19" t="s">
        <v>45</v>
      </c>
      <c r="E585" s="19" t="s">
        <v>97</v>
      </c>
      <c r="F585" s="20" t="n">
        <v>36960</v>
      </c>
      <c r="G585" s="20" t="n">
        <v>177478</v>
      </c>
    </row>
    <row r="586" customFormat="false" ht="15" hidden="false" customHeight="false" outlineLevel="0" collapsed="false">
      <c r="A586" s="22" t="n">
        <v>46192</v>
      </c>
      <c r="B586" s="19" t="s">
        <v>50</v>
      </c>
      <c r="C586" s="19" t="s">
        <v>12</v>
      </c>
      <c r="D586" s="19" t="s">
        <v>34</v>
      </c>
      <c r="E586" s="19" t="s">
        <v>112</v>
      </c>
      <c r="F586" s="20" t="n">
        <v>50848</v>
      </c>
      <c r="G586" s="20" t="n">
        <v>245000</v>
      </c>
    </row>
    <row r="587" customFormat="false" ht="15" hidden="false" customHeight="false" outlineLevel="0" collapsed="false">
      <c r="A587" s="22" t="n">
        <v>46192</v>
      </c>
      <c r="B587" s="19" t="s">
        <v>50</v>
      </c>
      <c r="C587" s="19" t="s">
        <v>11</v>
      </c>
      <c r="D587" s="19" t="s">
        <v>27</v>
      </c>
      <c r="E587" s="19" t="s">
        <v>63</v>
      </c>
      <c r="F587" s="20" t="n">
        <v>5817</v>
      </c>
      <c r="G587" s="20" t="n">
        <v>0</v>
      </c>
    </row>
    <row r="588" customFormat="false" ht="15" hidden="false" customHeight="false" outlineLevel="0" collapsed="false">
      <c r="A588" s="22" t="n">
        <v>46192</v>
      </c>
      <c r="B588" s="19" t="s">
        <v>50</v>
      </c>
      <c r="C588" s="19" t="s">
        <v>13</v>
      </c>
      <c r="D588" s="19" t="s">
        <v>44</v>
      </c>
      <c r="E588" s="19" t="s">
        <v>117</v>
      </c>
      <c r="F588" s="20" t="n">
        <v>617807</v>
      </c>
      <c r="G588" s="20" t="n">
        <v>3349344</v>
      </c>
    </row>
    <row r="589" customFormat="false" ht="15" hidden="false" customHeight="false" outlineLevel="0" collapsed="false">
      <c r="A589" s="22" t="n">
        <v>46192</v>
      </c>
      <c r="B589" s="19" t="s">
        <v>50</v>
      </c>
      <c r="C589" s="19" t="s">
        <v>13</v>
      </c>
      <c r="D589" s="19" t="s">
        <v>41</v>
      </c>
      <c r="E589" s="19" t="s">
        <v>102</v>
      </c>
      <c r="F589" s="20" t="n">
        <v>10138</v>
      </c>
      <c r="G589" s="20" t="n">
        <v>0</v>
      </c>
    </row>
    <row r="590" customFormat="false" ht="15" hidden="false" customHeight="false" outlineLevel="0" collapsed="false">
      <c r="A590" s="22" t="n">
        <v>46192</v>
      </c>
      <c r="B590" s="19" t="s">
        <v>50</v>
      </c>
      <c r="C590" s="19" t="s">
        <v>14</v>
      </c>
      <c r="D590" s="19" t="s">
        <v>38</v>
      </c>
      <c r="E590" s="19" t="s">
        <v>114</v>
      </c>
      <c r="F590" s="20" t="n">
        <v>9996</v>
      </c>
      <c r="G590" s="20" t="n">
        <v>0</v>
      </c>
    </row>
    <row r="591" customFormat="false" ht="15" hidden="false" customHeight="false" outlineLevel="0" collapsed="false">
      <c r="A591" s="22" t="n">
        <v>46192</v>
      </c>
      <c r="B591" s="19" t="s">
        <v>50</v>
      </c>
      <c r="C591" s="19" t="s">
        <v>14</v>
      </c>
      <c r="D591" s="19" t="s">
        <v>40</v>
      </c>
      <c r="E591" s="19" t="s">
        <v>115</v>
      </c>
      <c r="F591" s="20" t="n">
        <v>3878</v>
      </c>
      <c r="G591" s="20" t="n">
        <v>0</v>
      </c>
    </row>
    <row r="592" customFormat="false" ht="15" hidden="false" customHeight="false" outlineLevel="0" collapsed="false">
      <c r="A592" s="22" t="n">
        <v>46192</v>
      </c>
      <c r="B592" s="19" t="s">
        <v>50</v>
      </c>
      <c r="C592" s="19" t="s">
        <v>13</v>
      </c>
      <c r="D592" s="19" t="s">
        <v>43</v>
      </c>
      <c r="E592" s="19" t="s">
        <v>103</v>
      </c>
      <c r="F592" s="20" t="n">
        <v>3759</v>
      </c>
      <c r="G592" s="20" t="n">
        <v>0</v>
      </c>
    </row>
    <row r="593" customFormat="false" ht="15" hidden="false" customHeight="false" outlineLevel="0" collapsed="false">
      <c r="A593" s="22" t="n">
        <v>46192</v>
      </c>
      <c r="B593" s="19" t="s">
        <v>50</v>
      </c>
      <c r="C593" s="19" t="s">
        <v>14</v>
      </c>
      <c r="D593" s="19" t="s">
        <v>39</v>
      </c>
      <c r="E593" s="19" t="s">
        <v>116</v>
      </c>
      <c r="F593" s="20" t="n">
        <v>4633</v>
      </c>
      <c r="G593" s="20" t="n">
        <v>0</v>
      </c>
    </row>
    <row r="594" customFormat="false" ht="15" hidden="false" customHeight="false" outlineLevel="0" collapsed="false">
      <c r="A594" s="22" t="n">
        <v>46193</v>
      </c>
      <c r="B594" s="19" t="s">
        <v>50</v>
      </c>
      <c r="C594" s="19" t="s">
        <v>12</v>
      </c>
      <c r="D594" s="19" t="s">
        <v>31</v>
      </c>
      <c r="E594" s="19" t="s">
        <v>118</v>
      </c>
      <c r="F594" s="20" t="n">
        <v>431401</v>
      </c>
      <c r="G594" s="20" t="n">
        <v>1968809</v>
      </c>
    </row>
    <row r="595" customFormat="false" ht="15" hidden="false" customHeight="false" outlineLevel="0" collapsed="false">
      <c r="A595" s="22" t="n">
        <v>46193</v>
      </c>
      <c r="B595" s="19" t="s">
        <v>50</v>
      </c>
      <c r="C595" s="19" t="s">
        <v>12</v>
      </c>
      <c r="D595" s="19" t="s">
        <v>34</v>
      </c>
      <c r="E595" s="19" t="s">
        <v>112</v>
      </c>
      <c r="F595" s="20" t="n">
        <v>136172</v>
      </c>
      <c r="G595" s="20" t="n">
        <v>708837</v>
      </c>
    </row>
    <row r="596" customFormat="false" ht="15" hidden="false" customHeight="false" outlineLevel="0" collapsed="false">
      <c r="A596" s="22" t="n">
        <v>46193</v>
      </c>
      <c r="B596" s="19" t="s">
        <v>50</v>
      </c>
      <c r="C596" s="19" t="s">
        <v>15</v>
      </c>
      <c r="D596" s="19" t="s">
        <v>45</v>
      </c>
      <c r="E596" s="19" t="s">
        <v>97</v>
      </c>
      <c r="F596" s="20" t="n">
        <v>7407</v>
      </c>
      <c r="G596" s="20" t="n">
        <v>0</v>
      </c>
    </row>
    <row r="597" customFormat="false" ht="15" hidden="false" customHeight="false" outlineLevel="0" collapsed="false">
      <c r="A597" s="22" t="n">
        <v>46193</v>
      </c>
      <c r="B597" s="19" t="s">
        <v>50</v>
      </c>
      <c r="C597" s="19" t="s">
        <v>11</v>
      </c>
      <c r="D597" s="19" t="s">
        <v>28</v>
      </c>
      <c r="E597" s="19" t="s">
        <v>98</v>
      </c>
      <c r="F597" s="20" t="n">
        <v>16712</v>
      </c>
      <c r="G597" s="20" t="n">
        <v>0</v>
      </c>
    </row>
    <row r="598" customFormat="false" ht="15" hidden="false" customHeight="false" outlineLevel="0" collapsed="false">
      <c r="A598" s="22" t="n">
        <v>46193</v>
      </c>
      <c r="B598" s="19" t="s">
        <v>50</v>
      </c>
      <c r="C598" s="19" t="s">
        <v>11</v>
      </c>
      <c r="D598" s="19" t="s">
        <v>27</v>
      </c>
      <c r="E598" s="19" t="s">
        <v>63</v>
      </c>
      <c r="F598" s="20" t="n">
        <v>8455</v>
      </c>
      <c r="G598" s="20" t="n">
        <v>0</v>
      </c>
    </row>
    <row r="599" customFormat="false" ht="15" hidden="false" customHeight="false" outlineLevel="0" collapsed="false">
      <c r="A599" s="22" t="n">
        <v>46193</v>
      </c>
      <c r="B599" s="19" t="s">
        <v>50</v>
      </c>
      <c r="C599" s="19" t="s">
        <v>13</v>
      </c>
      <c r="D599" s="19" t="s">
        <v>44</v>
      </c>
      <c r="E599" s="19" t="s">
        <v>117</v>
      </c>
      <c r="F599" s="20" t="n">
        <v>358518</v>
      </c>
      <c r="G599" s="20" t="n">
        <v>1773952</v>
      </c>
    </row>
    <row r="600" customFormat="false" ht="15" hidden="false" customHeight="false" outlineLevel="0" collapsed="false">
      <c r="A600" s="22" t="n">
        <v>46194</v>
      </c>
      <c r="B600" s="19" t="s">
        <v>50</v>
      </c>
      <c r="C600" s="19" t="s">
        <v>12</v>
      </c>
      <c r="D600" s="19" t="s">
        <v>31</v>
      </c>
      <c r="E600" s="19" t="s">
        <v>118</v>
      </c>
      <c r="F600" s="20" t="n">
        <v>374388</v>
      </c>
      <c r="G600" s="20" t="n">
        <v>1534071</v>
      </c>
    </row>
    <row r="601" customFormat="false" ht="15" hidden="false" customHeight="false" outlineLevel="0" collapsed="false">
      <c r="A601" s="22" t="n">
        <v>46194</v>
      </c>
      <c r="B601" s="19" t="s">
        <v>50</v>
      </c>
      <c r="C601" s="19" t="s">
        <v>12</v>
      </c>
      <c r="D601" s="19" t="s">
        <v>34</v>
      </c>
      <c r="E601" s="19" t="s">
        <v>112</v>
      </c>
      <c r="F601" s="20" t="n">
        <v>15803</v>
      </c>
      <c r="G601" s="20" t="n">
        <v>0</v>
      </c>
    </row>
    <row r="602" customFormat="false" ht="15" hidden="false" customHeight="false" outlineLevel="0" collapsed="false">
      <c r="A602" s="22" t="n">
        <v>46194</v>
      </c>
      <c r="B602" s="19" t="s">
        <v>50</v>
      </c>
      <c r="C602" s="19" t="s">
        <v>15</v>
      </c>
      <c r="D602" s="19" t="s">
        <v>45</v>
      </c>
      <c r="E602" s="19" t="s">
        <v>97</v>
      </c>
      <c r="F602" s="20" t="n">
        <v>11216</v>
      </c>
      <c r="G602" s="20" t="n">
        <v>0</v>
      </c>
    </row>
    <row r="603" customFormat="false" ht="15" hidden="false" customHeight="false" outlineLevel="0" collapsed="false">
      <c r="A603" s="22" t="n">
        <v>46194</v>
      </c>
      <c r="B603" s="19" t="s">
        <v>50</v>
      </c>
      <c r="C603" s="19" t="s">
        <v>11</v>
      </c>
      <c r="D603" s="19" t="s">
        <v>27</v>
      </c>
      <c r="E603" s="19" t="s">
        <v>63</v>
      </c>
      <c r="F603" s="20" t="n">
        <v>5237</v>
      </c>
      <c r="G603" s="20" t="n">
        <v>0</v>
      </c>
    </row>
    <row r="604" customFormat="false" ht="15" hidden="false" customHeight="false" outlineLevel="0" collapsed="false">
      <c r="A604" s="22" t="n">
        <v>46194</v>
      </c>
      <c r="B604" s="19" t="s">
        <v>50</v>
      </c>
      <c r="C604" s="19" t="s">
        <v>11</v>
      </c>
      <c r="D604" s="19" t="s">
        <v>28</v>
      </c>
      <c r="E604" s="19" t="s">
        <v>98</v>
      </c>
      <c r="F604" s="20" t="n">
        <v>15599</v>
      </c>
      <c r="G604" s="20" t="n">
        <v>0</v>
      </c>
    </row>
    <row r="605" customFormat="false" ht="15" hidden="false" customHeight="false" outlineLevel="0" collapsed="false">
      <c r="A605" s="22" t="n">
        <v>46194</v>
      </c>
      <c r="B605" s="19" t="s">
        <v>50</v>
      </c>
      <c r="C605" s="19" t="s">
        <v>13</v>
      </c>
      <c r="D605" s="19" t="s">
        <v>44</v>
      </c>
      <c r="E605" s="19" t="s">
        <v>117</v>
      </c>
      <c r="F605" s="20" t="n">
        <v>699158</v>
      </c>
      <c r="G605" s="20" t="n">
        <v>4113382</v>
      </c>
    </row>
    <row r="606" customFormat="false" ht="15" hidden="false" customHeight="false" outlineLevel="0" collapsed="false">
      <c r="A606" s="22" t="n">
        <v>46195</v>
      </c>
      <c r="B606" s="19" t="s">
        <v>50</v>
      </c>
      <c r="C606" s="19" t="s">
        <v>13</v>
      </c>
      <c r="D606" s="19" t="s">
        <v>44</v>
      </c>
      <c r="E606" s="19" t="s">
        <v>120</v>
      </c>
      <c r="F606" s="20" t="n">
        <v>400000</v>
      </c>
      <c r="G606" s="20" t="n">
        <v>1995251</v>
      </c>
    </row>
    <row r="607" customFormat="false" ht="15" hidden="false" customHeight="false" outlineLevel="0" collapsed="false">
      <c r="A607" s="22" t="n">
        <v>46195</v>
      </c>
      <c r="B607" s="19" t="s">
        <v>50</v>
      </c>
      <c r="C607" s="19" t="s">
        <v>12</v>
      </c>
      <c r="D607" s="19" t="s">
        <v>31</v>
      </c>
      <c r="E607" s="19" t="s">
        <v>118</v>
      </c>
      <c r="F607" s="20" t="n">
        <v>268632</v>
      </c>
      <c r="G607" s="20" t="n">
        <v>1210322</v>
      </c>
    </row>
    <row r="608" customFormat="false" ht="15" hidden="false" customHeight="false" outlineLevel="0" collapsed="false">
      <c r="A608" s="22" t="n">
        <v>46195</v>
      </c>
      <c r="B608" s="19" t="s">
        <v>50</v>
      </c>
      <c r="C608" s="19" t="s">
        <v>12</v>
      </c>
      <c r="D608" s="19" t="s">
        <v>34</v>
      </c>
      <c r="E608" s="19" t="s">
        <v>112</v>
      </c>
      <c r="F608" s="20" t="n">
        <v>48787</v>
      </c>
      <c r="G608" s="20" t="n">
        <v>249900</v>
      </c>
    </row>
    <row r="609" customFormat="false" ht="15" hidden="false" customHeight="false" outlineLevel="0" collapsed="false">
      <c r="A609" s="22" t="n">
        <v>46195</v>
      </c>
      <c r="B609" s="19" t="s">
        <v>50</v>
      </c>
      <c r="C609" s="19" t="s">
        <v>11</v>
      </c>
      <c r="D609" s="19" t="s">
        <v>28</v>
      </c>
      <c r="E609" s="19" t="s">
        <v>98</v>
      </c>
      <c r="F609" s="20" t="n">
        <v>84292</v>
      </c>
      <c r="G609" s="20" t="n">
        <v>345000</v>
      </c>
    </row>
    <row r="610" customFormat="false" ht="15" hidden="false" customHeight="false" outlineLevel="0" collapsed="false">
      <c r="A610" s="22" t="n">
        <v>46195</v>
      </c>
      <c r="B610" s="19" t="s">
        <v>50</v>
      </c>
      <c r="C610" s="19" t="s">
        <v>15</v>
      </c>
      <c r="D610" s="19" t="s">
        <v>45</v>
      </c>
      <c r="E610" s="19" t="s">
        <v>97</v>
      </c>
      <c r="F610" s="20" t="n">
        <v>19991</v>
      </c>
      <c r="G610" s="20" t="n">
        <v>103240</v>
      </c>
    </row>
    <row r="611" customFormat="false" ht="15" hidden="false" customHeight="false" outlineLevel="0" collapsed="false">
      <c r="A611" s="22" t="n">
        <v>46195</v>
      </c>
      <c r="B611" s="19" t="s">
        <v>50</v>
      </c>
      <c r="C611" s="19" t="s">
        <v>11</v>
      </c>
      <c r="D611" s="19" t="s">
        <v>27</v>
      </c>
      <c r="E611" s="19" t="s">
        <v>63</v>
      </c>
      <c r="F611" s="20" t="n">
        <v>3348</v>
      </c>
      <c r="G611" s="20" t="n">
        <v>0</v>
      </c>
    </row>
    <row r="612" customFormat="false" ht="15" hidden="false" customHeight="false" outlineLevel="0" collapsed="false">
      <c r="A612" s="22" t="n">
        <v>46195</v>
      </c>
      <c r="B612" s="19" t="s">
        <v>50</v>
      </c>
      <c r="C612" s="19" t="s">
        <v>13</v>
      </c>
      <c r="D612" s="19" t="s">
        <v>44</v>
      </c>
      <c r="E612" s="19" t="s">
        <v>117</v>
      </c>
      <c r="F612" s="20" t="n">
        <v>153989</v>
      </c>
      <c r="G612" s="20" t="n">
        <v>991834</v>
      </c>
    </row>
    <row r="613" customFormat="false" ht="15" hidden="false" customHeight="false" outlineLevel="0" collapsed="false">
      <c r="A613" s="22" t="n">
        <v>46196</v>
      </c>
      <c r="B613" s="19" t="s">
        <v>50</v>
      </c>
      <c r="C613" s="19" t="s">
        <v>12</v>
      </c>
      <c r="D613" s="19" t="s">
        <v>31</v>
      </c>
      <c r="E613" s="19" t="s">
        <v>118</v>
      </c>
      <c r="F613" s="20" t="n">
        <v>551874</v>
      </c>
      <c r="G613" s="20" t="n">
        <v>2584007</v>
      </c>
    </row>
    <row r="614" customFormat="false" ht="15" hidden="false" customHeight="false" outlineLevel="0" collapsed="false">
      <c r="A614" s="22" t="n">
        <v>46196</v>
      </c>
      <c r="B614" s="19" t="s">
        <v>50</v>
      </c>
      <c r="C614" s="19" t="s">
        <v>13</v>
      </c>
      <c r="D614" s="19" t="s">
        <v>44</v>
      </c>
      <c r="E614" s="19" t="s">
        <v>120</v>
      </c>
      <c r="F614" s="20" t="n">
        <v>289013</v>
      </c>
      <c r="G614" s="20" t="n">
        <v>1825966</v>
      </c>
    </row>
    <row r="615" customFormat="false" ht="15" hidden="false" customHeight="false" outlineLevel="0" collapsed="false">
      <c r="A615" s="22" t="n">
        <v>46196</v>
      </c>
      <c r="B615" s="19" t="s">
        <v>50</v>
      </c>
      <c r="C615" s="19" t="s">
        <v>12</v>
      </c>
      <c r="D615" s="19" t="s">
        <v>34</v>
      </c>
      <c r="E615" s="19" t="s">
        <v>112</v>
      </c>
      <c r="F615" s="20" t="n">
        <v>96421</v>
      </c>
      <c r="G615" s="20" t="n">
        <v>320234</v>
      </c>
    </row>
    <row r="616" customFormat="false" ht="15" hidden="false" customHeight="false" outlineLevel="0" collapsed="false">
      <c r="A616" s="22" t="n">
        <v>46196</v>
      </c>
      <c r="B616" s="19" t="s">
        <v>50</v>
      </c>
      <c r="C616" s="19" t="s">
        <v>11</v>
      </c>
      <c r="D616" s="19" t="s">
        <v>27</v>
      </c>
      <c r="E616" s="19" t="s">
        <v>63</v>
      </c>
      <c r="F616" s="20" t="n">
        <v>57794</v>
      </c>
      <c r="G616" s="20" t="n">
        <v>307200</v>
      </c>
    </row>
    <row r="617" customFormat="false" ht="15" hidden="false" customHeight="false" outlineLevel="0" collapsed="false">
      <c r="A617" s="22" t="n">
        <v>46196</v>
      </c>
      <c r="B617" s="19" t="s">
        <v>50</v>
      </c>
      <c r="C617" s="19" t="s">
        <v>12</v>
      </c>
      <c r="D617" s="19" t="s">
        <v>37</v>
      </c>
      <c r="E617" s="19" t="s">
        <v>121</v>
      </c>
      <c r="F617" s="20" t="n">
        <v>16680</v>
      </c>
      <c r="G617" s="20" t="n">
        <v>0</v>
      </c>
    </row>
    <row r="618" customFormat="false" ht="15" hidden="false" customHeight="false" outlineLevel="0" collapsed="false">
      <c r="A618" s="22" t="n">
        <v>46196</v>
      </c>
      <c r="B618" s="19" t="s">
        <v>50</v>
      </c>
      <c r="C618" s="19" t="s">
        <v>15</v>
      </c>
      <c r="D618" s="19" t="s">
        <v>45</v>
      </c>
      <c r="E618" s="19" t="s">
        <v>97</v>
      </c>
      <c r="F618" s="20" t="n">
        <v>6100</v>
      </c>
      <c r="G618" s="20" t="n">
        <v>0</v>
      </c>
    </row>
    <row r="619" customFormat="false" ht="15" hidden="false" customHeight="false" outlineLevel="0" collapsed="false">
      <c r="A619" s="22" t="n">
        <v>46196</v>
      </c>
      <c r="B619" s="19" t="s">
        <v>50</v>
      </c>
      <c r="C619" s="19" t="s">
        <v>11</v>
      </c>
      <c r="D619" s="19" t="s">
        <v>28</v>
      </c>
      <c r="E619" s="19" t="s">
        <v>98</v>
      </c>
      <c r="F619" s="20" t="n">
        <v>13773</v>
      </c>
      <c r="G619" s="20" t="n">
        <v>0</v>
      </c>
    </row>
    <row r="620" customFormat="false" ht="15" hidden="false" customHeight="false" outlineLevel="0" collapsed="false">
      <c r="A620" s="22" t="n">
        <v>46197</v>
      </c>
      <c r="B620" s="19" t="s">
        <v>50</v>
      </c>
      <c r="C620" s="19" t="s">
        <v>13</v>
      </c>
      <c r="D620" s="19" t="s">
        <v>44</v>
      </c>
      <c r="E620" s="19" t="s">
        <v>120</v>
      </c>
      <c r="F620" s="20" t="n">
        <v>900000</v>
      </c>
      <c r="G620" s="20" t="n">
        <v>4366188</v>
      </c>
    </row>
    <row r="621" customFormat="false" ht="15" hidden="false" customHeight="false" outlineLevel="0" collapsed="false">
      <c r="A621" s="22" t="n">
        <v>46197</v>
      </c>
      <c r="B621" s="19" t="s">
        <v>50</v>
      </c>
      <c r="C621" s="19" t="s">
        <v>12</v>
      </c>
      <c r="D621" s="19" t="s">
        <v>34</v>
      </c>
      <c r="E621" s="19" t="s">
        <v>112</v>
      </c>
      <c r="F621" s="20" t="n">
        <v>188820</v>
      </c>
      <c r="G621" s="20" t="n">
        <v>1046268</v>
      </c>
    </row>
    <row r="622" customFormat="false" ht="15" hidden="false" customHeight="false" outlineLevel="0" collapsed="false">
      <c r="A622" s="22" t="n">
        <v>46197</v>
      </c>
      <c r="B622" s="19" t="s">
        <v>50</v>
      </c>
      <c r="C622" s="19" t="s">
        <v>12</v>
      </c>
      <c r="D622" s="19" t="s">
        <v>31</v>
      </c>
      <c r="E622" s="19" t="s">
        <v>118</v>
      </c>
      <c r="F622" s="20" t="n">
        <v>291666</v>
      </c>
      <c r="G622" s="20" t="n">
        <v>1321534</v>
      </c>
    </row>
    <row r="623" customFormat="false" ht="15" hidden="false" customHeight="false" outlineLevel="0" collapsed="false">
      <c r="A623" s="22" t="n">
        <v>46197</v>
      </c>
      <c r="B623" s="19" t="s">
        <v>50</v>
      </c>
      <c r="C623" s="19" t="s">
        <v>12</v>
      </c>
      <c r="D623" s="19" t="s">
        <v>37</v>
      </c>
      <c r="E623" s="19" t="s">
        <v>121</v>
      </c>
      <c r="F623" s="20" t="n">
        <v>38016</v>
      </c>
      <c r="G623" s="20" t="n">
        <v>431952</v>
      </c>
    </row>
    <row r="624" customFormat="false" ht="15" hidden="false" customHeight="false" outlineLevel="0" collapsed="false">
      <c r="A624" s="22" t="n">
        <v>46197</v>
      </c>
      <c r="B624" s="19" t="s">
        <v>50</v>
      </c>
      <c r="C624" s="19" t="s">
        <v>11</v>
      </c>
      <c r="D624" s="19" t="s">
        <v>27</v>
      </c>
      <c r="E624" s="19" t="s">
        <v>63</v>
      </c>
      <c r="F624" s="20" t="n">
        <v>33652</v>
      </c>
      <c r="G624" s="20" t="n">
        <v>156000</v>
      </c>
    </row>
    <row r="625" customFormat="false" ht="15" hidden="false" customHeight="false" outlineLevel="0" collapsed="false">
      <c r="A625" s="22" t="n">
        <v>46197</v>
      </c>
      <c r="B625" s="19" t="s">
        <v>50</v>
      </c>
      <c r="C625" s="19" t="s">
        <v>11</v>
      </c>
      <c r="D625" s="19" t="s">
        <v>28</v>
      </c>
      <c r="E625" s="19" t="s">
        <v>98</v>
      </c>
      <c r="F625" s="20" t="n">
        <v>56132</v>
      </c>
      <c r="G625" s="20" t="n">
        <v>221720</v>
      </c>
    </row>
    <row r="626" customFormat="false" ht="15" hidden="false" customHeight="false" outlineLevel="0" collapsed="false">
      <c r="A626" s="22" t="n">
        <v>46197</v>
      </c>
      <c r="B626" s="19" t="s">
        <v>50</v>
      </c>
      <c r="C626" s="19" t="s">
        <v>15</v>
      </c>
      <c r="D626" s="19" t="s">
        <v>45</v>
      </c>
      <c r="E626" s="19" t="s">
        <v>97</v>
      </c>
      <c r="F626" s="20" t="n">
        <v>13625</v>
      </c>
      <c r="G626" s="20" t="n">
        <v>0</v>
      </c>
    </row>
    <row r="627" customFormat="false" ht="15" hidden="false" customHeight="false" outlineLevel="0" collapsed="false">
      <c r="A627" s="22" t="n">
        <v>46198</v>
      </c>
      <c r="B627" s="19" t="s">
        <v>50</v>
      </c>
      <c r="C627" s="19" t="s">
        <v>13</v>
      </c>
      <c r="D627" s="19" t="s">
        <v>44</v>
      </c>
      <c r="E627" s="19" t="s">
        <v>120</v>
      </c>
      <c r="F627" s="20" t="n">
        <v>699048</v>
      </c>
      <c r="G627" s="20" t="n">
        <v>3119469</v>
      </c>
    </row>
    <row r="628" customFormat="false" ht="15" hidden="false" customHeight="false" outlineLevel="0" collapsed="false">
      <c r="A628" s="22" t="n">
        <v>46198</v>
      </c>
      <c r="B628" s="19" t="s">
        <v>50</v>
      </c>
      <c r="C628" s="19" t="s">
        <v>11</v>
      </c>
      <c r="D628" s="19" t="s">
        <v>27</v>
      </c>
      <c r="E628" s="19" t="s">
        <v>63</v>
      </c>
      <c r="F628" s="20" t="n">
        <v>200000</v>
      </c>
      <c r="G628" s="20" t="n">
        <v>1366034</v>
      </c>
    </row>
    <row r="629" customFormat="false" ht="15" hidden="false" customHeight="false" outlineLevel="0" collapsed="false">
      <c r="A629" s="22" t="n">
        <v>46198</v>
      </c>
      <c r="B629" s="19" t="s">
        <v>50</v>
      </c>
      <c r="C629" s="19" t="s">
        <v>12</v>
      </c>
      <c r="D629" s="19" t="s">
        <v>34</v>
      </c>
      <c r="E629" s="19" t="s">
        <v>112</v>
      </c>
      <c r="F629" s="20" t="n">
        <v>130554</v>
      </c>
      <c r="G629" s="20" t="n">
        <v>507200</v>
      </c>
    </row>
    <row r="630" customFormat="false" ht="15" hidden="false" customHeight="false" outlineLevel="0" collapsed="false">
      <c r="A630" s="22" t="n">
        <v>46198</v>
      </c>
      <c r="B630" s="19" t="s">
        <v>50</v>
      </c>
      <c r="C630" s="19" t="s">
        <v>12</v>
      </c>
      <c r="D630" s="19" t="s">
        <v>37</v>
      </c>
      <c r="E630" s="19" t="s">
        <v>121</v>
      </c>
      <c r="F630" s="20" t="n">
        <v>40594</v>
      </c>
      <c r="G630" s="20" t="n">
        <v>209171</v>
      </c>
    </row>
    <row r="631" customFormat="false" ht="15" hidden="false" customHeight="false" outlineLevel="0" collapsed="false">
      <c r="A631" s="22" t="n">
        <v>46198</v>
      </c>
      <c r="B631" s="19" t="s">
        <v>50</v>
      </c>
      <c r="C631" s="19" t="s">
        <v>12</v>
      </c>
      <c r="D631" s="19" t="s">
        <v>31</v>
      </c>
      <c r="E631" s="19" t="s">
        <v>118</v>
      </c>
      <c r="F631" s="20" t="n">
        <v>144779</v>
      </c>
      <c r="G631" s="20" t="n">
        <v>0</v>
      </c>
    </row>
    <row r="632" customFormat="false" ht="15" hidden="false" customHeight="false" outlineLevel="0" collapsed="false">
      <c r="A632" s="22" t="n">
        <v>46198</v>
      </c>
      <c r="B632" s="19" t="s">
        <v>50</v>
      </c>
      <c r="C632" s="19" t="s">
        <v>15</v>
      </c>
      <c r="D632" s="19" t="s">
        <v>45</v>
      </c>
      <c r="E632" s="19" t="s">
        <v>97</v>
      </c>
      <c r="F632" s="20" t="n">
        <v>68732</v>
      </c>
      <c r="G632" s="20" t="n">
        <v>318540</v>
      </c>
    </row>
    <row r="633" customFormat="false" ht="15" hidden="false" customHeight="false" outlineLevel="0" collapsed="false">
      <c r="A633" s="22" t="n">
        <v>46198</v>
      </c>
      <c r="B633" s="19" t="s">
        <v>50</v>
      </c>
      <c r="C633" s="19" t="s">
        <v>11</v>
      </c>
      <c r="D633" s="19" t="s">
        <v>28</v>
      </c>
      <c r="E633" s="19" t="s">
        <v>98</v>
      </c>
      <c r="F633" s="20" t="n">
        <v>9775</v>
      </c>
      <c r="G633" s="20" t="n">
        <v>0</v>
      </c>
    </row>
    <row r="634" customFormat="false" ht="15" hidden="false" customHeight="false" outlineLevel="0" collapsed="false">
      <c r="A634" s="22" t="n">
        <v>46199</v>
      </c>
      <c r="B634" s="19" t="s">
        <v>50</v>
      </c>
      <c r="C634" s="19" t="s">
        <v>13</v>
      </c>
      <c r="D634" s="19" t="s">
        <v>44</v>
      </c>
      <c r="E634" s="19" t="s">
        <v>120</v>
      </c>
      <c r="F634" s="20" t="n">
        <v>614014</v>
      </c>
      <c r="G634" s="20" t="n">
        <v>3022315</v>
      </c>
    </row>
    <row r="635" customFormat="false" ht="15" hidden="false" customHeight="false" outlineLevel="0" collapsed="false">
      <c r="A635" s="22" t="n">
        <v>46199</v>
      </c>
      <c r="B635" s="19" t="s">
        <v>50</v>
      </c>
      <c r="C635" s="19" t="s">
        <v>12</v>
      </c>
      <c r="D635" s="19" t="s">
        <v>34</v>
      </c>
      <c r="E635" s="19" t="s">
        <v>112</v>
      </c>
      <c r="F635" s="20" t="n">
        <v>183532</v>
      </c>
      <c r="G635" s="20" t="n">
        <v>907880</v>
      </c>
    </row>
    <row r="636" customFormat="false" ht="15" hidden="false" customHeight="false" outlineLevel="0" collapsed="false">
      <c r="A636" s="22" t="n">
        <v>46199</v>
      </c>
      <c r="B636" s="19" t="s">
        <v>50</v>
      </c>
      <c r="C636" s="19" t="s">
        <v>12</v>
      </c>
      <c r="D636" s="19" t="s">
        <v>31</v>
      </c>
      <c r="E636" s="19" t="s">
        <v>118</v>
      </c>
      <c r="F636" s="20" t="n">
        <v>197269</v>
      </c>
      <c r="G636" s="20" t="n">
        <v>790366</v>
      </c>
    </row>
    <row r="637" customFormat="false" ht="15" hidden="false" customHeight="false" outlineLevel="0" collapsed="false">
      <c r="A637" s="22" t="n">
        <v>46199</v>
      </c>
      <c r="B637" s="19" t="s">
        <v>50</v>
      </c>
      <c r="C637" s="19" t="s">
        <v>12</v>
      </c>
      <c r="D637" s="19" t="s">
        <v>37</v>
      </c>
      <c r="E637" s="19" t="s">
        <v>121</v>
      </c>
      <c r="F637" s="20" t="n">
        <v>46483</v>
      </c>
      <c r="G637" s="20" t="n">
        <v>111780</v>
      </c>
    </row>
    <row r="638" customFormat="false" ht="15" hidden="false" customHeight="false" outlineLevel="0" collapsed="false">
      <c r="A638" s="22" t="n">
        <v>46199</v>
      </c>
      <c r="B638" s="19" t="s">
        <v>50</v>
      </c>
      <c r="C638" s="19" t="s">
        <v>15</v>
      </c>
      <c r="D638" s="19" t="s">
        <v>45</v>
      </c>
      <c r="E638" s="19" t="s">
        <v>97</v>
      </c>
      <c r="F638" s="20" t="n">
        <v>23573</v>
      </c>
      <c r="G638" s="20" t="n">
        <v>111780</v>
      </c>
    </row>
    <row r="639" customFormat="false" ht="15" hidden="false" customHeight="false" outlineLevel="0" collapsed="false">
      <c r="A639" s="22" t="n">
        <v>46199</v>
      </c>
      <c r="B639" s="19" t="s">
        <v>50</v>
      </c>
      <c r="C639" s="19" t="s">
        <v>11</v>
      </c>
      <c r="D639" s="19" t="s">
        <v>27</v>
      </c>
      <c r="E639" s="19" t="s">
        <v>63</v>
      </c>
      <c r="F639" s="20" t="n">
        <v>10560</v>
      </c>
      <c r="G639" s="20" t="n">
        <v>39000</v>
      </c>
    </row>
    <row r="640" customFormat="false" ht="15" hidden="false" customHeight="false" outlineLevel="0" collapsed="false">
      <c r="A640" s="22" t="n">
        <v>46199</v>
      </c>
      <c r="B640" s="19" t="s">
        <v>50</v>
      </c>
      <c r="C640" s="19" t="s">
        <v>11</v>
      </c>
      <c r="D640" s="19" t="s">
        <v>28</v>
      </c>
      <c r="E640" s="19" t="s">
        <v>98</v>
      </c>
      <c r="F640" s="20" t="n">
        <v>13458</v>
      </c>
      <c r="G640" s="20" t="n">
        <v>0</v>
      </c>
    </row>
    <row r="641" customFormat="false" ht="15" hidden="false" customHeight="false" outlineLevel="0" collapsed="false">
      <c r="A641" s="22" t="n">
        <v>46200</v>
      </c>
      <c r="B641" s="19" t="s">
        <v>50</v>
      </c>
      <c r="C641" s="19" t="s">
        <v>13</v>
      </c>
      <c r="D641" s="19" t="s">
        <v>44</v>
      </c>
      <c r="E641" s="19" t="s">
        <v>120</v>
      </c>
      <c r="F641" s="20" t="n">
        <v>562467</v>
      </c>
      <c r="G641" s="20" t="n">
        <v>2891030</v>
      </c>
    </row>
    <row r="642" customFormat="false" ht="15" hidden="false" customHeight="false" outlineLevel="0" collapsed="false">
      <c r="A642" s="22" t="n">
        <v>46200</v>
      </c>
      <c r="B642" s="19" t="s">
        <v>50</v>
      </c>
      <c r="C642" s="19" t="s">
        <v>12</v>
      </c>
      <c r="D642" s="19" t="s">
        <v>31</v>
      </c>
      <c r="E642" s="19" t="s">
        <v>118</v>
      </c>
      <c r="F642" s="20" t="n">
        <v>700000</v>
      </c>
      <c r="G642" s="20" t="n">
        <v>3323930</v>
      </c>
    </row>
    <row r="643" customFormat="false" ht="15" hidden="false" customHeight="false" outlineLevel="0" collapsed="false">
      <c r="A643" s="22" t="n">
        <v>46200</v>
      </c>
      <c r="B643" s="19" t="s">
        <v>50</v>
      </c>
      <c r="C643" s="19" t="s">
        <v>12</v>
      </c>
      <c r="D643" s="19" t="s">
        <v>34</v>
      </c>
      <c r="E643" s="19" t="s">
        <v>112</v>
      </c>
      <c r="F643" s="20" t="n">
        <v>27106</v>
      </c>
      <c r="G643" s="20" t="n">
        <v>0</v>
      </c>
    </row>
    <row r="644" customFormat="false" ht="15" hidden="false" customHeight="false" outlineLevel="0" collapsed="false">
      <c r="A644" s="22" t="n">
        <v>46200</v>
      </c>
      <c r="B644" s="19" t="s">
        <v>50</v>
      </c>
      <c r="C644" s="19" t="s">
        <v>12</v>
      </c>
      <c r="D644" s="19" t="s">
        <v>37</v>
      </c>
      <c r="E644" s="19" t="s">
        <v>121</v>
      </c>
      <c r="F644" s="20" t="n">
        <v>41631</v>
      </c>
      <c r="G644" s="20" t="n">
        <v>196000</v>
      </c>
    </row>
    <row r="645" customFormat="false" ht="15" hidden="false" customHeight="false" outlineLevel="0" collapsed="false">
      <c r="A645" s="22" t="n">
        <v>46200</v>
      </c>
      <c r="B645" s="19" t="s">
        <v>50</v>
      </c>
      <c r="C645" s="19" t="s">
        <v>15</v>
      </c>
      <c r="D645" s="19" t="s">
        <v>45</v>
      </c>
      <c r="E645" s="19" t="s">
        <v>97</v>
      </c>
      <c r="F645" s="20" t="n">
        <v>14107</v>
      </c>
      <c r="G645" s="20" t="n">
        <v>69000</v>
      </c>
    </row>
    <row r="646" customFormat="false" ht="15" hidden="false" customHeight="false" outlineLevel="0" collapsed="false">
      <c r="A646" s="22" t="n">
        <v>46200</v>
      </c>
      <c r="B646" s="19" t="s">
        <v>50</v>
      </c>
      <c r="C646" s="19" t="s">
        <v>11</v>
      </c>
      <c r="D646" s="19" t="s">
        <v>27</v>
      </c>
      <c r="E646" s="19" t="s">
        <v>63</v>
      </c>
      <c r="F646" s="20" t="n">
        <v>14257</v>
      </c>
      <c r="G646" s="20" t="n">
        <v>39000</v>
      </c>
    </row>
    <row r="647" customFormat="false" ht="15" hidden="false" customHeight="false" outlineLevel="0" collapsed="false">
      <c r="A647" s="22" t="n">
        <v>46200</v>
      </c>
      <c r="B647" s="19" t="s">
        <v>50</v>
      </c>
      <c r="C647" s="19" t="s">
        <v>11</v>
      </c>
      <c r="D647" s="19" t="s">
        <v>28</v>
      </c>
      <c r="E647" s="19" t="s">
        <v>98</v>
      </c>
      <c r="F647" s="20" t="n">
        <v>6393</v>
      </c>
      <c r="G647" s="20" t="n">
        <v>0</v>
      </c>
    </row>
    <row r="648" customFormat="false" ht="15" hidden="false" customHeight="false" outlineLevel="0" collapsed="false">
      <c r="A648" s="22" t="n">
        <v>46201</v>
      </c>
      <c r="B648" s="19" t="s">
        <v>50</v>
      </c>
      <c r="C648" s="19" t="s">
        <v>12</v>
      </c>
      <c r="D648" s="19" t="s">
        <v>31</v>
      </c>
      <c r="E648" s="19" t="s">
        <v>118</v>
      </c>
      <c r="F648" s="20" t="n">
        <v>591514</v>
      </c>
      <c r="G648" s="20" t="n">
        <v>2612374</v>
      </c>
    </row>
    <row r="649" customFormat="false" ht="15" hidden="false" customHeight="false" outlineLevel="0" collapsed="false">
      <c r="A649" s="22" t="n">
        <v>46201</v>
      </c>
      <c r="B649" s="19" t="s">
        <v>50</v>
      </c>
      <c r="C649" s="19" t="s">
        <v>13</v>
      </c>
      <c r="D649" s="19" t="s">
        <v>44</v>
      </c>
      <c r="E649" s="19" t="s">
        <v>120</v>
      </c>
      <c r="F649" s="20" t="n">
        <v>392680</v>
      </c>
      <c r="G649" s="20" t="n">
        <v>1510401</v>
      </c>
    </row>
    <row r="650" customFormat="false" ht="15" hidden="false" customHeight="false" outlineLevel="0" collapsed="false">
      <c r="A650" s="22" t="n">
        <v>46201</v>
      </c>
      <c r="B650" s="19" t="s">
        <v>50</v>
      </c>
      <c r="C650" s="19" t="s">
        <v>15</v>
      </c>
      <c r="D650" s="19" t="s">
        <v>45</v>
      </c>
      <c r="E650" s="19" t="s">
        <v>97</v>
      </c>
      <c r="F650" s="20" t="n">
        <v>132840</v>
      </c>
      <c r="G650" s="20" t="n">
        <v>665575</v>
      </c>
    </row>
    <row r="651" customFormat="false" ht="15" hidden="false" customHeight="false" outlineLevel="0" collapsed="false">
      <c r="A651" s="22" t="n">
        <v>46201</v>
      </c>
      <c r="B651" s="19" t="s">
        <v>50</v>
      </c>
      <c r="C651" s="19" t="s">
        <v>12</v>
      </c>
      <c r="D651" s="19" t="s">
        <v>34</v>
      </c>
      <c r="E651" s="19" t="s">
        <v>112</v>
      </c>
      <c r="F651" s="20" t="n">
        <v>157984</v>
      </c>
      <c r="G651" s="20" t="n">
        <v>1171362</v>
      </c>
    </row>
    <row r="652" customFormat="false" ht="15" hidden="false" customHeight="false" outlineLevel="0" collapsed="false">
      <c r="A652" s="22" t="n">
        <v>46201</v>
      </c>
      <c r="B652" s="19" t="s">
        <v>50</v>
      </c>
      <c r="C652" s="19" t="s">
        <v>12</v>
      </c>
      <c r="D652" s="19" t="s">
        <v>37</v>
      </c>
      <c r="E652" s="19" t="s">
        <v>121</v>
      </c>
      <c r="F652" s="20" t="n">
        <v>9777</v>
      </c>
      <c r="G652" s="20" t="n">
        <v>0</v>
      </c>
    </row>
    <row r="653" customFormat="false" ht="15" hidden="false" customHeight="false" outlineLevel="0" collapsed="false">
      <c r="A653" s="22" t="n">
        <v>46201</v>
      </c>
      <c r="B653" s="19" t="s">
        <v>50</v>
      </c>
      <c r="C653" s="19" t="s">
        <v>11</v>
      </c>
      <c r="D653" s="19" t="s">
        <v>27</v>
      </c>
      <c r="E653" s="19" t="s">
        <v>63</v>
      </c>
      <c r="F653" s="20" t="n">
        <v>2388</v>
      </c>
      <c r="G653" s="20" t="n">
        <v>0</v>
      </c>
    </row>
    <row r="654" customFormat="false" ht="15" hidden="false" customHeight="false" outlineLevel="0" collapsed="false">
      <c r="A654" s="22" t="n">
        <v>46201</v>
      </c>
      <c r="B654" s="19" t="s">
        <v>50</v>
      </c>
      <c r="C654" s="19" t="s">
        <v>11</v>
      </c>
      <c r="D654" s="19" t="s">
        <v>28</v>
      </c>
      <c r="E654" s="19" t="s">
        <v>98</v>
      </c>
      <c r="F654" s="20" t="n">
        <v>4559</v>
      </c>
      <c r="G654" s="20" t="n">
        <v>0</v>
      </c>
    </row>
    <row r="655" customFormat="false" ht="15" hidden="false" customHeight="false" outlineLevel="0" collapsed="false">
      <c r="A655" s="22" t="n">
        <v>46202</v>
      </c>
      <c r="B655" s="19" t="s">
        <v>50</v>
      </c>
      <c r="C655" s="19" t="s">
        <v>13</v>
      </c>
      <c r="D655" s="19" t="s">
        <v>44</v>
      </c>
      <c r="E655" s="19" t="s">
        <v>120</v>
      </c>
      <c r="F655" s="20" t="n">
        <v>338022</v>
      </c>
      <c r="G655" s="20" t="n">
        <v>1733609</v>
      </c>
    </row>
    <row r="656" customFormat="false" ht="15" hidden="false" customHeight="false" outlineLevel="0" collapsed="false">
      <c r="A656" s="22" t="n">
        <v>46202</v>
      </c>
      <c r="B656" s="19" t="s">
        <v>50</v>
      </c>
      <c r="C656" s="19" t="s">
        <v>12</v>
      </c>
      <c r="D656" s="19" t="s">
        <v>34</v>
      </c>
      <c r="E656" s="19" t="s">
        <v>112</v>
      </c>
      <c r="F656" s="20" t="n">
        <v>183807</v>
      </c>
      <c r="G656" s="20" t="n">
        <v>777520</v>
      </c>
    </row>
    <row r="657" customFormat="false" ht="15" hidden="false" customHeight="false" outlineLevel="0" collapsed="false">
      <c r="A657" s="22" t="n">
        <v>46202</v>
      </c>
      <c r="B657" s="19" t="s">
        <v>50</v>
      </c>
      <c r="C657" s="19" t="s">
        <v>12</v>
      </c>
      <c r="D657" s="19" t="s">
        <v>31</v>
      </c>
      <c r="E657" s="19" t="s">
        <v>118</v>
      </c>
      <c r="F657" s="20" t="n">
        <v>215857</v>
      </c>
      <c r="G657" s="20" t="n">
        <v>866272</v>
      </c>
    </row>
    <row r="658" customFormat="false" ht="15" hidden="false" customHeight="false" outlineLevel="0" collapsed="false">
      <c r="A658" s="22" t="n">
        <v>46202</v>
      </c>
      <c r="B658" s="19" t="s">
        <v>50</v>
      </c>
      <c r="C658" s="19" t="s">
        <v>12</v>
      </c>
      <c r="D658" s="19" t="s">
        <v>37</v>
      </c>
      <c r="E658" s="19" t="s">
        <v>121</v>
      </c>
      <c r="F658" s="20" t="n">
        <v>73912</v>
      </c>
      <c r="G658" s="20" t="n">
        <v>347900</v>
      </c>
    </row>
    <row r="659" customFormat="false" ht="15" hidden="false" customHeight="false" outlineLevel="0" collapsed="false">
      <c r="A659" s="22" t="n">
        <v>46202</v>
      </c>
      <c r="B659" s="19" t="s">
        <v>50</v>
      </c>
      <c r="C659" s="19" t="s">
        <v>15</v>
      </c>
      <c r="D659" s="19" t="s">
        <v>45</v>
      </c>
      <c r="E659" s="19" t="s">
        <v>97</v>
      </c>
      <c r="F659" s="20" t="n">
        <v>64898</v>
      </c>
      <c r="G659" s="20" t="n">
        <v>253000</v>
      </c>
    </row>
    <row r="660" customFormat="false" ht="15" hidden="false" customHeight="false" outlineLevel="0" collapsed="false">
      <c r="A660" s="22" t="n">
        <v>46202</v>
      </c>
      <c r="B660" s="19" t="s">
        <v>50</v>
      </c>
      <c r="C660" s="19" t="s">
        <v>11</v>
      </c>
      <c r="D660" s="19" t="s">
        <v>27</v>
      </c>
      <c r="E660" s="19" t="s">
        <v>63</v>
      </c>
      <c r="F660" s="20" t="n">
        <v>2317</v>
      </c>
      <c r="G660" s="20" t="n">
        <v>0</v>
      </c>
    </row>
    <row r="661" customFormat="false" ht="15" hidden="false" customHeight="false" outlineLevel="0" collapsed="false">
      <c r="A661" s="22" t="n">
        <v>46202</v>
      </c>
      <c r="B661" s="19" t="s">
        <v>50</v>
      </c>
      <c r="C661" s="19" t="s">
        <v>11</v>
      </c>
      <c r="D661" s="19" t="s">
        <v>28</v>
      </c>
      <c r="E661" s="19" t="s">
        <v>98</v>
      </c>
      <c r="F661" s="20" t="n">
        <v>3652</v>
      </c>
      <c r="G661" s="20" t="n">
        <v>0</v>
      </c>
    </row>
    <row r="662" customFormat="false" ht="15" hidden="false" customHeight="false" outlineLevel="0" collapsed="false">
      <c r="A662" s="22" t="n">
        <v>46203</v>
      </c>
      <c r="B662" s="19" t="s">
        <v>50</v>
      </c>
      <c r="C662" s="19" t="s">
        <v>13</v>
      </c>
      <c r="D662" s="19" t="s">
        <v>44</v>
      </c>
      <c r="E662" s="19" t="s">
        <v>120</v>
      </c>
      <c r="F662" s="20" t="n">
        <v>680335</v>
      </c>
      <c r="G662" s="20" t="n">
        <v>3685646</v>
      </c>
    </row>
    <row r="663" customFormat="false" ht="15" hidden="false" customHeight="false" outlineLevel="0" collapsed="false">
      <c r="A663" s="22" t="n">
        <v>46203</v>
      </c>
      <c r="B663" s="19" t="s">
        <v>50</v>
      </c>
      <c r="C663" s="19" t="s">
        <v>12</v>
      </c>
      <c r="D663" s="19" t="s">
        <v>34</v>
      </c>
      <c r="E663" s="19" t="s">
        <v>112</v>
      </c>
      <c r="F663" s="20" t="n">
        <v>50913</v>
      </c>
      <c r="G663" s="20" t="n">
        <v>252209</v>
      </c>
    </row>
    <row r="664" customFormat="false" ht="15" hidden="false" customHeight="false" outlineLevel="0" collapsed="false">
      <c r="A664" s="22" t="n">
        <v>46203</v>
      </c>
      <c r="B664" s="19" t="s">
        <v>50</v>
      </c>
      <c r="C664" s="19" t="s">
        <v>12</v>
      </c>
      <c r="D664" s="19" t="s">
        <v>31</v>
      </c>
      <c r="E664" s="19" t="s">
        <v>118</v>
      </c>
      <c r="F664" s="20" t="n">
        <v>239849</v>
      </c>
      <c r="G664" s="20" t="n">
        <v>975788</v>
      </c>
    </row>
    <row r="665" customFormat="false" ht="15" hidden="false" customHeight="false" outlineLevel="0" collapsed="false">
      <c r="A665" s="22" t="n">
        <v>46203</v>
      </c>
      <c r="B665" s="19" t="s">
        <v>50</v>
      </c>
      <c r="C665" s="19" t="s">
        <v>11</v>
      </c>
      <c r="D665" s="19" t="s">
        <v>28</v>
      </c>
      <c r="E665" s="19" t="s">
        <v>98</v>
      </c>
      <c r="F665" s="20" t="n">
        <v>88704</v>
      </c>
      <c r="G665" s="20" t="n">
        <v>416519</v>
      </c>
    </row>
    <row r="666" customFormat="false" ht="15" hidden="false" customHeight="false" outlineLevel="0" collapsed="false">
      <c r="A666" s="22" t="n">
        <v>46203</v>
      </c>
      <c r="B666" s="19" t="s">
        <v>50</v>
      </c>
      <c r="C666" s="19" t="s">
        <v>12</v>
      </c>
      <c r="D666" s="19" t="s">
        <v>37</v>
      </c>
      <c r="E666" s="19" t="s">
        <v>121</v>
      </c>
      <c r="F666" s="20" t="n">
        <v>23881</v>
      </c>
      <c r="G666" s="20" t="n">
        <v>115000</v>
      </c>
    </row>
    <row r="667" customFormat="false" ht="15" hidden="false" customHeight="false" outlineLevel="0" collapsed="false">
      <c r="A667" s="22" t="n">
        <v>46203</v>
      </c>
      <c r="B667" s="19" t="s">
        <v>50</v>
      </c>
      <c r="C667" s="19" t="s">
        <v>11</v>
      </c>
      <c r="D667" s="19" t="s">
        <v>27</v>
      </c>
      <c r="E667" s="19" t="s">
        <v>63</v>
      </c>
      <c r="F667" s="20" t="n">
        <v>2119</v>
      </c>
      <c r="G667" s="20" t="n">
        <v>0</v>
      </c>
    </row>
    <row r="668" customFormat="false" ht="15" hidden="false" customHeight="false" outlineLevel="0" collapsed="false">
      <c r="A668" s="22" t="n">
        <v>46203</v>
      </c>
      <c r="B668" s="19" t="s">
        <v>50</v>
      </c>
      <c r="C668" s="19" t="s">
        <v>15</v>
      </c>
      <c r="D668" s="19" t="s">
        <v>45</v>
      </c>
      <c r="E668" s="19" t="s">
        <v>97</v>
      </c>
      <c r="F668" s="20" t="n">
        <v>4854</v>
      </c>
      <c r="G668" s="20" t="n">
        <v>0</v>
      </c>
    </row>
    <row r="669" customFormat="false" ht="15" hidden="false" customHeight="false" outlineLevel="0" collapsed="false">
      <c r="A669" s="22" t="n">
        <v>46204</v>
      </c>
      <c r="B669" s="19" t="s">
        <v>50</v>
      </c>
      <c r="C669" s="19" t="s">
        <v>12</v>
      </c>
      <c r="D669" s="19" t="s">
        <v>34</v>
      </c>
      <c r="E669" s="19" t="s">
        <v>112</v>
      </c>
      <c r="F669" s="20" t="n">
        <v>211921</v>
      </c>
      <c r="G669" s="20" t="n">
        <v>1167320</v>
      </c>
    </row>
    <row r="670" customFormat="false" ht="15" hidden="false" customHeight="false" outlineLevel="0" collapsed="false">
      <c r="A670" s="22" t="n">
        <v>46204</v>
      </c>
      <c r="B670" s="19" t="s">
        <v>50</v>
      </c>
      <c r="C670" s="19" t="s">
        <v>12</v>
      </c>
      <c r="D670" s="19" t="s">
        <v>31</v>
      </c>
      <c r="E670" s="19" t="s">
        <v>118</v>
      </c>
      <c r="F670" s="20" t="n">
        <v>196210</v>
      </c>
      <c r="G670" s="20" t="n">
        <v>960125</v>
      </c>
    </row>
    <row r="671" customFormat="false" ht="15" hidden="false" customHeight="false" outlineLevel="0" collapsed="false">
      <c r="A671" s="22" t="n">
        <v>46204</v>
      </c>
      <c r="B671" s="19" t="s">
        <v>50</v>
      </c>
      <c r="C671" s="19" t="s">
        <v>13</v>
      </c>
      <c r="D671" s="19" t="s">
        <v>44</v>
      </c>
      <c r="E671" s="19" t="s">
        <v>120</v>
      </c>
      <c r="F671" s="20" t="n">
        <v>134311</v>
      </c>
      <c r="G671" s="20" t="n">
        <v>575548</v>
      </c>
    </row>
    <row r="672" customFormat="false" ht="15" hidden="false" customHeight="false" outlineLevel="0" collapsed="false">
      <c r="A672" s="22" t="n">
        <v>46204</v>
      </c>
      <c r="B672" s="19" t="s">
        <v>50</v>
      </c>
      <c r="C672" s="19" t="s">
        <v>12</v>
      </c>
      <c r="D672" s="19" t="s">
        <v>37</v>
      </c>
      <c r="E672" s="19" t="s">
        <v>121</v>
      </c>
      <c r="F672" s="20" t="n">
        <v>6773</v>
      </c>
      <c r="G672" s="20" t="n">
        <v>0</v>
      </c>
    </row>
    <row r="673" customFormat="false" ht="15" hidden="false" customHeight="false" outlineLevel="0" collapsed="false">
      <c r="A673" s="22" t="n">
        <v>46204</v>
      </c>
      <c r="B673" s="19" t="s">
        <v>50</v>
      </c>
      <c r="C673" s="19" t="s">
        <v>11</v>
      </c>
      <c r="D673" s="19" t="s">
        <v>27</v>
      </c>
      <c r="E673" s="19" t="s">
        <v>63</v>
      </c>
      <c r="F673" s="20" t="n">
        <v>5750</v>
      </c>
      <c r="G673" s="20" t="n">
        <v>0</v>
      </c>
    </row>
    <row r="674" customFormat="false" ht="15" hidden="false" customHeight="false" outlineLevel="0" collapsed="false">
      <c r="A674" s="22" t="n">
        <v>46204</v>
      </c>
      <c r="B674" s="19" t="s">
        <v>50</v>
      </c>
      <c r="C674" s="19" t="s">
        <v>15</v>
      </c>
      <c r="D674" s="19" t="s">
        <v>45</v>
      </c>
      <c r="E674" s="19" t="s">
        <v>97</v>
      </c>
      <c r="F674" s="20" t="n">
        <v>1173</v>
      </c>
      <c r="G674" s="20" t="n">
        <v>0</v>
      </c>
    </row>
    <row r="675" customFormat="false" ht="15" hidden="false" customHeight="false" outlineLevel="0" collapsed="false">
      <c r="A675" s="22" t="n">
        <v>46204</v>
      </c>
      <c r="B675" s="19" t="s">
        <v>50</v>
      </c>
      <c r="C675" s="19" t="s">
        <v>11</v>
      </c>
      <c r="D675" s="19" t="s">
        <v>28</v>
      </c>
      <c r="E675" s="19" t="s">
        <v>98</v>
      </c>
      <c r="F675" s="20" t="n">
        <v>3675</v>
      </c>
      <c r="G675" s="20" t="n">
        <v>0</v>
      </c>
    </row>
    <row r="676" customFormat="false" ht="15" hidden="false" customHeight="false" outlineLevel="0" collapsed="false">
      <c r="A676" s="22" t="n">
        <v>46205</v>
      </c>
      <c r="B676" s="19" t="s">
        <v>50</v>
      </c>
      <c r="C676" s="19" t="s">
        <v>13</v>
      </c>
      <c r="D676" s="19" t="s">
        <v>44</v>
      </c>
      <c r="E676" s="19" t="s">
        <v>120</v>
      </c>
      <c r="F676" s="20" t="n">
        <v>500000</v>
      </c>
      <c r="G676" s="20" t="n">
        <v>2778538</v>
      </c>
    </row>
    <row r="677" customFormat="false" ht="15" hidden="false" customHeight="false" outlineLevel="0" collapsed="false">
      <c r="A677" s="22" t="n">
        <v>46205</v>
      </c>
      <c r="B677" s="19" t="s">
        <v>50</v>
      </c>
      <c r="C677" s="19" t="s">
        <v>15</v>
      </c>
      <c r="D677" s="19" t="s">
        <v>45</v>
      </c>
      <c r="E677" s="19" t="s">
        <v>97</v>
      </c>
      <c r="F677" s="20" t="n">
        <v>86442</v>
      </c>
      <c r="G677" s="20" t="n">
        <v>456586</v>
      </c>
    </row>
    <row r="678" customFormat="false" ht="15" hidden="false" customHeight="false" outlineLevel="0" collapsed="false">
      <c r="A678" s="22" t="n">
        <v>46205</v>
      </c>
      <c r="B678" s="19" t="s">
        <v>50</v>
      </c>
      <c r="C678" s="19" t="s">
        <v>12</v>
      </c>
      <c r="D678" s="19" t="s">
        <v>31</v>
      </c>
      <c r="E678" s="19" t="s">
        <v>118</v>
      </c>
      <c r="F678" s="20" t="n">
        <v>131322</v>
      </c>
      <c r="G678" s="20" t="n">
        <v>0</v>
      </c>
    </row>
    <row r="679" customFormat="false" ht="15" hidden="false" customHeight="false" outlineLevel="0" collapsed="false">
      <c r="A679" s="22" t="n">
        <v>46205</v>
      </c>
      <c r="B679" s="19" t="s">
        <v>50</v>
      </c>
      <c r="C679" s="19" t="s">
        <v>12</v>
      </c>
      <c r="D679" s="19" t="s">
        <v>34</v>
      </c>
      <c r="E679" s="19" t="s">
        <v>112</v>
      </c>
      <c r="F679" s="20" t="n">
        <v>67685</v>
      </c>
      <c r="G679" s="20" t="n">
        <v>71400</v>
      </c>
    </row>
    <row r="680" customFormat="false" ht="15" hidden="false" customHeight="false" outlineLevel="0" collapsed="false">
      <c r="A680" s="22" t="n">
        <v>46205</v>
      </c>
      <c r="B680" s="19" t="s">
        <v>50</v>
      </c>
      <c r="C680" s="19" t="s">
        <v>11</v>
      </c>
      <c r="D680" s="19" t="s">
        <v>27</v>
      </c>
      <c r="E680" s="19" t="s">
        <v>63</v>
      </c>
      <c r="F680" s="20" t="n">
        <v>15254</v>
      </c>
      <c r="G680" s="20" t="n">
        <v>78000</v>
      </c>
    </row>
    <row r="681" customFormat="false" ht="15" hidden="false" customHeight="false" outlineLevel="0" collapsed="false">
      <c r="A681" s="22" t="n">
        <v>46205</v>
      </c>
      <c r="B681" s="19" t="s">
        <v>50</v>
      </c>
      <c r="C681" s="19" t="s">
        <v>11</v>
      </c>
      <c r="D681" s="19" t="s">
        <v>28</v>
      </c>
      <c r="E681" s="19" t="s">
        <v>98</v>
      </c>
      <c r="F681" s="20" t="n">
        <v>7094</v>
      </c>
      <c r="G681" s="20" t="n">
        <v>0</v>
      </c>
    </row>
    <row r="682" customFormat="false" ht="15" hidden="false" customHeight="false" outlineLevel="0" collapsed="false">
      <c r="A682" s="22" t="n">
        <v>46205</v>
      </c>
      <c r="B682" s="19" t="s">
        <v>50</v>
      </c>
      <c r="C682" s="19" t="s">
        <v>12</v>
      </c>
      <c r="D682" s="19" t="s">
        <v>37</v>
      </c>
      <c r="E682" s="19" t="s">
        <v>121</v>
      </c>
      <c r="F682" s="20" t="n">
        <v>5147</v>
      </c>
      <c r="G682" s="20" t="n">
        <v>0</v>
      </c>
    </row>
    <row r="683" customFormat="false" ht="15" hidden="false" customHeight="false" outlineLevel="0" collapsed="false">
      <c r="A683" s="22" t="n">
        <v>46206</v>
      </c>
      <c r="B683" s="19" t="s">
        <v>50</v>
      </c>
      <c r="C683" s="19" t="s">
        <v>13</v>
      </c>
      <c r="D683" s="19" t="s">
        <v>44</v>
      </c>
      <c r="E683" s="19" t="s">
        <v>120</v>
      </c>
      <c r="F683" s="20" t="n">
        <v>421782</v>
      </c>
      <c r="G683" s="20" t="n">
        <v>1463464</v>
      </c>
    </row>
    <row r="684" customFormat="false" ht="15" hidden="false" customHeight="false" outlineLevel="0" collapsed="false">
      <c r="A684" s="22" t="n">
        <v>46206</v>
      </c>
      <c r="B684" s="19" t="s">
        <v>50</v>
      </c>
      <c r="C684" s="19" t="s">
        <v>12</v>
      </c>
      <c r="D684" s="19" t="s">
        <v>34</v>
      </c>
      <c r="E684" s="19" t="s">
        <v>112</v>
      </c>
      <c r="F684" s="20" t="n">
        <v>70883</v>
      </c>
      <c r="G684" s="20" t="n">
        <v>359856</v>
      </c>
    </row>
    <row r="685" customFormat="false" ht="15" hidden="false" customHeight="false" outlineLevel="0" collapsed="false">
      <c r="A685" s="22" t="n">
        <v>46206</v>
      </c>
      <c r="B685" s="19" t="s">
        <v>50</v>
      </c>
      <c r="C685" s="19" t="s">
        <v>12</v>
      </c>
      <c r="D685" s="19" t="s">
        <v>31</v>
      </c>
      <c r="E685" s="19" t="s">
        <v>118</v>
      </c>
      <c r="F685" s="20" t="n">
        <v>157292</v>
      </c>
      <c r="G685" s="20" t="n">
        <v>433185</v>
      </c>
    </row>
    <row r="686" customFormat="false" ht="15" hidden="false" customHeight="false" outlineLevel="0" collapsed="false">
      <c r="A686" s="22" t="n">
        <v>46206</v>
      </c>
      <c r="B686" s="19" t="s">
        <v>50</v>
      </c>
      <c r="C686" s="19" t="s">
        <v>15</v>
      </c>
      <c r="D686" s="19" t="s">
        <v>45</v>
      </c>
      <c r="E686" s="19" t="s">
        <v>97</v>
      </c>
      <c r="F686" s="20" t="n">
        <v>16006</v>
      </c>
      <c r="G686" s="20" t="n">
        <v>0</v>
      </c>
    </row>
    <row r="687" customFormat="false" ht="15" hidden="false" customHeight="false" outlineLevel="0" collapsed="false">
      <c r="A687" s="22" t="n">
        <v>46206</v>
      </c>
      <c r="B687" s="19" t="s">
        <v>50</v>
      </c>
      <c r="C687" s="19" t="s">
        <v>11</v>
      </c>
      <c r="D687" s="19" t="s">
        <v>28</v>
      </c>
      <c r="E687" s="19" t="s">
        <v>98</v>
      </c>
      <c r="F687" s="20" t="n">
        <v>27119</v>
      </c>
      <c r="G687" s="20" t="n">
        <v>115000</v>
      </c>
    </row>
    <row r="688" customFormat="false" ht="15" hidden="false" customHeight="false" outlineLevel="0" collapsed="false">
      <c r="A688" s="22" t="n">
        <v>46206</v>
      </c>
      <c r="B688" s="19" t="s">
        <v>50</v>
      </c>
      <c r="C688" s="19" t="s">
        <v>12</v>
      </c>
      <c r="D688" s="19" t="s">
        <v>37</v>
      </c>
      <c r="E688" s="19" t="s">
        <v>121</v>
      </c>
      <c r="F688" s="20" t="n">
        <v>5400</v>
      </c>
      <c r="G688" s="20" t="n">
        <v>0</v>
      </c>
    </row>
    <row r="689" customFormat="false" ht="15" hidden="false" customHeight="false" outlineLevel="0" collapsed="false">
      <c r="A689" s="22" t="n">
        <v>46206</v>
      </c>
      <c r="B689" s="19" t="s">
        <v>50</v>
      </c>
      <c r="C689" s="19" t="s">
        <v>11</v>
      </c>
      <c r="D689" s="19" t="s">
        <v>27</v>
      </c>
      <c r="E689" s="19" t="s">
        <v>63</v>
      </c>
      <c r="F689" s="20" t="n">
        <v>4091</v>
      </c>
      <c r="G689" s="20" t="n">
        <v>0</v>
      </c>
    </row>
    <row r="690" customFormat="false" ht="15" hidden="false" customHeight="false" outlineLevel="0" collapsed="false">
      <c r="A690" s="22" t="n">
        <v>46207</v>
      </c>
      <c r="B690" s="19" t="s">
        <v>50</v>
      </c>
      <c r="C690" s="19" t="s">
        <v>13</v>
      </c>
      <c r="D690" s="19" t="s">
        <v>44</v>
      </c>
      <c r="E690" s="19" t="s">
        <v>120</v>
      </c>
      <c r="F690" s="20" t="n">
        <v>588628</v>
      </c>
      <c r="G690" s="20" t="n">
        <v>3501339</v>
      </c>
    </row>
    <row r="691" customFormat="false" ht="15" hidden="false" customHeight="false" outlineLevel="0" collapsed="false">
      <c r="A691" s="22" t="n">
        <v>46207</v>
      </c>
      <c r="B691" s="19" t="s">
        <v>50</v>
      </c>
      <c r="C691" s="19" t="s">
        <v>12</v>
      </c>
      <c r="D691" s="19" t="s">
        <v>34</v>
      </c>
      <c r="E691" s="19" t="s">
        <v>112</v>
      </c>
      <c r="F691" s="20" t="n">
        <v>156567</v>
      </c>
      <c r="G691" s="20" t="n">
        <v>726984</v>
      </c>
    </row>
    <row r="692" customFormat="false" ht="15" hidden="false" customHeight="false" outlineLevel="0" collapsed="false">
      <c r="A692" s="22" t="n">
        <v>46207</v>
      </c>
      <c r="B692" s="19" t="s">
        <v>50</v>
      </c>
      <c r="C692" s="19" t="s">
        <v>12</v>
      </c>
      <c r="D692" s="19" t="s">
        <v>37</v>
      </c>
      <c r="E692" s="19" t="s">
        <v>121</v>
      </c>
      <c r="F692" s="20" t="n">
        <v>69574</v>
      </c>
      <c r="G692" s="20" t="n">
        <v>340512</v>
      </c>
    </row>
    <row r="693" customFormat="false" ht="15" hidden="false" customHeight="false" outlineLevel="0" collapsed="false">
      <c r="A693" s="22" t="n">
        <v>46207</v>
      </c>
      <c r="B693" s="19" t="s">
        <v>50</v>
      </c>
      <c r="C693" s="19" t="s">
        <v>12</v>
      </c>
      <c r="D693" s="19" t="s">
        <v>31</v>
      </c>
      <c r="E693" s="19" t="s">
        <v>118</v>
      </c>
      <c r="F693" s="20" t="n">
        <v>325768</v>
      </c>
      <c r="G693" s="20" t="n">
        <v>1495228</v>
      </c>
    </row>
    <row r="694" customFormat="false" ht="15" hidden="false" customHeight="false" outlineLevel="0" collapsed="false">
      <c r="A694" s="22" t="n">
        <v>46207</v>
      </c>
      <c r="B694" s="19" t="s">
        <v>50</v>
      </c>
      <c r="C694" s="19" t="s">
        <v>15</v>
      </c>
      <c r="D694" s="19" t="s">
        <v>45</v>
      </c>
      <c r="E694" s="19" t="s">
        <v>97</v>
      </c>
      <c r="F694" s="20" t="n">
        <v>53935</v>
      </c>
      <c r="G694" s="20" t="n">
        <v>335800</v>
      </c>
    </row>
    <row r="695" customFormat="false" ht="15" hidden="false" customHeight="false" outlineLevel="0" collapsed="false">
      <c r="A695" s="22" t="n">
        <v>46207</v>
      </c>
      <c r="B695" s="19" t="s">
        <v>50</v>
      </c>
      <c r="C695" s="19" t="s">
        <v>11</v>
      </c>
      <c r="D695" s="19" t="s">
        <v>28</v>
      </c>
      <c r="E695" s="19" t="s">
        <v>98</v>
      </c>
      <c r="F695" s="20" t="n">
        <v>89005</v>
      </c>
      <c r="G695" s="20" t="n">
        <v>431461</v>
      </c>
    </row>
    <row r="696" customFormat="false" ht="15" hidden="false" customHeight="false" outlineLevel="0" collapsed="false">
      <c r="A696" s="22" t="n">
        <v>46207</v>
      </c>
      <c r="B696" s="19" t="s">
        <v>50</v>
      </c>
      <c r="C696" s="19" t="s">
        <v>11</v>
      </c>
      <c r="D696" s="19" t="s">
        <v>27</v>
      </c>
      <c r="E696" s="19" t="s">
        <v>63</v>
      </c>
      <c r="F696" s="20" t="n">
        <v>8010</v>
      </c>
      <c r="G696" s="20" t="n">
        <v>39000</v>
      </c>
    </row>
    <row r="697" customFormat="false" ht="15" hidden="false" customHeight="false" outlineLevel="0" collapsed="false">
      <c r="A697" s="22" t="n">
        <v>46208</v>
      </c>
      <c r="B697" s="19" t="s">
        <v>50</v>
      </c>
      <c r="C697" s="19" t="s">
        <v>13</v>
      </c>
      <c r="D697" s="19" t="s">
        <v>44</v>
      </c>
      <c r="E697" s="19" t="s">
        <v>120</v>
      </c>
      <c r="F697" s="20" t="n">
        <v>380517</v>
      </c>
      <c r="G697" s="20" t="n">
        <v>2048617</v>
      </c>
    </row>
    <row r="698" customFormat="false" ht="15" hidden="false" customHeight="false" outlineLevel="0" collapsed="false">
      <c r="A698" s="22" t="n">
        <v>46208</v>
      </c>
      <c r="B698" s="19" t="s">
        <v>50</v>
      </c>
      <c r="C698" s="19" t="s">
        <v>12</v>
      </c>
      <c r="D698" s="19" t="s">
        <v>37</v>
      </c>
      <c r="E698" s="19" t="s">
        <v>121</v>
      </c>
      <c r="F698" s="20" t="n">
        <v>199539</v>
      </c>
      <c r="G698" s="20" t="n">
        <v>847916</v>
      </c>
    </row>
    <row r="699" customFormat="false" ht="15" hidden="false" customHeight="false" outlineLevel="0" collapsed="false">
      <c r="A699" s="22" t="n">
        <v>46208</v>
      </c>
      <c r="B699" s="19" t="s">
        <v>50</v>
      </c>
      <c r="C699" s="19" t="s">
        <v>12</v>
      </c>
      <c r="D699" s="19" t="s">
        <v>31</v>
      </c>
      <c r="E699" s="19" t="s">
        <v>118</v>
      </c>
      <c r="F699" s="20" t="n">
        <v>173286</v>
      </c>
      <c r="G699" s="20" t="n">
        <v>880202</v>
      </c>
    </row>
    <row r="700" customFormat="false" ht="15" hidden="false" customHeight="false" outlineLevel="0" collapsed="false">
      <c r="A700" s="22" t="n">
        <v>46208</v>
      </c>
      <c r="B700" s="19" t="s">
        <v>50</v>
      </c>
      <c r="C700" s="19" t="s">
        <v>12</v>
      </c>
      <c r="D700" s="19" t="s">
        <v>34</v>
      </c>
      <c r="E700" s="19" t="s">
        <v>112</v>
      </c>
      <c r="F700" s="20" t="n">
        <v>33061</v>
      </c>
      <c r="G700" s="20" t="n">
        <v>75000</v>
      </c>
    </row>
    <row r="701" customFormat="false" ht="15" hidden="false" customHeight="false" outlineLevel="0" collapsed="false">
      <c r="A701" s="22" t="n">
        <v>46208</v>
      </c>
      <c r="B701" s="19" t="s">
        <v>50</v>
      </c>
      <c r="C701" s="19" t="s">
        <v>11</v>
      </c>
      <c r="D701" s="19" t="s">
        <v>28</v>
      </c>
      <c r="E701" s="19" t="s">
        <v>98</v>
      </c>
      <c r="F701" s="20" t="n">
        <v>41608</v>
      </c>
      <c r="G701" s="20" t="n">
        <v>115000</v>
      </c>
    </row>
    <row r="702" customFormat="false" ht="15" hidden="false" customHeight="false" outlineLevel="0" collapsed="false">
      <c r="A702" s="22" t="n">
        <v>46208</v>
      </c>
      <c r="B702" s="19" t="s">
        <v>50</v>
      </c>
      <c r="C702" s="19" t="s">
        <v>15</v>
      </c>
      <c r="D702" s="19" t="s">
        <v>45</v>
      </c>
      <c r="E702" s="19" t="s">
        <v>97</v>
      </c>
      <c r="F702" s="20" t="n">
        <v>13942</v>
      </c>
      <c r="G702" s="20" t="n">
        <v>69000</v>
      </c>
    </row>
    <row r="703" customFormat="false" ht="15" hidden="false" customHeight="false" outlineLevel="0" collapsed="false">
      <c r="A703" s="22" t="n">
        <v>46208</v>
      </c>
      <c r="B703" s="19" t="s">
        <v>50</v>
      </c>
      <c r="C703" s="19" t="s">
        <v>11</v>
      </c>
      <c r="D703" s="19" t="s">
        <v>27</v>
      </c>
      <c r="E703" s="19" t="s">
        <v>63</v>
      </c>
      <c r="F703" s="20" t="n">
        <v>7183</v>
      </c>
      <c r="G703" s="20" t="n">
        <v>78000</v>
      </c>
    </row>
    <row r="704" customFormat="false" ht="15" hidden="false" customHeight="false" outlineLevel="0" collapsed="false">
      <c r="A704" s="22" t="n">
        <v>46209</v>
      </c>
      <c r="B704" s="19" t="s">
        <v>50</v>
      </c>
      <c r="C704" s="19" t="s">
        <v>13</v>
      </c>
      <c r="D704" s="19" t="s">
        <v>44</v>
      </c>
      <c r="E704" s="19" t="s">
        <v>120</v>
      </c>
      <c r="F704" s="20" t="n">
        <v>341238</v>
      </c>
      <c r="G704" s="20" t="n">
        <v>1343955</v>
      </c>
    </row>
    <row r="705" customFormat="false" ht="15" hidden="false" customHeight="false" outlineLevel="0" collapsed="false">
      <c r="A705" s="22" t="n">
        <v>46209</v>
      </c>
      <c r="B705" s="19" t="s">
        <v>50</v>
      </c>
      <c r="C705" s="19" t="s">
        <v>12</v>
      </c>
      <c r="D705" s="19" t="s">
        <v>37</v>
      </c>
      <c r="E705" s="19" t="s">
        <v>121</v>
      </c>
      <c r="F705" s="20" t="n">
        <v>55849</v>
      </c>
      <c r="G705" s="20" t="n">
        <v>215689</v>
      </c>
    </row>
    <row r="706" customFormat="false" ht="15" hidden="false" customHeight="false" outlineLevel="0" collapsed="false">
      <c r="A706" s="22" t="n">
        <v>46209</v>
      </c>
      <c r="B706" s="19" t="s">
        <v>50</v>
      </c>
      <c r="C706" s="19" t="s">
        <v>12</v>
      </c>
      <c r="D706" s="19" t="s">
        <v>34</v>
      </c>
      <c r="E706" s="19" t="s">
        <v>112</v>
      </c>
      <c r="F706" s="20" t="n">
        <v>60673</v>
      </c>
      <c r="G706" s="20" t="n">
        <v>190000</v>
      </c>
    </row>
    <row r="707" customFormat="false" ht="15" hidden="false" customHeight="false" outlineLevel="0" collapsed="false">
      <c r="A707" s="22" t="n">
        <v>46209</v>
      </c>
      <c r="B707" s="19" t="s">
        <v>50</v>
      </c>
      <c r="C707" s="19" t="s">
        <v>12</v>
      </c>
      <c r="D707" s="19" t="s">
        <v>31</v>
      </c>
      <c r="E707" s="19" t="s">
        <v>118</v>
      </c>
      <c r="F707" s="20" t="n">
        <v>85701</v>
      </c>
      <c r="G707" s="20" t="n">
        <v>236038</v>
      </c>
    </row>
    <row r="708" customFormat="false" ht="15" hidden="false" customHeight="false" outlineLevel="0" collapsed="false">
      <c r="A708" s="22" t="n">
        <v>46209</v>
      </c>
      <c r="B708" s="19" t="s">
        <v>50</v>
      </c>
      <c r="C708" s="19" t="s">
        <v>11</v>
      </c>
      <c r="D708" s="19" t="s">
        <v>28</v>
      </c>
      <c r="E708" s="19" t="s">
        <v>98</v>
      </c>
      <c r="F708" s="20" t="n">
        <v>24730</v>
      </c>
      <c r="G708" s="20" t="n">
        <v>115000</v>
      </c>
    </row>
    <row r="709" customFormat="false" ht="15" hidden="false" customHeight="false" outlineLevel="0" collapsed="false">
      <c r="A709" s="22" t="n">
        <v>46209</v>
      </c>
      <c r="B709" s="19" t="s">
        <v>50</v>
      </c>
      <c r="C709" s="19" t="s">
        <v>15</v>
      </c>
      <c r="D709" s="19" t="s">
        <v>45</v>
      </c>
      <c r="E709" s="19" t="s">
        <v>97</v>
      </c>
      <c r="F709" s="20" t="n">
        <v>11269</v>
      </c>
      <c r="G709" s="20" t="n">
        <v>0</v>
      </c>
    </row>
    <row r="710" customFormat="false" ht="15" hidden="false" customHeight="false" outlineLevel="0" collapsed="false">
      <c r="A710" s="22" t="n">
        <v>46210</v>
      </c>
      <c r="B710" s="19" t="s">
        <v>50</v>
      </c>
      <c r="C710" s="19" t="s">
        <v>13</v>
      </c>
      <c r="D710" s="19" t="s">
        <v>44</v>
      </c>
      <c r="E710" s="19" t="s">
        <v>120</v>
      </c>
      <c r="F710" s="20" t="n">
        <v>1100000</v>
      </c>
      <c r="G710" s="20" t="n">
        <v>7111253</v>
      </c>
    </row>
    <row r="711" customFormat="false" ht="15" hidden="false" customHeight="false" outlineLevel="0" collapsed="false">
      <c r="A711" s="22" t="n">
        <v>46210</v>
      </c>
      <c r="B711" s="19" t="s">
        <v>50</v>
      </c>
      <c r="C711" s="19" t="s">
        <v>12</v>
      </c>
      <c r="D711" s="19" t="s">
        <v>31</v>
      </c>
      <c r="E711" s="19" t="s">
        <v>118</v>
      </c>
      <c r="F711" s="20" t="n">
        <v>549167</v>
      </c>
      <c r="G711" s="20" t="n">
        <v>2596680</v>
      </c>
    </row>
    <row r="712" customFormat="false" ht="15" hidden="false" customHeight="false" outlineLevel="0" collapsed="false">
      <c r="A712" s="22" t="n">
        <v>46210</v>
      </c>
      <c r="B712" s="19" t="s">
        <v>50</v>
      </c>
      <c r="C712" s="19" t="s">
        <v>15</v>
      </c>
      <c r="D712" s="19" t="s">
        <v>45</v>
      </c>
      <c r="E712" s="19" t="s">
        <v>97</v>
      </c>
      <c r="F712" s="20" t="n">
        <v>245279</v>
      </c>
      <c r="G712" s="20" t="n">
        <v>1027357</v>
      </c>
    </row>
    <row r="713" customFormat="false" ht="15" hidden="false" customHeight="false" outlineLevel="0" collapsed="false">
      <c r="A713" s="22" t="n">
        <v>46210</v>
      </c>
      <c r="B713" s="19" t="s">
        <v>50</v>
      </c>
      <c r="C713" s="19" t="s">
        <v>12</v>
      </c>
      <c r="D713" s="19" t="s">
        <v>34</v>
      </c>
      <c r="E713" s="19" t="s">
        <v>112</v>
      </c>
      <c r="F713" s="20" t="n">
        <v>220524</v>
      </c>
      <c r="G713" s="20" t="n">
        <v>1130558</v>
      </c>
    </row>
    <row r="714" customFormat="false" ht="15" hidden="false" customHeight="false" outlineLevel="0" collapsed="false">
      <c r="A714" s="22" t="n">
        <v>46210</v>
      </c>
      <c r="B714" s="19" t="s">
        <v>50</v>
      </c>
      <c r="C714" s="19" t="s">
        <v>11</v>
      </c>
      <c r="D714" s="19" t="s">
        <v>28</v>
      </c>
      <c r="E714" s="19" t="s">
        <v>98</v>
      </c>
      <c r="F714" s="20" t="n">
        <v>200000</v>
      </c>
      <c r="G714" s="20" t="n">
        <v>996296</v>
      </c>
    </row>
    <row r="715" customFormat="false" ht="15" hidden="false" customHeight="false" outlineLevel="0" collapsed="false">
      <c r="A715" s="22" t="n">
        <v>46210</v>
      </c>
      <c r="B715" s="19" t="s">
        <v>50</v>
      </c>
      <c r="C715" s="19" t="s">
        <v>12</v>
      </c>
      <c r="D715" s="19" t="s">
        <v>37</v>
      </c>
      <c r="E715" s="19" t="s">
        <v>121</v>
      </c>
      <c r="F715" s="20" t="n">
        <v>16568</v>
      </c>
      <c r="G715" s="20" t="n">
        <v>0</v>
      </c>
    </row>
    <row r="716" customFormat="false" ht="15" hidden="false" customHeight="false" outlineLevel="0" collapsed="false">
      <c r="A716" s="22" t="n">
        <v>46113</v>
      </c>
      <c r="B716" s="19" t="s">
        <v>51</v>
      </c>
      <c r="C716" s="19" t="s">
        <v>12</v>
      </c>
      <c r="D716" s="19" t="s">
        <v>35</v>
      </c>
      <c r="E716" s="19" t="s">
        <v>122</v>
      </c>
      <c r="F716" s="20" t="n">
        <v>46579</v>
      </c>
      <c r="G716" s="20" t="n">
        <v>101850</v>
      </c>
    </row>
    <row r="717" customFormat="false" ht="15" hidden="false" customHeight="false" outlineLevel="0" collapsed="false">
      <c r="A717" s="22" t="n">
        <v>46113</v>
      </c>
      <c r="B717" s="19" t="s">
        <v>51</v>
      </c>
      <c r="C717" s="19" t="s">
        <v>12</v>
      </c>
      <c r="D717" s="19" t="s">
        <v>37</v>
      </c>
      <c r="E717" s="19" t="s">
        <v>123</v>
      </c>
      <c r="F717" s="20" t="n">
        <v>336634</v>
      </c>
      <c r="G717" s="20" t="n">
        <v>1573909</v>
      </c>
    </row>
    <row r="718" customFormat="false" ht="15" hidden="false" customHeight="false" outlineLevel="0" collapsed="false">
      <c r="A718" s="22" t="n">
        <v>46113</v>
      </c>
      <c r="B718" s="19" t="s">
        <v>51</v>
      </c>
      <c r="C718" s="19" t="s">
        <v>12</v>
      </c>
      <c r="D718" s="19" t="s">
        <v>32</v>
      </c>
      <c r="E718" s="19" t="s">
        <v>124</v>
      </c>
      <c r="F718" s="20" t="n">
        <v>50170</v>
      </c>
      <c r="G718" s="20" t="n">
        <v>101850</v>
      </c>
    </row>
    <row r="719" customFormat="false" ht="15" hidden="false" customHeight="false" outlineLevel="0" collapsed="false">
      <c r="A719" s="22" t="n">
        <v>46113</v>
      </c>
      <c r="B719" s="19" t="s">
        <v>51</v>
      </c>
      <c r="C719" s="19" t="s">
        <v>13</v>
      </c>
      <c r="D719" s="19" t="s">
        <v>42</v>
      </c>
      <c r="E719" s="19" t="s">
        <v>125</v>
      </c>
      <c r="F719" s="20" t="n">
        <v>152474</v>
      </c>
      <c r="G719" s="20" t="n">
        <v>688940</v>
      </c>
    </row>
    <row r="720" customFormat="false" ht="15" hidden="false" customHeight="false" outlineLevel="0" collapsed="false">
      <c r="A720" s="22" t="n">
        <v>46113</v>
      </c>
      <c r="B720" s="19" t="s">
        <v>51</v>
      </c>
      <c r="C720" s="19" t="s">
        <v>12</v>
      </c>
      <c r="D720" s="19" t="s">
        <v>34</v>
      </c>
      <c r="E720" s="19" t="s">
        <v>126</v>
      </c>
      <c r="F720" s="20" t="n">
        <v>69892</v>
      </c>
      <c r="G720" s="20" t="n">
        <v>616503</v>
      </c>
    </row>
    <row r="721" customFormat="false" ht="15" hidden="false" customHeight="false" outlineLevel="0" collapsed="false">
      <c r="A721" s="22" t="n">
        <v>46113</v>
      </c>
      <c r="B721" s="19" t="s">
        <v>51</v>
      </c>
      <c r="C721" s="19" t="s">
        <v>13</v>
      </c>
      <c r="D721" s="19" t="s">
        <v>41</v>
      </c>
      <c r="E721" s="19" t="s">
        <v>127</v>
      </c>
      <c r="F721" s="20" t="n">
        <v>261644</v>
      </c>
      <c r="G721" s="20" t="n">
        <v>1742900</v>
      </c>
    </row>
    <row r="722" customFormat="false" ht="15" hidden="false" customHeight="false" outlineLevel="0" collapsed="false">
      <c r="A722" s="22" t="n">
        <v>46113</v>
      </c>
      <c r="B722" s="19" t="s">
        <v>51</v>
      </c>
      <c r="C722" s="19" t="s">
        <v>12</v>
      </c>
      <c r="D722" s="19" t="s">
        <v>30</v>
      </c>
      <c r="E722" s="19" t="s">
        <v>128</v>
      </c>
      <c r="F722" s="20" t="n">
        <v>200552</v>
      </c>
      <c r="G722" s="20" t="n">
        <v>773810</v>
      </c>
    </row>
    <row r="723" customFormat="false" ht="15" hidden="false" customHeight="false" outlineLevel="0" collapsed="false">
      <c r="A723" s="22" t="n">
        <v>46113</v>
      </c>
      <c r="B723" s="19" t="s">
        <v>51</v>
      </c>
      <c r="C723" s="19" t="s">
        <v>12</v>
      </c>
      <c r="D723" s="19" t="s">
        <v>36</v>
      </c>
      <c r="E723" s="19" t="s">
        <v>129</v>
      </c>
      <c r="F723" s="20" t="n">
        <v>53849</v>
      </c>
      <c r="G723" s="20" t="n">
        <v>337250</v>
      </c>
    </row>
    <row r="724" customFormat="false" ht="15" hidden="false" customHeight="false" outlineLevel="0" collapsed="false">
      <c r="A724" s="22" t="n">
        <v>46113</v>
      </c>
      <c r="B724" s="19" t="s">
        <v>51</v>
      </c>
      <c r="C724" s="19" t="s">
        <v>14</v>
      </c>
      <c r="D724" s="19" t="s">
        <v>40</v>
      </c>
      <c r="E724" s="19" t="s">
        <v>130</v>
      </c>
      <c r="F724" s="20" t="n">
        <v>76125</v>
      </c>
      <c r="G724" s="20" t="n">
        <v>402300</v>
      </c>
    </row>
    <row r="725" customFormat="false" ht="15" hidden="false" customHeight="false" outlineLevel="0" collapsed="false">
      <c r="A725" s="22" t="n">
        <v>46113</v>
      </c>
      <c r="B725" s="19" t="s">
        <v>51</v>
      </c>
      <c r="C725" s="19" t="s">
        <v>12</v>
      </c>
      <c r="D725" s="19" t="s">
        <v>31</v>
      </c>
      <c r="E725" s="19" t="s">
        <v>131</v>
      </c>
      <c r="F725" s="20" t="n">
        <v>67444</v>
      </c>
      <c r="G725" s="20" t="n">
        <v>295000</v>
      </c>
    </row>
    <row r="726" customFormat="false" ht="15" hidden="false" customHeight="false" outlineLevel="0" collapsed="false">
      <c r="A726" s="22" t="n">
        <v>46113</v>
      </c>
      <c r="B726" s="19" t="s">
        <v>51</v>
      </c>
      <c r="C726" s="19" t="s">
        <v>12</v>
      </c>
      <c r="D726" s="19" t="s">
        <v>37</v>
      </c>
      <c r="E726" s="19" t="s">
        <v>132</v>
      </c>
      <c r="F726" s="20" t="n">
        <v>10827</v>
      </c>
      <c r="G726" s="20" t="n">
        <v>0</v>
      </c>
    </row>
    <row r="727" customFormat="false" ht="15" hidden="false" customHeight="false" outlineLevel="0" collapsed="false">
      <c r="A727" s="22" t="n">
        <v>46114</v>
      </c>
      <c r="B727" s="19" t="s">
        <v>51</v>
      </c>
      <c r="C727" s="19" t="s">
        <v>12</v>
      </c>
      <c r="D727" s="19" t="s">
        <v>35</v>
      </c>
      <c r="E727" s="19" t="s">
        <v>122</v>
      </c>
      <c r="F727" s="20" t="n">
        <v>100000</v>
      </c>
      <c r="G727" s="20" t="n">
        <v>533550</v>
      </c>
    </row>
    <row r="728" customFormat="false" ht="15" hidden="false" customHeight="false" outlineLevel="0" collapsed="false">
      <c r="A728" s="22" t="n">
        <v>46114</v>
      </c>
      <c r="B728" s="19" t="s">
        <v>51</v>
      </c>
      <c r="C728" s="19" t="s">
        <v>12</v>
      </c>
      <c r="D728" s="19" t="s">
        <v>37</v>
      </c>
      <c r="E728" s="19" t="s">
        <v>123</v>
      </c>
      <c r="F728" s="20" t="n">
        <v>164486</v>
      </c>
      <c r="G728" s="20" t="n">
        <v>626801</v>
      </c>
    </row>
    <row r="729" customFormat="false" ht="15" hidden="false" customHeight="false" outlineLevel="0" collapsed="false">
      <c r="A729" s="22" t="n">
        <v>46114</v>
      </c>
      <c r="B729" s="19" t="s">
        <v>51</v>
      </c>
      <c r="C729" s="19" t="s">
        <v>12</v>
      </c>
      <c r="D729" s="19" t="s">
        <v>32</v>
      </c>
      <c r="E729" s="19" t="s">
        <v>124</v>
      </c>
      <c r="F729" s="20" t="n">
        <v>210874</v>
      </c>
      <c r="G729" s="20" t="n">
        <v>1522550</v>
      </c>
    </row>
    <row r="730" customFormat="false" ht="15" hidden="false" customHeight="false" outlineLevel="0" collapsed="false">
      <c r="A730" s="22" t="n">
        <v>46114</v>
      </c>
      <c r="B730" s="19" t="s">
        <v>51</v>
      </c>
      <c r="C730" s="19" t="s">
        <v>12</v>
      </c>
      <c r="D730" s="19" t="s">
        <v>34</v>
      </c>
      <c r="E730" s="19" t="s">
        <v>126</v>
      </c>
      <c r="F730" s="20" t="n">
        <v>135986</v>
      </c>
      <c r="G730" s="20" t="n">
        <v>647155</v>
      </c>
    </row>
    <row r="731" customFormat="false" ht="15" hidden="false" customHeight="false" outlineLevel="0" collapsed="false">
      <c r="A731" s="22" t="n">
        <v>46114</v>
      </c>
      <c r="B731" s="19" t="s">
        <v>51</v>
      </c>
      <c r="C731" s="19" t="s">
        <v>12</v>
      </c>
      <c r="D731" s="19" t="s">
        <v>30</v>
      </c>
      <c r="E731" s="19" t="s">
        <v>128</v>
      </c>
      <c r="F731" s="20" t="n">
        <v>200000</v>
      </c>
      <c r="G731" s="20" t="n">
        <v>1351730</v>
      </c>
    </row>
    <row r="732" customFormat="false" ht="15" hidden="false" customHeight="false" outlineLevel="0" collapsed="false">
      <c r="A732" s="22" t="n">
        <v>46114</v>
      </c>
      <c r="B732" s="19" t="s">
        <v>51</v>
      </c>
      <c r="C732" s="19" t="s">
        <v>13</v>
      </c>
      <c r="D732" s="19" t="s">
        <v>42</v>
      </c>
      <c r="E732" s="19" t="s">
        <v>125</v>
      </c>
      <c r="F732" s="20" t="n">
        <v>169589</v>
      </c>
      <c r="G732" s="20" t="n">
        <v>673761</v>
      </c>
    </row>
    <row r="733" customFormat="false" ht="15" hidden="false" customHeight="false" outlineLevel="0" collapsed="false">
      <c r="A733" s="22" t="n">
        <v>46114</v>
      </c>
      <c r="B733" s="19" t="s">
        <v>51</v>
      </c>
      <c r="C733" s="19" t="s">
        <v>13</v>
      </c>
      <c r="D733" s="19" t="s">
        <v>41</v>
      </c>
      <c r="E733" s="19" t="s">
        <v>127</v>
      </c>
      <c r="F733" s="20" t="n">
        <v>194137</v>
      </c>
      <c r="G733" s="20" t="n">
        <v>1072320</v>
      </c>
    </row>
    <row r="734" customFormat="false" ht="15" hidden="false" customHeight="false" outlineLevel="0" collapsed="false">
      <c r="A734" s="22" t="n">
        <v>46114</v>
      </c>
      <c r="B734" s="19" t="s">
        <v>51</v>
      </c>
      <c r="C734" s="19" t="s">
        <v>12</v>
      </c>
      <c r="D734" s="19" t="s">
        <v>36</v>
      </c>
      <c r="E734" s="19" t="s">
        <v>129</v>
      </c>
      <c r="F734" s="20" t="n">
        <v>100000</v>
      </c>
      <c r="G734" s="20" t="n">
        <v>0</v>
      </c>
    </row>
    <row r="735" customFormat="false" ht="15" hidden="false" customHeight="false" outlineLevel="0" collapsed="false">
      <c r="A735" s="22" t="n">
        <v>46114</v>
      </c>
      <c r="B735" s="19" t="s">
        <v>51</v>
      </c>
      <c r="C735" s="19" t="s">
        <v>14</v>
      </c>
      <c r="D735" s="19" t="s">
        <v>40</v>
      </c>
      <c r="E735" s="19" t="s">
        <v>130</v>
      </c>
      <c r="F735" s="20" t="n">
        <v>75895</v>
      </c>
      <c r="G735" s="20" t="n">
        <v>405520</v>
      </c>
    </row>
    <row r="736" customFormat="false" ht="15" hidden="false" customHeight="false" outlineLevel="0" collapsed="false">
      <c r="A736" s="22" t="n">
        <v>46114</v>
      </c>
      <c r="B736" s="19" t="s">
        <v>51</v>
      </c>
      <c r="C736" s="19" t="s">
        <v>15</v>
      </c>
      <c r="D736" s="19" t="s">
        <v>45</v>
      </c>
      <c r="E736" s="19" t="s">
        <v>135</v>
      </c>
      <c r="F736" s="20" t="n">
        <v>15970</v>
      </c>
      <c r="G736" s="20" t="n">
        <v>32000</v>
      </c>
    </row>
    <row r="737" customFormat="false" ht="15" hidden="false" customHeight="false" outlineLevel="0" collapsed="false">
      <c r="A737" s="22" t="n">
        <v>46114</v>
      </c>
      <c r="B737" s="19" t="s">
        <v>51</v>
      </c>
      <c r="C737" s="19" t="s">
        <v>12</v>
      </c>
      <c r="D737" s="19" t="s">
        <v>31</v>
      </c>
      <c r="E737" s="19" t="s">
        <v>131</v>
      </c>
      <c r="F737" s="20" t="n">
        <v>24291</v>
      </c>
      <c r="G737" s="20" t="n">
        <v>0</v>
      </c>
    </row>
    <row r="738" customFormat="false" ht="15" hidden="false" customHeight="false" outlineLevel="0" collapsed="false">
      <c r="A738" s="22" t="n">
        <v>46114</v>
      </c>
      <c r="B738" s="19" t="s">
        <v>51</v>
      </c>
      <c r="C738" s="19" t="s">
        <v>12</v>
      </c>
      <c r="D738" s="19" t="s">
        <v>37</v>
      </c>
      <c r="E738" s="19" t="s">
        <v>132</v>
      </c>
      <c r="F738" s="20" t="n">
        <v>5039</v>
      </c>
      <c r="G738" s="20" t="n">
        <v>0</v>
      </c>
    </row>
    <row r="739" customFormat="false" ht="15" hidden="false" customHeight="false" outlineLevel="0" collapsed="false">
      <c r="A739" s="22" t="n">
        <v>46115</v>
      </c>
      <c r="B739" s="19" t="s">
        <v>51</v>
      </c>
      <c r="C739" s="19" t="s">
        <v>12</v>
      </c>
      <c r="D739" s="19" t="s">
        <v>35</v>
      </c>
      <c r="E739" s="19" t="s">
        <v>122</v>
      </c>
      <c r="F739" s="20" t="n">
        <v>40689</v>
      </c>
      <c r="G739" s="20" t="n">
        <v>0</v>
      </c>
    </row>
    <row r="740" customFormat="false" ht="15" hidden="false" customHeight="false" outlineLevel="0" collapsed="false">
      <c r="A740" s="22" t="n">
        <v>46115</v>
      </c>
      <c r="B740" s="19" t="s">
        <v>51</v>
      </c>
      <c r="C740" s="19" t="s">
        <v>12</v>
      </c>
      <c r="D740" s="19" t="s">
        <v>37</v>
      </c>
      <c r="E740" s="19" t="s">
        <v>123</v>
      </c>
      <c r="F740" s="20" t="n">
        <v>141221</v>
      </c>
      <c r="G740" s="20" t="n">
        <v>423803</v>
      </c>
    </row>
    <row r="741" customFormat="false" ht="15" hidden="false" customHeight="false" outlineLevel="0" collapsed="false">
      <c r="A741" s="22" t="n">
        <v>46115</v>
      </c>
      <c r="B741" s="19" t="s">
        <v>51</v>
      </c>
      <c r="C741" s="19" t="s">
        <v>12</v>
      </c>
      <c r="D741" s="19" t="s">
        <v>32</v>
      </c>
      <c r="E741" s="19" t="s">
        <v>124</v>
      </c>
      <c r="F741" s="20" t="n">
        <v>174538</v>
      </c>
      <c r="G741" s="20" t="n">
        <v>411000</v>
      </c>
    </row>
    <row r="742" customFormat="false" ht="15" hidden="false" customHeight="false" outlineLevel="0" collapsed="false">
      <c r="A742" s="22" t="n">
        <v>46115</v>
      </c>
      <c r="B742" s="19" t="s">
        <v>51</v>
      </c>
      <c r="C742" s="19" t="s">
        <v>13</v>
      </c>
      <c r="D742" s="19" t="s">
        <v>41</v>
      </c>
      <c r="E742" s="19" t="s">
        <v>127</v>
      </c>
      <c r="F742" s="20" t="n">
        <v>290042</v>
      </c>
      <c r="G742" s="20" t="n">
        <v>1580120</v>
      </c>
    </row>
    <row r="743" customFormat="false" ht="15" hidden="false" customHeight="false" outlineLevel="0" collapsed="false">
      <c r="A743" s="22" t="n">
        <v>46115</v>
      </c>
      <c r="B743" s="19" t="s">
        <v>51</v>
      </c>
      <c r="C743" s="19" t="s">
        <v>12</v>
      </c>
      <c r="D743" s="19" t="s">
        <v>30</v>
      </c>
      <c r="E743" s="19" t="s">
        <v>128</v>
      </c>
      <c r="F743" s="20" t="n">
        <v>321222</v>
      </c>
      <c r="G743" s="20" t="n">
        <v>1121530</v>
      </c>
    </row>
    <row r="744" customFormat="false" ht="15" hidden="false" customHeight="false" outlineLevel="0" collapsed="false">
      <c r="A744" s="22" t="n">
        <v>46115</v>
      </c>
      <c r="B744" s="19" t="s">
        <v>51</v>
      </c>
      <c r="C744" s="19" t="s">
        <v>13</v>
      </c>
      <c r="D744" s="19" t="s">
        <v>42</v>
      </c>
      <c r="E744" s="19" t="s">
        <v>125</v>
      </c>
      <c r="F744" s="20" t="n">
        <v>200000</v>
      </c>
      <c r="G744" s="20" t="n">
        <v>1555091</v>
      </c>
    </row>
    <row r="745" customFormat="false" ht="15" hidden="false" customHeight="false" outlineLevel="0" collapsed="false">
      <c r="A745" s="22" t="n">
        <v>46115</v>
      </c>
      <c r="B745" s="19" t="s">
        <v>51</v>
      </c>
      <c r="C745" s="19" t="s">
        <v>12</v>
      </c>
      <c r="D745" s="19" t="s">
        <v>34</v>
      </c>
      <c r="E745" s="19" t="s">
        <v>126</v>
      </c>
      <c r="F745" s="20" t="n">
        <v>67505</v>
      </c>
      <c r="G745" s="20" t="n">
        <v>280330</v>
      </c>
    </row>
    <row r="746" customFormat="false" ht="15" hidden="false" customHeight="false" outlineLevel="0" collapsed="false">
      <c r="A746" s="22" t="n">
        <v>46115</v>
      </c>
      <c r="B746" s="19" t="s">
        <v>51</v>
      </c>
      <c r="C746" s="19" t="s">
        <v>12</v>
      </c>
      <c r="D746" s="19" t="s">
        <v>36</v>
      </c>
      <c r="E746" s="19" t="s">
        <v>129</v>
      </c>
      <c r="F746" s="20" t="n">
        <v>97386</v>
      </c>
      <c r="G746" s="20" t="n">
        <v>159080</v>
      </c>
    </row>
    <row r="747" customFormat="false" ht="15" hidden="false" customHeight="false" outlineLevel="0" collapsed="false">
      <c r="A747" s="22" t="n">
        <v>46115</v>
      </c>
      <c r="B747" s="19" t="s">
        <v>51</v>
      </c>
      <c r="C747" s="19" t="s">
        <v>12</v>
      </c>
      <c r="D747" s="19" t="s">
        <v>31</v>
      </c>
      <c r="E747" s="19" t="s">
        <v>131</v>
      </c>
      <c r="F747" s="20" t="n">
        <v>29522</v>
      </c>
      <c r="G747" s="20" t="n">
        <v>0</v>
      </c>
    </row>
    <row r="748" customFormat="false" ht="15" hidden="false" customHeight="false" outlineLevel="0" collapsed="false">
      <c r="A748" s="22" t="n">
        <v>46115</v>
      </c>
      <c r="B748" s="19" t="s">
        <v>51</v>
      </c>
      <c r="C748" s="19" t="s">
        <v>14</v>
      </c>
      <c r="D748" s="19" t="s">
        <v>40</v>
      </c>
      <c r="E748" s="19" t="s">
        <v>130</v>
      </c>
      <c r="F748" s="20" t="n">
        <v>25467</v>
      </c>
      <c r="G748" s="20" t="n">
        <v>95040</v>
      </c>
    </row>
    <row r="749" customFormat="false" ht="15" hidden="false" customHeight="false" outlineLevel="0" collapsed="false">
      <c r="A749" s="22" t="n">
        <v>46115</v>
      </c>
      <c r="B749" s="19" t="s">
        <v>51</v>
      </c>
      <c r="C749" s="19" t="s">
        <v>15</v>
      </c>
      <c r="D749" s="19" t="s">
        <v>45</v>
      </c>
      <c r="E749" s="19" t="s">
        <v>135</v>
      </c>
      <c r="F749" s="20" t="n">
        <v>2879</v>
      </c>
      <c r="G749" s="20" t="n">
        <v>0</v>
      </c>
    </row>
    <row r="750" customFormat="false" ht="15" hidden="false" customHeight="false" outlineLevel="0" collapsed="false">
      <c r="A750" s="22" t="n">
        <v>46115</v>
      </c>
      <c r="B750" s="19" t="s">
        <v>51</v>
      </c>
      <c r="C750" s="19" t="s">
        <v>12</v>
      </c>
      <c r="D750" s="19" t="s">
        <v>37</v>
      </c>
      <c r="E750" s="19" t="s">
        <v>132</v>
      </c>
      <c r="F750" s="20" t="n">
        <v>6179</v>
      </c>
      <c r="G750" s="20" t="n">
        <v>0</v>
      </c>
    </row>
    <row r="751" customFormat="false" ht="15" hidden="false" customHeight="false" outlineLevel="0" collapsed="false">
      <c r="A751" s="22" t="n">
        <v>46116</v>
      </c>
      <c r="B751" s="19" t="s">
        <v>51</v>
      </c>
      <c r="C751" s="19" t="s">
        <v>12</v>
      </c>
      <c r="D751" s="19" t="s">
        <v>35</v>
      </c>
      <c r="E751" s="19" t="s">
        <v>122</v>
      </c>
      <c r="F751" s="20" t="n">
        <v>100000</v>
      </c>
      <c r="G751" s="20" t="n">
        <v>585060</v>
      </c>
    </row>
    <row r="752" customFormat="false" ht="15" hidden="false" customHeight="false" outlineLevel="0" collapsed="false">
      <c r="A752" s="22" t="n">
        <v>46116</v>
      </c>
      <c r="B752" s="19" t="s">
        <v>51</v>
      </c>
      <c r="C752" s="19" t="s">
        <v>12</v>
      </c>
      <c r="D752" s="19" t="s">
        <v>37</v>
      </c>
      <c r="E752" s="19" t="s">
        <v>123</v>
      </c>
      <c r="F752" s="20" t="n">
        <v>400000</v>
      </c>
      <c r="G752" s="20" t="n">
        <v>2100712</v>
      </c>
    </row>
    <row r="753" customFormat="false" ht="15" hidden="false" customHeight="false" outlineLevel="0" collapsed="false">
      <c r="A753" s="22" t="n">
        <v>46116</v>
      </c>
      <c r="B753" s="19" t="s">
        <v>51</v>
      </c>
      <c r="C753" s="19" t="s">
        <v>12</v>
      </c>
      <c r="D753" s="19" t="s">
        <v>34</v>
      </c>
      <c r="E753" s="19" t="s">
        <v>126</v>
      </c>
      <c r="F753" s="20" t="n">
        <v>300000</v>
      </c>
      <c r="G753" s="20" t="n">
        <v>1457003</v>
      </c>
    </row>
    <row r="754" customFormat="false" ht="15" hidden="false" customHeight="false" outlineLevel="0" collapsed="false">
      <c r="A754" s="22" t="n">
        <v>46116</v>
      </c>
      <c r="B754" s="19" t="s">
        <v>51</v>
      </c>
      <c r="C754" s="19" t="s">
        <v>12</v>
      </c>
      <c r="D754" s="19" t="s">
        <v>32</v>
      </c>
      <c r="E754" s="19" t="s">
        <v>124</v>
      </c>
      <c r="F754" s="20" t="n">
        <v>160821</v>
      </c>
      <c r="G754" s="20" t="n">
        <v>814710</v>
      </c>
    </row>
    <row r="755" customFormat="false" ht="15" hidden="false" customHeight="false" outlineLevel="0" collapsed="false">
      <c r="A755" s="22" t="n">
        <v>46116</v>
      </c>
      <c r="B755" s="19" t="s">
        <v>51</v>
      </c>
      <c r="C755" s="19" t="s">
        <v>12</v>
      </c>
      <c r="D755" s="19" t="s">
        <v>30</v>
      </c>
      <c r="E755" s="19" t="s">
        <v>128</v>
      </c>
      <c r="F755" s="20" t="n">
        <v>448469</v>
      </c>
      <c r="G755" s="20" t="n">
        <v>1970625</v>
      </c>
    </row>
    <row r="756" customFormat="false" ht="15" hidden="false" customHeight="false" outlineLevel="0" collapsed="false">
      <c r="A756" s="22" t="n">
        <v>46116</v>
      </c>
      <c r="B756" s="19" t="s">
        <v>51</v>
      </c>
      <c r="C756" s="19" t="s">
        <v>13</v>
      </c>
      <c r="D756" s="19" t="s">
        <v>41</v>
      </c>
      <c r="E756" s="19" t="s">
        <v>127</v>
      </c>
      <c r="F756" s="20" t="n">
        <v>250000</v>
      </c>
      <c r="G756" s="20" t="n">
        <v>1082810</v>
      </c>
    </row>
    <row r="757" customFormat="false" ht="15" hidden="false" customHeight="false" outlineLevel="0" collapsed="false">
      <c r="A757" s="22" t="n">
        <v>46116</v>
      </c>
      <c r="B757" s="19" t="s">
        <v>51</v>
      </c>
      <c r="C757" s="19" t="s">
        <v>15</v>
      </c>
      <c r="D757" s="19" t="s">
        <v>45</v>
      </c>
      <c r="E757" s="19" t="s">
        <v>135</v>
      </c>
      <c r="F757" s="20" t="n">
        <v>19451</v>
      </c>
      <c r="G757" s="20" t="n">
        <v>111550</v>
      </c>
    </row>
    <row r="758" customFormat="false" ht="15" hidden="false" customHeight="false" outlineLevel="0" collapsed="false">
      <c r="A758" s="22" t="n">
        <v>46116</v>
      </c>
      <c r="B758" s="19" t="s">
        <v>51</v>
      </c>
      <c r="C758" s="19" t="s">
        <v>13</v>
      </c>
      <c r="D758" s="19" t="s">
        <v>42</v>
      </c>
      <c r="E758" s="19" t="s">
        <v>125</v>
      </c>
      <c r="F758" s="20" t="n">
        <v>400000</v>
      </c>
      <c r="G758" s="20" t="n">
        <v>1247781</v>
      </c>
    </row>
    <row r="759" customFormat="false" ht="15" hidden="false" customHeight="false" outlineLevel="0" collapsed="false">
      <c r="A759" s="22" t="n">
        <v>46116</v>
      </c>
      <c r="B759" s="19" t="s">
        <v>51</v>
      </c>
      <c r="C759" s="19" t="s">
        <v>14</v>
      </c>
      <c r="D759" s="19" t="s">
        <v>40</v>
      </c>
      <c r="E759" s="19" t="s">
        <v>130</v>
      </c>
      <c r="F759" s="20" t="n">
        <v>25300</v>
      </c>
      <c r="G759" s="20" t="n">
        <v>0</v>
      </c>
    </row>
    <row r="760" customFormat="false" ht="15" hidden="false" customHeight="false" outlineLevel="0" collapsed="false">
      <c r="A760" s="22" t="n">
        <v>46116</v>
      </c>
      <c r="B760" s="19" t="s">
        <v>51</v>
      </c>
      <c r="C760" s="19" t="s">
        <v>12</v>
      </c>
      <c r="D760" s="19" t="s">
        <v>36</v>
      </c>
      <c r="E760" s="19" t="s">
        <v>129</v>
      </c>
      <c r="F760" s="20" t="n">
        <v>6605</v>
      </c>
      <c r="G760" s="20" t="n">
        <v>0</v>
      </c>
    </row>
    <row r="761" customFormat="false" ht="15" hidden="false" customHeight="false" outlineLevel="0" collapsed="false">
      <c r="A761" s="22" t="n">
        <v>46116</v>
      </c>
      <c r="B761" s="19" t="s">
        <v>51</v>
      </c>
      <c r="C761" s="19" t="s">
        <v>12</v>
      </c>
      <c r="D761" s="19" t="s">
        <v>37</v>
      </c>
      <c r="E761" s="19" t="s">
        <v>132</v>
      </c>
      <c r="F761" s="20" t="n">
        <v>7750</v>
      </c>
      <c r="G761" s="20" t="n">
        <v>0</v>
      </c>
    </row>
    <row r="762" customFormat="false" ht="15" hidden="false" customHeight="false" outlineLevel="0" collapsed="false">
      <c r="A762" s="22" t="n">
        <v>46116</v>
      </c>
      <c r="B762" s="19" t="s">
        <v>51</v>
      </c>
      <c r="C762" s="19" t="s">
        <v>12</v>
      </c>
      <c r="D762" s="19" t="s">
        <v>31</v>
      </c>
      <c r="E762" s="19" t="s">
        <v>131</v>
      </c>
      <c r="F762" s="20" t="n">
        <v>64842</v>
      </c>
      <c r="G762" s="20" t="n">
        <v>283200</v>
      </c>
    </row>
    <row r="763" customFormat="false" ht="15" hidden="false" customHeight="false" outlineLevel="0" collapsed="false">
      <c r="A763" s="22" t="n">
        <v>46117</v>
      </c>
      <c r="B763" s="19" t="s">
        <v>51</v>
      </c>
      <c r="C763" s="19" t="s">
        <v>12</v>
      </c>
      <c r="D763" s="19" t="s">
        <v>35</v>
      </c>
      <c r="E763" s="19" t="s">
        <v>122</v>
      </c>
      <c r="F763" s="20" t="n">
        <v>60101</v>
      </c>
      <c r="G763" s="20" t="n">
        <v>193030</v>
      </c>
    </row>
    <row r="764" customFormat="false" ht="15" hidden="false" customHeight="false" outlineLevel="0" collapsed="false">
      <c r="A764" s="22" t="n">
        <v>46117</v>
      </c>
      <c r="B764" s="19" t="s">
        <v>51</v>
      </c>
      <c r="C764" s="19" t="s">
        <v>12</v>
      </c>
      <c r="D764" s="19" t="s">
        <v>37</v>
      </c>
      <c r="E764" s="19" t="s">
        <v>123</v>
      </c>
      <c r="F764" s="20" t="n">
        <v>200000</v>
      </c>
      <c r="G764" s="20" t="n">
        <v>1013119</v>
      </c>
    </row>
    <row r="765" customFormat="false" ht="15" hidden="false" customHeight="false" outlineLevel="0" collapsed="false">
      <c r="A765" s="22" t="n">
        <v>46117</v>
      </c>
      <c r="B765" s="19" t="s">
        <v>51</v>
      </c>
      <c r="C765" s="19" t="s">
        <v>12</v>
      </c>
      <c r="D765" s="19" t="s">
        <v>34</v>
      </c>
      <c r="E765" s="19" t="s">
        <v>126</v>
      </c>
      <c r="F765" s="20" t="n">
        <v>104957</v>
      </c>
      <c r="G765" s="20" t="n">
        <v>314250</v>
      </c>
    </row>
    <row r="766" customFormat="false" ht="15" hidden="false" customHeight="false" outlineLevel="0" collapsed="false">
      <c r="A766" s="22" t="n">
        <v>46117</v>
      </c>
      <c r="B766" s="19" t="s">
        <v>51</v>
      </c>
      <c r="C766" s="19" t="s">
        <v>12</v>
      </c>
      <c r="D766" s="19" t="s">
        <v>32</v>
      </c>
      <c r="E766" s="19" t="s">
        <v>124</v>
      </c>
      <c r="F766" s="20" t="n">
        <v>53363</v>
      </c>
      <c r="G766" s="20" t="n">
        <v>101850</v>
      </c>
    </row>
    <row r="767" customFormat="false" ht="15" hidden="false" customHeight="false" outlineLevel="0" collapsed="false">
      <c r="A767" s="22" t="n">
        <v>46117</v>
      </c>
      <c r="B767" s="19" t="s">
        <v>51</v>
      </c>
      <c r="C767" s="19" t="s">
        <v>13</v>
      </c>
      <c r="D767" s="19" t="s">
        <v>41</v>
      </c>
      <c r="E767" s="19" t="s">
        <v>127</v>
      </c>
      <c r="F767" s="20" t="n">
        <v>250000</v>
      </c>
      <c r="G767" s="20" t="n">
        <v>1714195</v>
      </c>
    </row>
    <row r="768" customFormat="false" ht="15" hidden="false" customHeight="false" outlineLevel="0" collapsed="false">
      <c r="A768" s="22" t="n">
        <v>46117</v>
      </c>
      <c r="B768" s="19" t="s">
        <v>51</v>
      </c>
      <c r="C768" s="19" t="s">
        <v>12</v>
      </c>
      <c r="D768" s="19" t="s">
        <v>30</v>
      </c>
      <c r="E768" s="19" t="s">
        <v>128</v>
      </c>
      <c r="F768" s="20" t="n">
        <v>220665</v>
      </c>
      <c r="G768" s="20" t="n">
        <v>934750</v>
      </c>
    </row>
    <row r="769" customFormat="false" ht="15" hidden="false" customHeight="false" outlineLevel="0" collapsed="false">
      <c r="A769" s="22" t="n">
        <v>46117</v>
      </c>
      <c r="B769" s="19" t="s">
        <v>51</v>
      </c>
      <c r="C769" s="19" t="s">
        <v>15</v>
      </c>
      <c r="D769" s="19" t="s">
        <v>45</v>
      </c>
      <c r="E769" s="19" t="s">
        <v>135</v>
      </c>
      <c r="F769" s="20" t="n">
        <v>14601</v>
      </c>
      <c r="G769" s="20" t="n">
        <v>0</v>
      </c>
    </row>
    <row r="770" customFormat="false" ht="15" hidden="false" customHeight="false" outlineLevel="0" collapsed="false">
      <c r="A770" s="22" t="n">
        <v>46117</v>
      </c>
      <c r="B770" s="19" t="s">
        <v>51</v>
      </c>
      <c r="C770" s="19" t="s">
        <v>12</v>
      </c>
      <c r="D770" s="19" t="s">
        <v>31</v>
      </c>
      <c r="E770" s="19" t="s">
        <v>131</v>
      </c>
      <c r="F770" s="20" t="n">
        <v>16394</v>
      </c>
      <c r="G770" s="20" t="n">
        <v>0</v>
      </c>
    </row>
    <row r="771" customFormat="false" ht="15" hidden="false" customHeight="false" outlineLevel="0" collapsed="false">
      <c r="A771" s="22" t="n">
        <v>46117</v>
      </c>
      <c r="B771" s="19" t="s">
        <v>51</v>
      </c>
      <c r="C771" s="19" t="s">
        <v>14</v>
      </c>
      <c r="D771" s="19" t="s">
        <v>40</v>
      </c>
      <c r="E771" s="19" t="s">
        <v>130</v>
      </c>
      <c r="F771" s="20" t="n">
        <v>25012</v>
      </c>
      <c r="G771" s="20" t="n">
        <v>99000</v>
      </c>
    </row>
    <row r="772" customFormat="false" ht="15" hidden="false" customHeight="false" outlineLevel="0" collapsed="false">
      <c r="A772" s="22" t="n">
        <v>46117</v>
      </c>
      <c r="B772" s="19" t="s">
        <v>51</v>
      </c>
      <c r="C772" s="19" t="s">
        <v>12</v>
      </c>
      <c r="D772" s="19" t="s">
        <v>36</v>
      </c>
      <c r="E772" s="19" t="s">
        <v>129</v>
      </c>
      <c r="F772" s="20" t="n">
        <v>4784</v>
      </c>
      <c r="G772" s="20" t="n">
        <v>0</v>
      </c>
    </row>
    <row r="773" customFormat="false" ht="15" hidden="false" customHeight="false" outlineLevel="0" collapsed="false">
      <c r="A773" s="22" t="n">
        <v>46117</v>
      </c>
      <c r="B773" s="19" t="s">
        <v>51</v>
      </c>
      <c r="C773" s="19" t="s">
        <v>12</v>
      </c>
      <c r="D773" s="19" t="s">
        <v>37</v>
      </c>
      <c r="E773" s="19" t="s">
        <v>132</v>
      </c>
      <c r="F773" s="20" t="n">
        <v>2571</v>
      </c>
      <c r="G773" s="20" t="n">
        <v>0</v>
      </c>
    </row>
    <row r="774" customFormat="false" ht="15" hidden="false" customHeight="false" outlineLevel="0" collapsed="false">
      <c r="A774" s="22" t="n">
        <v>46117</v>
      </c>
      <c r="B774" s="19" t="s">
        <v>51</v>
      </c>
      <c r="C774" s="19" t="s">
        <v>13</v>
      </c>
      <c r="D774" s="19" t="s">
        <v>42</v>
      </c>
      <c r="E774" s="19" t="s">
        <v>136</v>
      </c>
      <c r="F774" s="20" t="n">
        <v>300000</v>
      </c>
      <c r="G774" s="20" t="n">
        <v>355311</v>
      </c>
    </row>
    <row r="775" customFormat="false" ht="15" hidden="false" customHeight="false" outlineLevel="0" collapsed="false">
      <c r="A775" s="22" t="n">
        <v>46118</v>
      </c>
      <c r="B775" s="19" t="s">
        <v>51</v>
      </c>
      <c r="C775" s="19" t="s">
        <v>12</v>
      </c>
      <c r="D775" s="19" t="s">
        <v>35</v>
      </c>
      <c r="E775" s="19" t="s">
        <v>122</v>
      </c>
      <c r="F775" s="20" t="n">
        <v>13677</v>
      </c>
      <c r="G775" s="20" t="n">
        <v>0</v>
      </c>
    </row>
    <row r="776" customFormat="false" ht="15" hidden="false" customHeight="false" outlineLevel="0" collapsed="false">
      <c r="A776" s="22" t="n">
        <v>46118</v>
      </c>
      <c r="B776" s="19" t="s">
        <v>51</v>
      </c>
      <c r="C776" s="19" t="s">
        <v>12</v>
      </c>
      <c r="D776" s="19" t="s">
        <v>37</v>
      </c>
      <c r="E776" s="19" t="s">
        <v>123</v>
      </c>
      <c r="F776" s="20" t="n">
        <v>320263</v>
      </c>
      <c r="G776" s="20" t="n">
        <v>1630400</v>
      </c>
    </row>
    <row r="777" customFormat="false" ht="15" hidden="false" customHeight="false" outlineLevel="0" collapsed="false">
      <c r="A777" s="22" t="n">
        <v>46118</v>
      </c>
      <c r="B777" s="19" t="s">
        <v>51</v>
      </c>
      <c r="C777" s="19" t="s">
        <v>12</v>
      </c>
      <c r="D777" s="19" t="s">
        <v>32</v>
      </c>
      <c r="E777" s="19" t="s">
        <v>124</v>
      </c>
      <c r="F777" s="20" t="n">
        <v>68154</v>
      </c>
      <c r="G777" s="20" t="n">
        <v>301150</v>
      </c>
    </row>
    <row r="778" customFormat="false" ht="15" hidden="false" customHeight="false" outlineLevel="0" collapsed="false">
      <c r="A778" s="22" t="n">
        <v>46118</v>
      </c>
      <c r="B778" s="19" t="s">
        <v>51</v>
      </c>
      <c r="C778" s="19" t="s">
        <v>12</v>
      </c>
      <c r="D778" s="19" t="s">
        <v>30</v>
      </c>
      <c r="E778" s="19" t="s">
        <v>128</v>
      </c>
      <c r="F778" s="20" t="n">
        <v>173312</v>
      </c>
      <c r="G778" s="20" t="n">
        <v>629821</v>
      </c>
    </row>
    <row r="779" customFormat="false" ht="15" hidden="false" customHeight="false" outlineLevel="0" collapsed="false">
      <c r="A779" s="22" t="n">
        <v>46118</v>
      </c>
      <c r="B779" s="19" t="s">
        <v>51</v>
      </c>
      <c r="C779" s="19" t="s">
        <v>13</v>
      </c>
      <c r="D779" s="19" t="s">
        <v>41</v>
      </c>
      <c r="E779" s="19" t="s">
        <v>127</v>
      </c>
      <c r="F779" s="20" t="n">
        <v>194855</v>
      </c>
      <c r="G779" s="20" t="n">
        <v>960950</v>
      </c>
    </row>
    <row r="780" customFormat="false" ht="15" hidden="false" customHeight="false" outlineLevel="0" collapsed="false">
      <c r="A780" s="22" t="n">
        <v>46118</v>
      </c>
      <c r="B780" s="19" t="s">
        <v>51</v>
      </c>
      <c r="C780" s="19" t="s">
        <v>12</v>
      </c>
      <c r="D780" s="19" t="s">
        <v>34</v>
      </c>
      <c r="E780" s="19" t="s">
        <v>126</v>
      </c>
      <c r="F780" s="20" t="n">
        <v>40645</v>
      </c>
      <c r="G780" s="20" t="n">
        <v>0</v>
      </c>
    </row>
    <row r="781" customFormat="false" ht="15" hidden="false" customHeight="false" outlineLevel="0" collapsed="false">
      <c r="A781" s="22" t="n">
        <v>46118</v>
      </c>
      <c r="B781" s="19" t="s">
        <v>51</v>
      </c>
      <c r="C781" s="19" t="s">
        <v>14</v>
      </c>
      <c r="D781" s="19" t="s">
        <v>40</v>
      </c>
      <c r="E781" s="19" t="s">
        <v>130</v>
      </c>
      <c r="F781" s="20" t="n">
        <v>76305</v>
      </c>
      <c r="G781" s="20" t="n">
        <v>668200</v>
      </c>
    </row>
    <row r="782" customFormat="false" ht="15" hidden="false" customHeight="false" outlineLevel="0" collapsed="false">
      <c r="A782" s="22" t="n">
        <v>46118</v>
      </c>
      <c r="B782" s="19" t="s">
        <v>51</v>
      </c>
      <c r="C782" s="19" t="s">
        <v>12</v>
      </c>
      <c r="D782" s="19" t="s">
        <v>31</v>
      </c>
      <c r="E782" s="19" t="s">
        <v>131</v>
      </c>
      <c r="F782" s="20" t="n">
        <v>134225</v>
      </c>
      <c r="G782" s="20" t="n">
        <v>692250</v>
      </c>
    </row>
    <row r="783" customFormat="false" ht="15" hidden="false" customHeight="false" outlineLevel="0" collapsed="false">
      <c r="A783" s="22" t="n">
        <v>46118</v>
      </c>
      <c r="B783" s="19" t="s">
        <v>51</v>
      </c>
      <c r="C783" s="19" t="s">
        <v>12</v>
      </c>
      <c r="D783" s="19" t="s">
        <v>36</v>
      </c>
      <c r="E783" s="19" t="s">
        <v>129</v>
      </c>
      <c r="F783" s="20" t="n">
        <v>4435</v>
      </c>
      <c r="G783" s="20" t="n">
        <v>0</v>
      </c>
    </row>
    <row r="784" customFormat="false" ht="15" hidden="false" customHeight="false" outlineLevel="0" collapsed="false">
      <c r="A784" s="22" t="n">
        <v>46118</v>
      </c>
      <c r="B784" s="19" t="s">
        <v>51</v>
      </c>
      <c r="C784" s="19" t="s">
        <v>15</v>
      </c>
      <c r="D784" s="19" t="s">
        <v>45</v>
      </c>
      <c r="E784" s="19" t="s">
        <v>135</v>
      </c>
      <c r="F784" s="20" t="n">
        <v>4535</v>
      </c>
      <c r="G784" s="20" t="n">
        <v>0</v>
      </c>
    </row>
    <row r="785" customFormat="false" ht="15" hidden="false" customHeight="false" outlineLevel="0" collapsed="false">
      <c r="A785" s="22" t="n">
        <v>46118</v>
      </c>
      <c r="B785" s="19" t="s">
        <v>51</v>
      </c>
      <c r="C785" s="19" t="s">
        <v>12</v>
      </c>
      <c r="D785" s="19" t="s">
        <v>37</v>
      </c>
      <c r="E785" s="19" t="s">
        <v>132</v>
      </c>
      <c r="F785" s="20" t="n">
        <v>2875</v>
      </c>
      <c r="G785" s="20" t="n">
        <v>0</v>
      </c>
    </row>
    <row r="786" customFormat="false" ht="15" hidden="false" customHeight="false" outlineLevel="0" collapsed="false">
      <c r="A786" s="22" t="n">
        <v>46118</v>
      </c>
      <c r="B786" s="19" t="s">
        <v>51</v>
      </c>
      <c r="C786" s="19" t="s">
        <v>13</v>
      </c>
      <c r="D786" s="19" t="s">
        <v>42</v>
      </c>
      <c r="E786" s="19" t="s">
        <v>136</v>
      </c>
      <c r="F786" s="20" t="n">
        <v>128958</v>
      </c>
      <c r="G786" s="20" t="n">
        <v>606200</v>
      </c>
    </row>
    <row r="787" customFormat="false" ht="15" hidden="false" customHeight="false" outlineLevel="0" collapsed="false">
      <c r="A787" s="22" t="n">
        <v>46119</v>
      </c>
      <c r="B787" s="19" t="s">
        <v>51</v>
      </c>
      <c r="C787" s="19" t="s">
        <v>12</v>
      </c>
      <c r="D787" s="19" t="s">
        <v>35</v>
      </c>
      <c r="E787" s="19" t="s">
        <v>122</v>
      </c>
      <c r="F787" s="20" t="n">
        <v>14842</v>
      </c>
      <c r="G787" s="20" t="n">
        <v>0</v>
      </c>
    </row>
    <row r="788" customFormat="false" ht="15" hidden="false" customHeight="false" outlineLevel="0" collapsed="false">
      <c r="A788" s="22" t="n">
        <v>46119</v>
      </c>
      <c r="B788" s="19" t="s">
        <v>51</v>
      </c>
      <c r="C788" s="19" t="s">
        <v>12</v>
      </c>
      <c r="D788" s="19" t="s">
        <v>37</v>
      </c>
      <c r="E788" s="19" t="s">
        <v>123</v>
      </c>
      <c r="F788" s="20" t="n">
        <v>300000</v>
      </c>
      <c r="G788" s="20" t="n">
        <v>1959841</v>
      </c>
    </row>
    <row r="789" customFormat="false" ht="15" hidden="false" customHeight="false" outlineLevel="0" collapsed="false">
      <c r="A789" s="22" t="n">
        <v>46119</v>
      </c>
      <c r="B789" s="19" t="s">
        <v>51</v>
      </c>
      <c r="C789" s="19" t="s">
        <v>12</v>
      </c>
      <c r="D789" s="19" t="s">
        <v>32</v>
      </c>
      <c r="E789" s="19" t="s">
        <v>124</v>
      </c>
      <c r="F789" s="20" t="n">
        <v>168526</v>
      </c>
      <c r="G789" s="20" t="n">
        <v>1082150</v>
      </c>
    </row>
    <row r="790" customFormat="false" ht="15" hidden="false" customHeight="false" outlineLevel="0" collapsed="false">
      <c r="A790" s="22" t="n">
        <v>46119</v>
      </c>
      <c r="B790" s="19" t="s">
        <v>51</v>
      </c>
      <c r="C790" s="19" t="s">
        <v>12</v>
      </c>
      <c r="D790" s="19" t="s">
        <v>30</v>
      </c>
      <c r="E790" s="19" t="s">
        <v>128</v>
      </c>
      <c r="F790" s="20" t="n">
        <v>163301</v>
      </c>
      <c r="G790" s="20" t="n">
        <v>1007150</v>
      </c>
    </row>
    <row r="791" customFormat="false" ht="15" hidden="false" customHeight="false" outlineLevel="0" collapsed="false">
      <c r="A791" s="22" t="n">
        <v>46119</v>
      </c>
      <c r="B791" s="19" t="s">
        <v>51</v>
      </c>
      <c r="C791" s="19" t="s">
        <v>13</v>
      </c>
      <c r="D791" s="19" t="s">
        <v>41</v>
      </c>
      <c r="E791" s="19" t="s">
        <v>127</v>
      </c>
      <c r="F791" s="20" t="n">
        <v>64276</v>
      </c>
      <c r="G791" s="20" t="n">
        <v>179450</v>
      </c>
    </row>
    <row r="792" customFormat="false" ht="15" hidden="false" customHeight="false" outlineLevel="0" collapsed="false">
      <c r="A792" s="22" t="n">
        <v>46119</v>
      </c>
      <c r="B792" s="19" t="s">
        <v>51</v>
      </c>
      <c r="C792" s="19" t="s">
        <v>12</v>
      </c>
      <c r="D792" s="19" t="s">
        <v>34</v>
      </c>
      <c r="E792" s="19" t="s">
        <v>126</v>
      </c>
      <c r="F792" s="20" t="n">
        <v>65761</v>
      </c>
      <c r="G792" s="20" t="n">
        <v>271600</v>
      </c>
    </row>
    <row r="793" customFormat="false" ht="15" hidden="false" customHeight="false" outlineLevel="0" collapsed="false">
      <c r="A793" s="22" t="n">
        <v>46119</v>
      </c>
      <c r="B793" s="19" t="s">
        <v>51</v>
      </c>
      <c r="C793" s="19" t="s">
        <v>12</v>
      </c>
      <c r="D793" s="19" t="s">
        <v>31</v>
      </c>
      <c r="E793" s="19" t="s">
        <v>131</v>
      </c>
      <c r="F793" s="20" t="n">
        <v>205394</v>
      </c>
      <c r="G793" s="20" t="n">
        <v>1110750</v>
      </c>
    </row>
    <row r="794" customFormat="false" ht="15" hidden="false" customHeight="false" outlineLevel="0" collapsed="false">
      <c r="A794" s="22" t="n">
        <v>46119</v>
      </c>
      <c r="B794" s="19" t="s">
        <v>51</v>
      </c>
      <c r="C794" s="19" t="s">
        <v>14</v>
      </c>
      <c r="D794" s="19" t="s">
        <v>40</v>
      </c>
      <c r="E794" s="19" t="s">
        <v>130</v>
      </c>
      <c r="F794" s="20" t="n">
        <v>69946</v>
      </c>
      <c r="G794" s="20" t="n">
        <v>241660</v>
      </c>
    </row>
    <row r="795" customFormat="false" ht="15" hidden="false" customHeight="false" outlineLevel="0" collapsed="false">
      <c r="A795" s="22" t="n">
        <v>46119</v>
      </c>
      <c r="B795" s="19" t="s">
        <v>51</v>
      </c>
      <c r="C795" s="19" t="s">
        <v>12</v>
      </c>
      <c r="D795" s="19" t="s">
        <v>37</v>
      </c>
      <c r="E795" s="19" t="s">
        <v>132</v>
      </c>
      <c r="F795" s="20" t="n">
        <v>40348</v>
      </c>
      <c r="G795" s="20" t="n">
        <v>230000</v>
      </c>
    </row>
    <row r="796" customFormat="false" ht="15" hidden="false" customHeight="false" outlineLevel="0" collapsed="false">
      <c r="A796" s="22" t="n">
        <v>46119</v>
      </c>
      <c r="B796" s="19" t="s">
        <v>51</v>
      </c>
      <c r="C796" s="19" t="s">
        <v>15</v>
      </c>
      <c r="D796" s="19" t="s">
        <v>45</v>
      </c>
      <c r="E796" s="19" t="s">
        <v>135</v>
      </c>
      <c r="F796" s="20" t="n">
        <v>6717</v>
      </c>
      <c r="G796" s="20" t="n">
        <v>0</v>
      </c>
    </row>
    <row r="797" customFormat="false" ht="15" hidden="false" customHeight="false" outlineLevel="0" collapsed="false">
      <c r="A797" s="22" t="n">
        <v>46119</v>
      </c>
      <c r="B797" s="19" t="s">
        <v>51</v>
      </c>
      <c r="C797" s="19" t="s">
        <v>12</v>
      </c>
      <c r="D797" s="19" t="s">
        <v>36</v>
      </c>
      <c r="E797" s="19" t="s">
        <v>129</v>
      </c>
      <c r="F797" s="20" t="n">
        <v>21731</v>
      </c>
      <c r="G797" s="20" t="n">
        <v>0</v>
      </c>
    </row>
    <row r="798" customFormat="false" ht="15" hidden="false" customHeight="false" outlineLevel="0" collapsed="false">
      <c r="A798" s="22" t="n">
        <v>46119</v>
      </c>
      <c r="B798" s="19" t="s">
        <v>51</v>
      </c>
      <c r="C798" s="19" t="s">
        <v>13</v>
      </c>
      <c r="D798" s="19" t="s">
        <v>42</v>
      </c>
      <c r="E798" s="19" t="s">
        <v>136</v>
      </c>
      <c r="F798" s="20" t="n">
        <v>126823</v>
      </c>
      <c r="G798" s="20" t="n">
        <v>653220</v>
      </c>
    </row>
    <row r="799" customFormat="false" ht="15" hidden="false" customHeight="false" outlineLevel="0" collapsed="false">
      <c r="A799" s="22" t="n">
        <v>46120</v>
      </c>
      <c r="B799" s="19" t="s">
        <v>51</v>
      </c>
      <c r="C799" s="19" t="s">
        <v>12</v>
      </c>
      <c r="D799" s="19" t="s">
        <v>35</v>
      </c>
      <c r="E799" s="19" t="s">
        <v>122</v>
      </c>
      <c r="F799" s="20" t="n">
        <v>43514</v>
      </c>
      <c r="G799" s="20" t="n">
        <v>760030</v>
      </c>
    </row>
    <row r="800" customFormat="false" ht="15" hidden="false" customHeight="false" outlineLevel="0" collapsed="false">
      <c r="A800" s="22" t="n">
        <v>46120</v>
      </c>
      <c r="B800" s="19" t="s">
        <v>51</v>
      </c>
      <c r="C800" s="19" t="s">
        <v>12</v>
      </c>
      <c r="D800" s="19" t="s">
        <v>37</v>
      </c>
      <c r="E800" s="19" t="s">
        <v>123</v>
      </c>
      <c r="F800" s="20" t="n">
        <v>160269</v>
      </c>
      <c r="G800" s="20" t="n">
        <v>254931</v>
      </c>
    </row>
    <row r="801" customFormat="false" ht="15" hidden="false" customHeight="false" outlineLevel="0" collapsed="false">
      <c r="A801" s="22" t="n">
        <v>46120</v>
      </c>
      <c r="B801" s="19" t="s">
        <v>51</v>
      </c>
      <c r="C801" s="19" t="s">
        <v>12</v>
      </c>
      <c r="D801" s="19" t="s">
        <v>30</v>
      </c>
      <c r="E801" s="19" t="s">
        <v>128</v>
      </c>
      <c r="F801" s="20" t="n">
        <v>294939</v>
      </c>
      <c r="G801" s="20" t="n">
        <v>1549844</v>
      </c>
    </row>
    <row r="802" customFormat="false" ht="15" hidden="false" customHeight="false" outlineLevel="0" collapsed="false">
      <c r="A802" s="22" t="n">
        <v>46120</v>
      </c>
      <c r="B802" s="19" t="s">
        <v>51</v>
      </c>
      <c r="C802" s="19" t="s">
        <v>12</v>
      </c>
      <c r="D802" s="19" t="s">
        <v>31</v>
      </c>
      <c r="E802" s="19" t="s">
        <v>131</v>
      </c>
      <c r="F802" s="20" t="n">
        <v>239620</v>
      </c>
      <c r="G802" s="20" t="n">
        <v>947291</v>
      </c>
    </row>
    <row r="803" customFormat="false" ht="15" hidden="false" customHeight="false" outlineLevel="0" collapsed="false">
      <c r="A803" s="22" t="n">
        <v>46120</v>
      </c>
      <c r="B803" s="19" t="s">
        <v>51</v>
      </c>
      <c r="C803" s="19" t="s">
        <v>12</v>
      </c>
      <c r="D803" s="19" t="s">
        <v>34</v>
      </c>
      <c r="E803" s="19" t="s">
        <v>126</v>
      </c>
      <c r="F803" s="20" t="n">
        <v>166419</v>
      </c>
      <c r="G803" s="20" t="n">
        <v>785487</v>
      </c>
    </row>
    <row r="804" customFormat="false" ht="15" hidden="false" customHeight="false" outlineLevel="0" collapsed="false">
      <c r="A804" s="22" t="n">
        <v>46120</v>
      </c>
      <c r="B804" s="19" t="s">
        <v>51</v>
      </c>
      <c r="C804" s="19" t="s">
        <v>12</v>
      </c>
      <c r="D804" s="19" t="s">
        <v>37</v>
      </c>
      <c r="E804" s="19" t="s">
        <v>132</v>
      </c>
      <c r="F804" s="20" t="n">
        <v>143397</v>
      </c>
      <c r="G804" s="20" t="n">
        <v>698940</v>
      </c>
    </row>
    <row r="805" customFormat="false" ht="15" hidden="false" customHeight="false" outlineLevel="0" collapsed="false">
      <c r="A805" s="22" t="n">
        <v>46120</v>
      </c>
      <c r="B805" s="19" t="s">
        <v>51</v>
      </c>
      <c r="C805" s="19" t="s">
        <v>14</v>
      </c>
      <c r="D805" s="19" t="s">
        <v>40</v>
      </c>
      <c r="E805" s="19" t="s">
        <v>130</v>
      </c>
      <c r="F805" s="20" t="n">
        <v>100000</v>
      </c>
      <c r="G805" s="20" t="n">
        <v>941530</v>
      </c>
    </row>
    <row r="806" customFormat="false" ht="15" hidden="false" customHeight="false" outlineLevel="0" collapsed="false">
      <c r="A806" s="22" t="n">
        <v>46120</v>
      </c>
      <c r="B806" s="19" t="s">
        <v>51</v>
      </c>
      <c r="C806" s="19" t="s">
        <v>13</v>
      </c>
      <c r="D806" s="19" t="s">
        <v>41</v>
      </c>
      <c r="E806" s="19" t="s">
        <v>127</v>
      </c>
      <c r="F806" s="20" t="n">
        <v>130083</v>
      </c>
      <c r="G806" s="20" t="n">
        <v>609450</v>
      </c>
    </row>
    <row r="807" customFormat="false" ht="15" hidden="false" customHeight="false" outlineLevel="0" collapsed="false">
      <c r="A807" s="22" t="n">
        <v>46120</v>
      </c>
      <c r="B807" s="19" t="s">
        <v>51</v>
      </c>
      <c r="C807" s="19" t="s">
        <v>12</v>
      </c>
      <c r="D807" s="19" t="s">
        <v>32</v>
      </c>
      <c r="E807" s="19" t="s">
        <v>124</v>
      </c>
      <c r="F807" s="20" t="n">
        <v>49341</v>
      </c>
      <c r="G807" s="20" t="n">
        <v>49500</v>
      </c>
    </row>
    <row r="808" customFormat="false" ht="15" hidden="false" customHeight="false" outlineLevel="0" collapsed="false">
      <c r="A808" s="22" t="n">
        <v>46120</v>
      </c>
      <c r="B808" s="19" t="s">
        <v>51</v>
      </c>
      <c r="C808" s="19" t="s">
        <v>15</v>
      </c>
      <c r="D808" s="19" t="s">
        <v>45</v>
      </c>
      <c r="E808" s="19" t="s">
        <v>135</v>
      </c>
      <c r="F808" s="20" t="n">
        <v>53556</v>
      </c>
      <c r="G808" s="20" t="n">
        <v>225660</v>
      </c>
    </row>
    <row r="809" customFormat="false" ht="15" hidden="false" customHeight="false" outlineLevel="0" collapsed="false">
      <c r="A809" s="22" t="n">
        <v>46120</v>
      </c>
      <c r="B809" s="19" t="s">
        <v>51</v>
      </c>
      <c r="C809" s="19" t="s">
        <v>12</v>
      </c>
      <c r="D809" s="19" t="s">
        <v>36</v>
      </c>
      <c r="E809" s="19" t="s">
        <v>129</v>
      </c>
      <c r="F809" s="20" t="n">
        <v>55822</v>
      </c>
      <c r="G809" s="20" t="n">
        <v>0</v>
      </c>
    </row>
    <row r="810" customFormat="false" ht="15" hidden="false" customHeight="false" outlineLevel="0" collapsed="false">
      <c r="A810" s="22" t="n">
        <v>46120</v>
      </c>
      <c r="B810" s="19" t="s">
        <v>51</v>
      </c>
      <c r="C810" s="19" t="s">
        <v>13</v>
      </c>
      <c r="D810" s="19" t="s">
        <v>42</v>
      </c>
      <c r="E810" s="19" t="s">
        <v>136</v>
      </c>
      <c r="F810" s="20" t="n">
        <v>100000</v>
      </c>
      <c r="G810" s="20" t="n">
        <v>520421</v>
      </c>
    </row>
    <row r="811" customFormat="false" ht="15" hidden="false" customHeight="false" outlineLevel="0" collapsed="false">
      <c r="A811" s="22" t="n">
        <v>46121</v>
      </c>
      <c r="B811" s="19" t="s">
        <v>51</v>
      </c>
      <c r="C811" s="19" t="s">
        <v>12</v>
      </c>
      <c r="D811" s="19" t="s">
        <v>35</v>
      </c>
      <c r="E811" s="19" t="s">
        <v>122</v>
      </c>
      <c r="F811" s="20" t="n">
        <v>67786</v>
      </c>
      <c r="G811" s="20" t="n">
        <v>0</v>
      </c>
    </row>
    <row r="812" customFormat="false" ht="15" hidden="false" customHeight="false" outlineLevel="0" collapsed="false">
      <c r="A812" s="22" t="n">
        <v>46121</v>
      </c>
      <c r="B812" s="19" t="s">
        <v>51</v>
      </c>
      <c r="C812" s="19" t="s">
        <v>12</v>
      </c>
      <c r="D812" s="19" t="s">
        <v>37</v>
      </c>
      <c r="E812" s="19" t="s">
        <v>123</v>
      </c>
      <c r="F812" s="20" t="n">
        <v>200000</v>
      </c>
      <c r="G812" s="20" t="n">
        <v>862627</v>
      </c>
    </row>
    <row r="813" customFormat="false" ht="15" hidden="false" customHeight="false" outlineLevel="0" collapsed="false">
      <c r="A813" s="22" t="n">
        <v>46121</v>
      </c>
      <c r="B813" s="19" t="s">
        <v>51</v>
      </c>
      <c r="C813" s="19" t="s">
        <v>12</v>
      </c>
      <c r="D813" s="19" t="s">
        <v>30</v>
      </c>
      <c r="E813" s="19" t="s">
        <v>128</v>
      </c>
      <c r="F813" s="20" t="n">
        <v>600000</v>
      </c>
      <c r="G813" s="20" t="n">
        <v>3799750</v>
      </c>
    </row>
    <row r="814" customFormat="false" ht="15" hidden="false" customHeight="false" outlineLevel="0" collapsed="false">
      <c r="A814" s="22" t="n">
        <v>46121</v>
      </c>
      <c r="B814" s="19" t="s">
        <v>51</v>
      </c>
      <c r="C814" s="19" t="s">
        <v>12</v>
      </c>
      <c r="D814" s="19" t="s">
        <v>31</v>
      </c>
      <c r="E814" s="19" t="s">
        <v>131</v>
      </c>
      <c r="F814" s="20" t="n">
        <v>350140</v>
      </c>
      <c r="G814" s="20" t="n">
        <v>2108750</v>
      </c>
    </row>
    <row r="815" customFormat="false" ht="15" hidden="false" customHeight="false" outlineLevel="0" collapsed="false">
      <c r="A815" s="22" t="n">
        <v>46121</v>
      </c>
      <c r="B815" s="19" t="s">
        <v>51</v>
      </c>
      <c r="C815" s="19" t="s">
        <v>13</v>
      </c>
      <c r="D815" s="19" t="s">
        <v>41</v>
      </c>
      <c r="E815" s="19" t="s">
        <v>127</v>
      </c>
      <c r="F815" s="20" t="n">
        <v>320429</v>
      </c>
      <c r="G815" s="20" t="n">
        <v>1431200</v>
      </c>
    </row>
    <row r="816" customFormat="false" ht="15" hidden="false" customHeight="false" outlineLevel="0" collapsed="false">
      <c r="A816" s="22" t="n">
        <v>46121</v>
      </c>
      <c r="B816" s="19" t="s">
        <v>51</v>
      </c>
      <c r="C816" s="19" t="s">
        <v>12</v>
      </c>
      <c r="D816" s="19" t="s">
        <v>34</v>
      </c>
      <c r="E816" s="19" t="s">
        <v>126</v>
      </c>
      <c r="F816" s="20" t="n">
        <v>68283</v>
      </c>
      <c r="G816" s="20" t="n">
        <v>259742</v>
      </c>
    </row>
    <row r="817" customFormat="false" ht="15" hidden="false" customHeight="false" outlineLevel="0" collapsed="false">
      <c r="A817" s="22" t="n">
        <v>46121</v>
      </c>
      <c r="B817" s="19" t="s">
        <v>51</v>
      </c>
      <c r="C817" s="19" t="s">
        <v>12</v>
      </c>
      <c r="D817" s="19" t="s">
        <v>30</v>
      </c>
      <c r="E817" s="19" t="s">
        <v>137</v>
      </c>
      <c r="F817" s="20" t="n">
        <v>100000</v>
      </c>
      <c r="G817" s="20" t="n">
        <v>308750</v>
      </c>
    </row>
    <row r="818" customFormat="false" ht="15" hidden="false" customHeight="false" outlineLevel="0" collapsed="false">
      <c r="A818" s="22" t="n">
        <v>46121</v>
      </c>
      <c r="B818" s="19" t="s">
        <v>51</v>
      </c>
      <c r="C818" s="19" t="s">
        <v>14</v>
      </c>
      <c r="D818" s="19" t="s">
        <v>40</v>
      </c>
      <c r="E818" s="19" t="s">
        <v>130</v>
      </c>
      <c r="F818" s="20" t="n">
        <v>100000</v>
      </c>
      <c r="G818" s="20" t="n">
        <v>131100</v>
      </c>
    </row>
    <row r="819" customFormat="false" ht="15" hidden="false" customHeight="false" outlineLevel="0" collapsed="false">
      <c r="A819" s="22" t="n">
        <v>46121</v>
      </c>
      <c r="B819" s="19" t="s">
        <v>51</v>
      </c>
      <c r="C819" s="19" t="s">
        <v>15</v>
      </c>
      <c r="D819" s="19" t="s">
        <v>45</v>
      </c>
      <c r="E819" s="19" t="s">
        <v>135</v>
      </c>
      <c r="F819" s="20" t="n">
        <v>32044</v>
      </c>
      <c r="G819" s="20" t="n">
        <v>111550</v>
      </c>
    </row>
    <row r="820" customFormat="false" ht="15" hidden="false" customHeight="false" outlineLevel="0" collapsed="false">
      <c r="A820" s="22" t="n">
        <v>46121</v>
      </c>
      <c r="B820" s="19" t="s">
        <v>51</v>
      </c>
      <c r="C820" s="19" t="s">
        <v>12</v>
      </c>
      <c r="D820" s="19" t="s">
        <v>37</v>
      </c>
      <c r="E820" s="19" t="s">
        <v>132</v>
      </c>
      <c r="F820" s="20" t="n">
        <v>66523</v>
      </c>
      <c r="G820" s="20" t="n">
        <v>488640</v>
      </c>
    </row>
    <row r="821" customFormat="false" ht="15" hidden="false" customHeight="false" outlineLevel="0" collapsed="false">
      <c r="A821" s="22" t="n">
        <v>46121</v>
      </c>
      <c r="B821" s="19" t="s">
        <v>51</v>
      </c>
      <c r="C821" s="19" t="s">
        <v>13</v>
      </c>
      <c r="D821" s="19" t="s">
        <v>42</v>
      </c>
      <c r="E821" s="19" t="s">
        <v>136</v>
      </c>
      <c r="F821" s="20" t="n">
        <v>263460</v>
      </c>
      <c r="G821" s="20" t="n">
        <v>1376730</v>
      </c>
    </row>
    <row r="822" customFormat="false" ht="15" hidden="false" customHeight="false" outlineLevel="0" collapsed="false">
      <c r="A822" s="22" t="n">
        <v>46122</v>
      </c>
      <c r="B822" s="19" t="s">
        <v>51</v>
      </c>
      <c r="C822" s="19" t="s">
        <v>12</v>
      </c>
      <c r="D822" s="19" t="s">
        <v>35</v>
      </c>
      <c r="E822" s="19" t="s">
        <v>122</v>
      </c>
      <c r="F822" s="20" t="n">
        <v>100000</v>
      </c>
      <c r="G822" s="20" t="n">
        <v>959030</v>
      </c>
    </row>
    <row r="823" customFormat="false" ht="15" hidden="false" customHeight="false" outlineLevel="0" collapsed="false">
      <c r="A823" s="22" t="n">
        <v>46122</v>
      </c>
      <c r="B823" s="19" t="s">
        <v>51</v>
      </c>
      <c r="C823" s="19" t="s">
        <v>12</v>
      </c>
      <c r="D823" s="19" t="s">
        <v>37</v>
      </c>
      <c r="E823" s="19" t="s">
        <v>123</v>
      </c>
      <c r="F823" s="20" t="n">
        <v>129943</v>
      </c>
      <c r="G823" s="20" t="n">
        <v>246001</v>
      </c>
    </row>
    <row r="824" customFormat="false" ht="15" hidden="false" customHeight="false" outlineLevel="0" collapsed="false">
      <c r="A824" s="22" t="n">
        <v>46122</v>
      </c>
      <c r="B824" s="19" t="s">
        <v>51</v>
      </c>
      <c r="C824" s="19" t="s">
        <v>12</v>
      </c>
      <c r="D824" s="19" t="s">
        <v>34</v>
      </c>
      <c r="E824" s="19" t="s">
        <v>126</v>
      </c>
      <c r="F824" s="20" t="n">
        <v>168464</v>
      </c>
      <c r="G824" s="20" t="n">
        <v>729295</v>
      </c>
    </row>
    <row r="825" customFormat="false" ht="15" hidden="false" customHeight="false" outlineLevel="0" collapsed="false">
      <c r="A825" s="22" t="n">
        <v>46122</v>
      </c>
      <c r="B825" s="19" t="s">
        <v>51</v>
      </c>
      <c r="C825" s="19" t="s">
        <v>12</v>
      </c>
      <c r="D825" s="19" t="s">
        <v>30</v>
      </c>
      <c r="E825" s="19" t="s">
        <v>137</v>
      </c>
      <c r="F825" s="20" t="n">
        <v>99581</v>
      </c>
      <c r="G825" s="20" t="n">
        <v>0</v>
      </c>
    </row>
    <row r="826" customFormat="false" ht="15" hidden="false" customHeight="false" outlineLevel="0" collapsed="false">
      <c r="A826" s="22" t="n">
        <v>46122</v>
      </c>
      <c r="B826" s="19" t="s">
        <v>51</v>
      </c>
      <c r="C826" s="19" t="s">
        <v>12</v>
      </c>
      <c r="D826" s="19" t="s">
        <v>31</v>
      </c>
      <c r="E826" s="19" t="s">
        <v>131</v>
      </c>
      <c r="F826" s="20" t="n">
        <v>98721</v>
      </c>
      <c r="G826" s="20" t="n">
        <v>0</v>
      </c>
    </row>
    <row r="827" customFormat="false" ht="15" hidden="false" customHeight="false" outlineLevel="0" collapsed="false">
      <c r="A827" s="22" t="n">
        <v>46122</v>
      </c>
      <c r="B827" s="19" t="s">
        <v>51</v>
      </c>
      <c r="C827" s="19" t="s">
        <v>15</v>
      </c>
      <c r="D827" s="19" t="s">
        <v>45</v>
      </c>
      <c r="E827" s="19" t="s">
        <v>135</v>
      </c>
      <c r="F827" s="20" t="n">
        <v>27647</v>
      </c>
      <c r="G827" s="20" t="n">
        <v>111550</v>
      </c>
    </row>
    <row r="828" customFormat="false" ht="15" hidden="false" customHeight="false" outlineLevel="0" collapsed="false">
      <c r="A828" s="22" t="n">
        <v>46122</v>
      </c>
      <c r="B828" s="19" t="s">
        <v>51</v>
      </c>
      <c r="C828" s="19" t="s">
        <v>14</v>
      </c>
      <c r="D828" s="19" t="s">
        <v>40</v>
      </c>
      <c r="E828" s="19" t="s">
        <v>130</v>
      </c>
      <c r="F828" s="20" t="n">
        <v>100000</v>
      </c>
      <c r="G828" s="20" t="n">
        <v>969342</v>
      </c>
    </row>
    <row r="829" customFormat="false" ht="15" hidden="false" customHeight="false" outlineLevel="0" collapsed="false">
      <c r="A829" s="22" t="n">
        <v>46122</v>
      </c>
      <c r="B829" s="19" t="s">
        <v>51</v>
      </c>
      <c r="C829" s="19" t="s">
        <v>13</v>
      </c>
      <c r="D829" s="19" t="s">
        <v>41</v>
      </c>
      <c r="E829" s="19" t="s">
        <v>127</v>
      </c>
      <c r="F829" s="20" t="n">
        <v>105458</v>
      </c>
      <c r="G829" s="20" t="n">
        <v>179450</v>
      </c>
    </row>
    <row r="830" customFormat="false" ht="15" hidden="false" customHeight="false" outlineLevel="0" collapsed="false">
      <c r="A830" s="22" t="n">
        <v>46122</v>
      </c>
      <c r="B830" s="19" t="s">
        <v>51</v>
      </c>
      <c r="C830" s="19" t="s">
        <v>12</v>
      </c>
      <c r="D830" s="19" t="s">
        <v>37</v>
      </c>
      <c r="E830" s="19" t="s">
        <v>132</v>
      </c>
      <c r="F830" s="20" t="n">
        <v>9767</v>
      </c>
      <c r="G830" s="20" t="n">
        <v>0</v>
      </c>
    </row>
    <row r="831" customFormat="false" ht="15" hidden="false" customHeight="false" outlineLevel="0" collapsed="false">
      <c r="A831" s="22" t="n">
        <v>46122</v>
      </c>
      <c r="B831" s="19" t="s">
        <v>51</v>
      </c>
      <c r="C831" s="19" t="s">
        <v>13</v>
      </c>
      <c r="D831" s="19" t="s">
        <v>42</v>
      </c>
      <c r="E831" s="19" t="s">
        <v>136</v>
      </c>
      <c r="F831" s="20" t="n">
        <v>800000</v>
      </c>
      <c r="G831" s="20" t="n">
        <v>4664899</v>
      </c>
    </row>
    <row r="832" customFormat="false" ht="15" hidden="false" customHeight="false" outlineLevel="0" collapsed="false">
      <c r="A832" s="22" t="n">
        <v>46123</v>
      </c>
      <c r="B832" s="19" t="s">
        <v>51</v>
      </c>
      <c r="C832" s="19" t="s">
        <v>12</v>
      </c>
      <c r="D832" s="19" t="s">
        <v>35</v>
      </c>
      <c r="E832" s="19" t="s">
        <v>122</v>
      </c>
      <c r="F832" s="20" t="n">
        <v>14854</v>
      </c>
      <c r="G832" s="20" t="n">
        <v>0</v>
      </c>
    </row>
    <row r="833" customFormat="false" ht="15" hidden="false" customHeight="false" outlineLevel="0" collapsed="false">
      <c r="A833" s="22" t="n">
        <v>46123</v>
      </c>
      <c r="B833" s="19" t="s">
        <v>51</v>
      </c>
      <c r="C833" s="19" t="s">
        <v>12</v>
      </c>
      <c r="D833" s="19" t="s">
        <v>37</v>
      </c>
      <c r="E833" s="19" t="s">
        <v>123</v>
      </c>
      <c r="F833" s="20" t="n">
        <v>54993</v>
      </c>
      <c r="G833" s="20" t="n">
        <v>200421</v>
      </c>
    </row>
    <row r="834" customFormat="false" ht="15" hidden="false" customHeight="false" outlineLevel="0" collapsed="false">
      <c r="A834" s="22" t="n">
        <v>46123</v>
      </c>
      <c r="B834" s="19" t="s">
        <v>51</v>
      </c>
      <c r="C834" s="19" t="s">
        <v>12</v>
      </c>
      <c r="D834" s="19" t="s">
        <v>37</v>
      </c>
      <c r="E834" s="19" t="s">
        <v>132</v>
      </c>
      <c r="F834" s="20" t="n">
        <v>48270</v>
      </c>
      <c r="G834" s="20" t="n">
        <v>0</v>
      </c>
    </row>
    <row r="835" customFormat="false" ht="15" hidden="false" customHeight="false" outlineLevel="0" collapsed="false">
      <c r="A835" s="22" t="n">
        <v>46123</v>
      </c>
      <c r="B835" s="19" t="s">
        <v>51</v>
      </c>
      <c r="C835" s="19" t="s">
        <v>12</v>
      </c>
      <c r="D835" s="19" t="s">
        <v>34</v>
      </c>
      <c r="E835" s="19" t="s">
        <v>126</v>
      </c>
      <c r="F835" s="20" t="n">
        <v>27539</v>
      </c>
      <c r="G835" s="20" t="n">
        <v>124000</v>
      </c>
    </row>
    <row r="836" customFormat="false" ht="15" hidden="false" customHeight="false" outlineLevel="0" collapsed="false">
      <c r="A836" s="22" t="n">
        <v>46123</v>
      </c>
      <c r="B836" s="19" t="s">
        <v>51</v>
      </c>
      <c r="C836" s="19" t="s">
        <v>12</v>
      </c>
      <c r="D836" s="19" t="s">
        <v>30</v>
      </c>
      <c r="E836" s="19" t="s">
        <v>137</v>
      </c>
      <c r="F836" s="20" t="n">
        <v>100000</v>
      </c>
      <c r="G836" s="20" t="n">
        <v>105730</v>
      </c>
    </row>
    <row r="837" customFormat="false" ht="15" hidden="false" customHeight="false" outlineLevel="0" collapsed="false">
      <c r="A837" s="22" t="n">
        <v>46123</v>
      </c>
      <c r="B837" s="19" t="s">
        <v>51</v>
      </c>
      <c r="C837" s="19" t="s">
        <v>13</v>
      </c>
      <c r="D837" s="19" t="s">
        <v>41</v>
      </c>
      <c r="E837" s="19" t="s">
        <v>127</v>
      </c>
      <c r="F837" s="20" t="n">
        <v>62149</v>
      </c>
      <c r="G837" s="20" t="n">
        <v>0</v>
      </c>
    </row>
    <row r="838" customFormat="false" ht="15" hidden="false" customHeight="false" outlineLevel="0" collapsed="false">
      <c r="A838" s="22" t="n">
        <v>46123</v>
      </c>
      <c r="B838" s="19" t="s">
        <v>51</v>
      </c>
      <c r="C838" s="19" t="s">
        <v>14</v>
      </c>
      <c r="D838" s="19" t="s">
        <v>40</v>
      </c>
      <c r="E838" s="19" t="s">
        <v>130</v>
      </c>
      <c r="F838" s="20" t="n">
        <v>35261</v>
      </c>
      <c r="G838" s="20" t="n">
        <v>0</v>
      </c>
    </row>
    <row r="839" customFormat="false" ht="15" hidden="false" customHeight="false" outlineLevel="0" collapsed="false">
      <c r="A839" s="22" t="n">
        <v>46123</v>
      </c>
      <c r="B839" s="19" t="s">
        <v>51</v>
      </c>
      <c r="C839" s="19" t="s">
        <v>12</v>
      </c>
      <c r="D839" s="19" t="s">
        <v>31</v>
      </c>
      <c r="E839" s="19" t="s">
        <v>131</v>
      </c>
      <c r="F839" s="20" t="n">
        <v>7985</v>
      </c>
      <c r="G839" s="20" t="n">
        <v>0</v>
      </c>
    </row>
    <row r="840" customFormat="false" ht="15" hidden="false" customHeight="false" outlineLevel="0" collapsed="false">
      <c r="A840" s="22" t="n">
        <v>46123</v>
      </c>
      <c r="B840" s="19" t="s">
        <v>51</v>
      </c>
      <c r="C840" s="19" t="s">
        <v>15</v>
      </c>
      <c r="D840" s="19" t="s">
        <v>45</v>
      </c>
      <c r="E840" s="19" t="s">
        <v>135</v>
      </c>
      <c r="F840" s="20" t="n">
        <v>4225</v>
      </c>
      <c r="G840" s="20" t="n">
        <v>0</v>
      </c>
    </row>
    <row r="841" customFormat="false" ht="15" hidden="false" customHeight="false" outlineLevel="0" collapsed="false">
      <c r="A841" s="22" t="n">
        <v>46123</v>
      </c>
      <c r="B841" s="19" t="s">
        <v>51</v>
      </c>
      <c r="C841" s="19" t="s">
        <v>13</v>
      </c>
      <c r="D841" s="19" t="s">
        <v>42</v>
      </c>
      <c r="E841" s="19" t="s">
        <v>136</v>
      </c>
      <c r="F841" s="20" t="n">
        <v>143699</v>
      </c>
      <c r="G841" s="20" t="n">
        <v>308750</v>
      </c>
    </row>
    <row r="842" customFormat="false" ht="15" hidden="false" customHeight="false" outlineLevel="0" collapsed="false">
      <c r="A842" s="22" t="n">
        <v>46124</v>
      </c>
      <c r="B842" s="19" t="s">
        <v>51</v>
      </c>
      <c r="C842" s="19" t="s">
        <v>12</v>
      </c>
      <c r="D842" s="19" t="s">
        <v>35</v>
      </c>
      <c r="E842" s="19" t="s">
        <v>122</v>
      </c>
      <c r="F842" s="20" t="n">
        <v>14503</v>
      </c>
      <c r="G842" s="20" t="n">
        <v>0</v>
      </c>
    </row>
    <row r="843" customFormat="false" ht="15" hidden="false" customHeight="false" outlineLevel="0" collapsed="false">
      <c r="A843" s="22" t="n">
        <v>46124</v>
      </c>
      <c r="B843" s="19" t="s">
        <v>51</v>
      </c>
      <c r="C843" s="19" t="s">
        <v>12</v>
      </c>
      <c r="D843" s="19" t="s">
        <v>37</v>
      </c>
      <c r="E843" s="19" t="s">
        <v>123</v>
      </c>
      <c r="F843" s="20" t="n">
        <v>59895</v>
      </c>
      <c r="G843" s="20" t="n">
        <v>200421</v>
      </c>
    </row>
    <row r="844" customFormat="false" ht="15" hidden="false" customHeight="false" outlineLevel="0" collapsed="false">
      <c r="A844" s="22" t="n">
        <v>46124</v>
      </c>
      <c r="B844" s="19" t="s">
        <v>51</v>
      </c>
      <c r="C844" s="19" t="s">
        <v>12</v>
      </c>
      <c r="D844" s="19" t="s">
        <v>30</v>
      </c>
      <c r="E844" s="19" t="s">
        <v>137</v>
      </c>
      <c r="F844" s="20" t="n">
        <v>96018</v>
      </c>
      <c r="G844" s="20" t="n">
        <v>0</v>
      </c>
    </row>
    <row r="845" customFormat="false" ht="15" hidden="false" customHeight="false" outlineLevel="0" collapsed="false">
      <c r="A845" s="22" t="n">
        <v>46124</v>
      </c>
      <c r="B845" s="19" t="s">
        <v>51</v>
      </c>
      <c r="C845" s="19" t="s">
        <v>14</v>
      </c>
      <c r="D845" s="19" t="s">
        <v>40</v>
      </c>
      <c r="E845" s="19" t="s">
        <v>130</v>
      </c>
      <c r="F845" s="20" t="n">
        <v>140509</v>
      </c>
      <c r="G845" s="20" t="n">
        <v>776310</v>
      </c>
    </row>
    <row r="846" customFormat="false" ht="15" hidden="false" customHeight="false" outlineLevel="0" collapsed="false">
      <c r="A846" s="22" t="n">
        <v>46124</v>
      </c>
      <c r="B846" s="19" t="s">
        <v>51</v>
      </c>
      <c r="C846" s="19" t="s">
        <v>13</v>
      </c>
      <c r="D846" s="19" t="s">
        <v>41</v>
      </c>
      <c r="E846" s="19" t="s">
        <v>127</v>
      </c>
      <c r="F846" s="20" t="n">
        <v>131339</v>
      </c>
      <c r="G846" s="20" t="n">
        <v>0</v>
      </c>
    </row>
    <row r="847" customFormat="false" ht="15" hidden="false" customHeight="false" outlineLevel="0" collapsed="false">
      <c r="A847" s="22" t="n">
        <v>46124</v>
      </c>
      <c r="B847" s="19" t="s">
        <v>51</v>
      </c>
      <c r="C847" s="19" t="s">
        <v>12</v>
      </c>
      <c r="D847" s="19" t="s">
        <v>34</v>
      </c>
      <c r="E847" s="19" t="s">
        <v>126</v>
      </c>
      <c r="F847" s="20" t="n">
        <v>32249</v>
      </c>
      <c r="G847" s="20" t="n">
        <v>124000</v>
      </c>
    </row>
    <row r="848" customFormat="false" ht="15" hidden="false" customHeight="false" outlineLevel="0" collapsed="false">
      <c r="A848" s="22" t="n">
        <v>46124</v>
      </c>
      <c r="B848" s="19" t="s">
        <v>51</v>
      </c>
      <c r="C848" s="19" t="s">
        <v>12</v>
      </c>
      <c r="D848" s="19" t="s">
        <v>37</v>
      </c>
      <c r="E848" s="19" t="s">
        <v>132</v>
      </c>
      <c r="F848" s="20" t="n">
        <v>58338</v>
      </c>
      <c r="G848" s="20" t="n">
        <v>287040</v>
      </c>
    </row>
    <row r="849" customFormat="false" ht="15" hidden="false" customHeight="false" outlineLevel="0" collapsed="false">
      <c r="A849" s="22" t="n">
        <v>46124</v>
      </c>
      <c r="B849" s="19" t="s">
        <v>51</v>
      </c>
      <c r="C849" s="19" t="s">
        <v>12</v>
      </c>
      <c r="D849" s="19" t="s">
        <v>31</v>
      </c>
      <c r="E849" s="19" t="s">
        <v>131</v>
      </c>
      <c r="F849" s="20" t="n">
        <v>63977</v>
      </c>
      <c r="G849" s="20" t="n">
        <v>283200</v>
      </c>
    </row>
    <row r="850" customFormat="false" ht="15" hidden="false" customHeight="false" outlineLevel="0" collapsed="false">
      <c r="A850" s="22" t="n">
        <v>46124</v>
      </c>
      <c r="B850" s="19" t="s">
        <v>51</v>
      </c>
      <c r="C850" s="19" t="s">
        <v>15</v>
      </c>
      <c r="D850" s="19" t="s">
        <v>45</v>
      </c>
      <c r="E850" s="19" t="s">
        <v>135</v>
      </c>
      <c r="F850" s="20" t="n">
        <v>5414</v>
      </c>
      <c r="G850" s="20" t="n">
        <v>0</v>
      </c>
    </row>
    <row r="851" customFormat="false" ht="15" hidden="false" customHeight="false" outlineLevel="0" collapsed="false">
      <c r="A851" s="22" t="n">
        <v>46124</v>
      </c>
      <c r="B851" s="19" t="s">
        <v>51</v>
      </c>
      <c r="C851" s="19" t="s">
        <v>13</v>
      </c>
      <c r="D851" s="19" t="s">
        <v>42</v>
      </c>
      <c r="E851" s="19" t="s">
        <v>136</v>
      </c>
      <c r="F851" s="20" t="n">
        <v>200000</v>
      </c>
      <c r="G851" s="20" t="n">
        <v>819022</v>
      </c>
    </row>
    <row r="852" customFormat="false" ht="15" hidden="false" customHeight="false" outlineLevel="0" collapsed="false">
      <c r="A852" s="22" t="n">
        <v>46125</v>
      </c>
      <c r="B852" s="19" t="s">
        <v>51</v>
      </c>
      <c r="C852" s="19" t="s">
        <v>12</v>
      </c>
      <c r="D852" s="19" t="s">
        <v>35</v>
      </c>
      <c r="E852" s="19" t="s">
        <v>122</v>
      </c>
      <c r="F852" s="20" t="n">
        <v>16938</v>
      </c>
      <c r="G852" s="20" t="n">
        <v>0</v>
      </c>
    </row>
    <row r="853" customFormat="false" ht="15" hidden="false" customHeight="false" outlineLevel="0" collapsed="false">
      <c r="A853" s="22" t="n">
        <v>46125</v>
      </c>
      <c r="B853" s="19" t="s">
        <v>51</v>
      </c>
      <c r="C853" s="19" t="s">
        <v>12</v>
      </c>
      <c r="D853" s="19" t="s">
        <v>37</v>
      </c>
      <c r="E853" s="19" t="s">
        <v>123</v>
      </c>
      <c r="F853" s="20" t="n">
        <v>75048</v>
      </c>
      <c r="G853" s="20" t="n">
        <v>97000</v>
      </c>
    </row>
    <row r="854" customFormat="false" ht="15" hidden="false" customHeight="false" outlineLevel="0" collapsed="false">
      <c r="A854" s="22" t="n">
        <v>46125</v>
      </c>
      <c r="B854" s="19" t="s">
        <v>51</v>
      </c>
      <c r="C854" s="19" t="s">
        <v>12</v>
      </c>
      <c r="D854" s="19" t="s">
        <v>30</v>
      </c>
      <c r="E854" s="19" t="s">
        <v>137</v>
      </c>
      <c r="F854" s="20" t="n">
        <v>276734</v>
      </c>
      <c r="G854" s="20" t="n">
        <v>1168650</v>
      </c>
    </row>
    <row r="855" customFormat="false" ht="15" hidden="false" customHeight="false" outlineLevel="0" collapsed="false">
      <c r="A855" s="22" t="n">
        <v>46125</v>
      </c>
      <c r="B855" s="19" t="s">
        <v>51</v>
      </c>
      <c r="C855" s="19" t="s">
        <v>14</v>
      </c>
      <c r="D855" s="19" t="s">
        <v>40</v>
      </c>
      <c r="E855" s="19" t="s">
        <v>130</v>
      </c>
      <c r="F855" s="20" t="n">
        <v>150000</v>
      </c>
      <c r="G855" s="20" t="n">
        <v>798940</v>
      </c>
    </row>
    <row r="856" customFormat="false" ht="15" hidden="false" customHeight="false" outlineLevel="0" collapsed="false">
      <c r="A856" s="22" t="n">
        <v>46125</v>
      </c>
      <c r="B856" s="19" t="s">
        <v>51</v>
      </c>
      <c r="C856" s="19" t="s">
        <v>12</v>
      </c>
      <c r="D856" s="19" t="s">
        <v>34</v>
      </c>
      <c r="E856" s="19" t="s">
        <v>126</v>
      </c>
      <c r="F856" s="20" t="n">
        <v>76504</v>
      </c>
      <c r="G856" s="20" t="n">
        <v>234750</v>
      </c>
    </row>
    <row r="857" customFormat="false" ht="15" hidden="false" customHeight="false" outlineLevel="0" collapsed="false">
      <c r="A857" s="22" t="n">
        <v>46125</v>
      </c>
      <c r="B857" s="19" t="s">
        <v>51</v>
      </c>
      <c r="C857" s="19" t="s">
        <v>13</v>
      </c>
      <c r="D857" s="19" t="s">
        <v>41</v>
      </c>
      <c r="E857" s="19" t="s">
        <v>127</v>
      </c>
      <c r="F857" s="20" t="n">
        <v>75571</v>
      </c>
      <c r="G857" s="20" t="n">
        <v>378030</v>
      </c>
    </row>
    <row r="858" customFormat="false" ht="15" hidden="false" customHeight="false" outlineLevel="0" collapsed="false">
      <c r="A858" s="22" t="n">
        <v>46125</v>
      </c>
      <c r="B858" s="19" t="s">
        <v>51</v>
      </c>
      <c r="C858" s="19" t="s">
        <v>15</v>
      </c>
      <c r="D858" s="19" t="s">
        <v>45</v>
      </c>
      <c r="E858" s="19" t="s">
        <v>135</v>
      </c>
      <c r="F858" s="20" t="n">
        <v>31218</v>
      </c>
      <c r="G858" s="20" t="n">
        <v>111550</v>
      </c>
    </row>
    <row r="859" customFormat="false" ht="15" hidden="false" customHeight="false" outlineLevel="0" collapsed="false">
      <c r="A859" s="22" t="n">
        <v>46125</v>
      </c>
      <c r="B859" s="19" t="s">
        <v>51</v>
      </c>
      <c r="C859" s="19" t="s">
        <v>12</v>
      </c>
      <c r="D859" s="19" t="s">
        <v>37</v>
      </c>
      <c r="E859" s="19" t="s">
        <v>132</v>
      </c>
      <c r="F859" s="20" t="n">
        <v>52982</v>
      </c>
      <c r="G859" s="20" t="n">
        <v>220800</v>
      </c>
    </row>
    <row r="860" customFormat="false" ht="15" hidden="false" customHeight="false" outlineLevel="0" collapsed="false">
      <c r="A860" s="22" t="n">
        <v>46125</v>
      </c>
      <c r="B860" s="19" t="s">
        <v>51</v>
      </c>
      <c r="C860" s="19" t="s">
        <v>12</v>
      </c>
      <c r="D860" s="19" t="s">
        <v>31</v>
      </c>
      <c r="E860" s="19" t="s">
        <v>131</v>
      </c>
      <c r="F860" s="20" t="n">
        <v>12835</v>
      </c>
      <c r="G860" s="20" t="n">
        <v>0</v>
      </c>
    </row>
    <row r="861" customFormat="false" ht="15" hidden="false" customHeight="false" outlineLevel="0" collapsed="false">
      <c r="A861" s="22" t="n">
        <v>46125</v>
      </c>
      <c r="B861" s="19" t="s">
        <v>51</v>
      </c>
      <c r="C861" s="19" t="s">
        <v>13</v>
      </c>
      <c r="D861" s="19" t="s">
        <v>42</v>
      </c>
      <c r="E861" s="19" t="s">
        <v>136</v>
      </c>
      <c r="F861" s="20" t="n">
        <v>117380</v>
      </c>
      <c r="G861" s="20" t="n">
        <v>351722</v>
      </c>
    </row>
    <row r="862" customFormat="false" ht="15" hidden="false" customHeight="false" outlineLevel="0" collapsed="false">
      <c r="A862" s="22" t="n">
        <v>46126</v>
      </c>
      <c r="B862" s="19" t="s">
        <v>51</v>
      </c>
      <c r="C862" s="19" t="s">
        <v>12</v>
      </c>
      <c r="D862" s="19" t="s">
        <v>35</v>
      </c>
      <c r="E862" s="19" t="s">
        <v>122</v>
      </c>
      <c r="F862" s="20" t="n">
        <v>43705</v>
      </c>
      <c r="G862" s="20" t="n">
        <v>204480</v>
      </c>
    </row>
    <row r="863" customFormat="false" ht="15" hidden="false" customHeight="false" outlineLevel="0" collapsed="false">
      <c r="A863" s="22" t="n">
        <v>46126</v>
      </c>
      <c r="B863" s="19" t="s">
        <v>51</v>
      </c>
      <c r="C863" s="19" t="s">
        <v>12</v>
      </c>
      <c r="D863" s="19" t="s">
        <v>37</v>
      </c>
      <c r="E863" s="19" t="s">
        <v>123</v>
      </c>
      <c r="F863" s="20" t="n">
        <v>400000</v>
      </c>
      <c r="G863" s="20" t="n">
        <v>2475167</v>
      </c>
    </row>
    <row r="864" customFormat="false" ht="15" hidden="false" customHeight="false" outlineLevel="0" collapsed="false">
      <c r="A864" s="22" t="n">
        <v>46126</v>
      </c>
      <c r="B864" s="19" t="s">
        <v>51</v>
      </c>
      <c r="C864" s="19" t="s">
        <v>14</v>
      </c>
      <c r="D864" s="19" t="s">
        <v>40</v>
      </c>
      <c r="E864" s="19" t="s">
        <v>130</v>
      </c>
      <c r="F864" s="20" t="n">
        <v>250000</v>
      </c>
      <c r="G864" s="20" t="n">
        <v>1143180</v>
      </c>
    </row>
    <row r="865" customFormat="false" ht="15" hidden="false" customHeight="false" outlineLevel="0" collapsed="false">
      <c r="A865" s="22" t="n">
        <v>46126</v>
      </c>
      <c r="B865" s="19" t="s">
        <v>51</v>
      </c>
      <c r="C865" s="19" t="s">
        <v>12</v>
      </c>
      <c r="D865" s="19" t="s">
        <v>31</v>
      </c>
      <c r="E865" s="19" t="s">
        <v>131</v>
      </c>
      <c r="F865" s="20" t="n">
        <v>259192</v>
      </c>
      <c r="G865" s="20" t="n">
        <v>1433200</v>
      </c>
    </row>
    <row r="866" customFormat="false" ht="15" hidden="false" customHeight="false" outlineLevel="0" collapsed="false">
      <c r="A866" s="22" t="n">
        <v>46126</v>
      </c>
      <c r="B866" s="19" t="s">
        <v>51</v>
      </c>
      <c r="C866" s="19" t="s">
        <v>13</v>
      </c>
      <c r="D866" s="19" t="s">
        <v>41</v>
      </c>
      <c r="E866" s="19" t="s">
        <v>127</v>
      </c>
      <c r="F866" s="20" t="n">
        <v>200000</v>
      </c>
      <c r="G866" s="20" t="n">
        <v>1483060</v>
      </c>
    </row>
    <row r="867" customFormat="false" ht="15" hidden="false" customHeight="false" outlineLevel="0" collapsed="false">
      <c r="A867" s="22" t="n">
        <v>46126</v>
      </c>
      <c r="B867" s="19" t="s">
        <v>51</v>
      </c>
      <c r="C867" s="19" t="s">
        <v>12</v>
      </c>
      <c r="D867" s="19" t="s">
        <v>30</v>
      </c>
      <c r="E867" s="19" t="s">
        <v>137</v>
      </c>
      <c r="F867" s="20" t="n">
        <v>105039</v>
      </c>
      <c r="G867" s="20" t="n">
        <v>169750</v>
      </c>
    </row>
    <row r="868" customFormat="false" ht="15" hidden="false" customHeight="false" outlineLevel="0" collapsed="false">
      <c r="A868" s="22" t="n">
        <v>46126</v>
      </c>
      <c r="B868" s="19" t="s">
        <v>51</v>
      </c>
      <c r="C868" s="19" t="s">
        <v>12</v>
      </c>
      <c r="D868" s="19" t="s">
        <v>34</v>
      </c>
      <c r="E868" s="19" t="s">
        <v>126</v>
      </c>
      <c r="F868" s="20" t="n">
        <v>34347</v>
      </c>
      <c r="G868" s="20" t="n">
        <v>186250</v>
      </c>
    </row>
    <row r="869" customFormat="false" ht="15" hidden="false" customHeight="false" outlineLevel="0" collapsed="false">
      <c r="A869" s="22" t="n">
        <v>46126</v>
      </c>
      <c r="B869" s="19" t="s">
        <v>51</v>
      </c>
      <c r="C869" s="19" t="s">
        <v>15</v>
      </c>
      <c r="D869" s="19" t="s">
        <v>45</v>
      </c>
      <c r="E869" s="19" t="s">
        <v>135</v>
      </c>
      <c r="F869" s="20" t="n">
        <v>14106</v>
      </c>
      <c r="G869" s="20" t="n">
        <v>0</v>
      </c>
    </row>
    <row r="870" customFormat="false" ht="15" hidden="false" customHeight="false" outlineLevel="0" collapsed="false">
      <c r="A870" s="22" t="n">
        <v>46126</v>
      </c>
      <c r="B870" s="19" t="s">
        <v>51</v>
      </c>
      <c r="C870" s="19" t="s">
        <v>12</v>
      </c>
      <c r="D870" s="19" t="s">
        <v>37</v>
      </c>
      <c r="E870" s="19" t="s">
        <v>132</v>
      </c>
      <c r="F870" s="20" t="n">
        <v>6899</v>
      </c>
      <c r="G870" s="20" t="n">
        <v>0</v>
      </c>
    </row>
    <row r="871" customFormat="false" ht="15" hidden="false" customHeight="false" outlineLevel="0" collapsed="false">
      <c r="A871" s="22" t="n">
        <v>46126</v>
      </c>
      <c r="B871" s="19" t="s">
        <v>51</v>
      </c>
      <c r="C871" s="19" t="s">
        <v>13</v>
      </c>
      <c r="D871" s="19" t="s">
        <v>42</v>
      </c>
      <c r="E871" s="19" t="s">
        <v>136</v>
      </c>
      <c r="F871" s="20" t="n">
        <v>38649</v>
      </c>
      <c r="G871" s="20" t="n">
        <v>175861</v>
      </c>
    </row>
    <row r="872" customFormat="false" ht="15" hidden="false" customHeight="false" outlineLevel="0" collapsed="false">
      <c r="A872" s="22" t="n">
        <v>46127</v>
      </c>
      <c r="B872" s="19" t="s">
        <v>51</v>
      </c>
      <c r="C872" s="19" t="s">
        <v>12</v>
      </c>
      <c r="D872" s="19" t="s">
        <v>35</v>
      </c>
      <c r="E872" s="19" t="s">
        <v>122</v>
      </c>
      <c r="F872" s="20" t="n">
        <v>105756</v>
      </c>
      <c r="G872" s="20" t="n">
        <v>392030</v>
      </c>
    </row>
    <row r="873" customFormat="false" ht="15" hidden="false" customHeight="false" outlineLevel="0" collapsed="false">
      <c r="A873" s="22" t="n">
        <v>46127</v>
      </c>
      <c r="B873" s="19" t="s">
        <v>51</v>
      </c>
      <c r="C873" s="19" t="s">
        <v>12</v>
      </c>
      <c r="D873" s="19" t="s">
        <v>37</v>
      </c>
      <c r="E873" s="19" t="s">
        <v>123</v>
      </c>
      <c r="F873" s="20" t="n">
        <v>400000</v>
      </c>
      <c r="G873" s="20" t="n">
        <v>956917</v>
      </c>
    </row>
    <row r="874" customFormat="false" ht="15" hidden="false" customHeight="false" outlineLevel="0" collapsed="false">
      <c r="A874" s="22" t="n">
        <v>46127</v>
      </c>
      <c r="B874" s="19" t="s">
        <v>51</v>
      </c>
      <c r="C874" s="19" t="s">
        <v>12</v>
      </c>
      <c r="D874" s="19" t="s">
        <v>30</v>
      </c>
      <c r="E874" s="19" t="s">
        <v>137</v>
      </c>
      <c r="F874" s="20" t="n">
        <v>513502</v>
      </c>
      <c r="G874" s="20" t="n">
        <v>3106360</v>
      </c>
    </row>
    <row r="875" customFormat="false" ht="15" hidden="false" customHeight="false" outlineLevel="0" collapsed="false">
      <c r="A875" s="22" t="n">
        <v>46127</v>
      </c>
      <c r="B875" s="19" t="s">
        <v>51</v>
      </c>
      <c r="C875" s="19" t="s">
        <v>12</v>
      </c>
      <c r="D875" s="19" t="s">
        <v>34</v>
      </c>
      <c r="E875" s="19" t="s">
        <v>126</v>
      </c>
      <c r="F875" s="20" t="n">
        <v>76406</v>
      </c>
      <c r="G875" s="20" t="n">
        <v>426905</v>
      </c>
    </row>
    <row r="876" customFormat="false" ht="15" hidden="false" customHeight="false" outlineLevel="0" collapsed="false">
      <c r="A876" s="22" t="n">
        <v>46127</v>
      </c>
      <c r="B876" s="19" t="s">
        <v>51</v>
      </c>
      <c r="C876" s="19" t="s">
        <v>14</v>
      </c>
      <c r="D876" s="19" t="s">
        <v>40</v>
      </c>
      <c r="E876" s="19" t="s">
        <v>130</v>
      </c>
      <c r="F876" s="20" t="n">
        <v>228618</v>
      </c>
      <c r="G876" s="20" t="n">
        <v>860840</v>
      </c>
    </row>
    <row r="877" customFormat="false" ht="15" hidden="false" customHeight="false" outlineLevel="0" collapsed="false">
      <c r="A877" s="22" t="n">
        <v>46127</v>
      </c>
      <c r="B877" s="19" t="s">
        <v>51</v>
      </c>
      <c r="C877" s="19" t="s">
        <v>13</v>
      </c>
      <c r="D877" s="19" t="s">
        <v>41</v>
      </c>
      <c r="E877" s="19" t="s">
        <v>127</v>
      </c>
      <c r="F877" s="20" t="n">
        <v>201969</v>
      </c>
      <c r="G877" s="20" t="n">
        <v>920750</v>
      </c>
    </row>
    <row r="878" customFormat="false" ht="15" hidden="false" customHeight="false" outlineLevel="0" collapsed="false">
      <c r="A878" s="22" t="n">
        <v>46127</v>
      </c>
      <c r="B878" s="19" t="s">
        <v>51</v>
      </c>
      <c r="C878" s="19" t="s">
        <v>12</v>
      </c>
      <c r="D878" s="19" t="s">
        <v>37</v>
      </c>
      <c r="E878" s="19" t="s">
        <v>132</v>
      </c>
      <c r="F878" s="20" t="n">
        <v>127682</v>
      </c>
      <c r="G878" s="20" t="n">
        <v>619150</v>
      </c>
    </row>
    <row r="879" customFormat="false" ht="15" hidden="false" customHeight="false" outlineLevel="0" collapsed="false">
      <c r="A879" s="22" t="n">
        <v>46127</v>
      </c>
      <c r="B879" s="19" t="s">
        <v>51</v>
      </c>
      <c r="C879" s="19" t="s">
        <v>15</v>
      </c>
      <c r="D879" s="19" t="s">
        <v>45</v>
      </c>
      <c r="E879" s="19" t="s">
        <v>135</v>
      </c>
      <c r="F879" s="20" t="n">
        <v>20057</v>
      </c>
      <c r="G879" s="20" t="n">
        <v>0</v>
      </c>
    </row>
    <row r="880" customFormat="false" ht="15" hidden="false" customHeight="false" outlineLevel="0" collapsed="false">
      <c r="A880" s="22" t="n">
        <v>46127</v>
      </c>
      <c r="B880" s="19" t="s">
        <v>51</v>
      </c>
      <c r="C880" s="19" t="s">
        <v>12</v>
      </c>
      <c r="D880" s="19" t="s">
        <v>31</v>
      </c>
      <c r="E880" s="19" t="s">
        <v>131</v>
      </c>
      <c r="F880" s="20" t="n">
        <v>59522</v>
      </c>
      <c r="G880" s="20" t="n">
        <v>0</v>
      </c>
    </row>
    <row r="881" customFormat="false" ht="15" hidden="false" customHeight="false" outlineLevel="0" collapsed="false">
      <c r="A881" s="22" t="n">
        <v>46127</v>
      </c>
      <c r="B881" s="19" t="s">
        <v>51</v>
      </c>
      <c r="C881" s="19" t="s">
        <v>13</v>
      </c>
      <c r="D881" s="19" t="s">
        <v>42</v>
      </c>
      <c r="E881" s="19" t="s">
        <v>136</v>
      </c>
      <c r="F881" s="20" t="n">
        <v>400000</v>
      </c>
      <c r="G881" s="20" t="n">
        <v>2915380</v>
      </c>
    </row>
    <row r="882" customFormat="false" ht="15" hidden="false" customHeight="false" outlineLevel="0" collapsed="false">
      <c r="A882" s="22" t="n">
        <v>46128</v>
      </c>
      <c r="B882" s="19" t="s">
        <v>51</v>
      </c>
      <c r="C882" s="19" t="s">
        <v>12</v>
      </c>
      <c r="D882" s="19" t="s">
        <v>35</v>
      </c>
      <c r="E882" s="19" t="s">
        <v>122</v>
      </c>
      <c r="F882" s="20" t="n">
        <v>100958</v>
      </c>
      <c r="G882" s="20" t="n">
        <v>476230</v>
      </c>
    </row>
    <row r="883" customFormat="false" ht="15" hidden="false" customHeight="false" outlineLevel="0" collapsed="false">
      <c r="A883" s="22" t="n">
        <v>46128</v>
      </c>
      <c r="B883" s="19" t="s">
        <v>51</v>
      </c>
      <c r="C883" s="19" t="s">
        <v>12</v>
      </c>
      <c r="D883" s="19" t="s">
        <v>37</v>
      </c>
      <c r="E883" s="19" t="s">
        <v>123</v>
      </c>
      <c r="F883" s="20" t="n">
        <v>226626</v>
      </c>
      <c r="G883" s="20" t="n">
        <v>954230</v>
      </c>
    </row>
    <row r="884" customFormat="false" ht="15" hidden="false" customHeight="false" outlineLevel="0" collapsed="false">
      <c r="A884" s="22" t="n">
        <v>46128</v>
      </c>
      <c r="B884" s="19" t="s">
        <v>51</v>
      </c>
      <c r="C884" s="19" t="s">
        <v>12</v>
      </c>
      <c r="D884" s="19" t="s">
        <v>30</v>
      </c>
      <c r="E884" s="19" t="s">
        <v>137</v>
      </c>
      <c r="F884" s="20" t="n">
        <v>550000</v>
      </c>
      <c r="G884" s="20" t="n">
        <v>3419950</v>
      </c>
    </row>
    <row r="885" customFormat="false" ht="15" hidden="false" customHeight="false" outlineLevel="0" collapsed="false">
      <c r="A885" s="22" t="n">
        <v>46128</v>
      </c>
      <c r="B885" s="19" t="s">
        <v>51</v>
      </c>
      <c r="C885" s="19" t="s">
        <v>12</v>
      </c>
      <c r="D885" s="19" t="s">
        <v>34</v>
      </c>
      <c r="E885" s="19" t="s">
        <v>126</v>
      </c>
      <c r="F885" s="20" t="n">
        <v>160928</v>
      </c>
      <c r="G885" s="20" t="n">
        <v>717700</v>
      </c>
    </row>
    <row r="886" customFormat="false" ht="15" hidden="false" customHeight="false" outlineLevel="0" collapsed="false">
      <c r="A886" s="22" t="n">
        <v>46128</v>
      </c>
      <c r="B886" s="19" t="s">
        <v>51</v>
      </c>
      <c r="C886" s="19" t="s">
        <v>15</v>
      </c>
      <c r="D886" s="19" t="s">
        <v>45</v>
      </c>
      <c r="E886" s="19" t="s">
        <v>135</v>
      </c>
      <c r="F886" s="20" t="n">
        <v>35138</v>
      </c>
      <c r="G886" s="20" t="n">
        <v>111550</v>
      </c>
    </row>
    <row r="887" customFormat="false" ht="15" hidden="false" customHeight="false" outlineLevel="0" collapsed="false">
      <c r="A887" s="22" t="n">
        <v>46128</v>
      </c>
      <c r="B887" s="19" t="s">
        <v>51</v>
      </c>
      <c r="C887" s="19" t="s">
        <v>13</v>
      </c>
      <c r="D887" s="19" t="s">
        <v>41</v>
      </c>
      <c r="E887" s="19" t="s">
        <v>127</v>
      </c>
      <c r="F887" s="20" t="n">
        <v>80798</v>
      </c>
      <c r="G887" s="20" t="n">
        <v>358900</v>
      </c>
    </row>
    <row r="888" customFormat="false" ht="15" hidden="false" customHeight="false" outlineLevel="0" collapsed="false">
      <c r="A888" s="22" t="n">
        <v>46128</v>
      </c>
      <c r="B888" s="19" t="s">
        <v>51</v>
      </c>
      <c r="C888" s="19" t="s">
        <v>12</v>
      </c>
      <c r="D888" s="19" t="s">
        <v>31</v>
      </c>
      <c r="E888" s="19" t="s">
        <v>131</v>
      </c>
      <c r="F888" s="20" t="n">
        <v>137378</v>
      </c>
      <c r="G888" s="20" t="n">
        <v>591950</v>
      </c>
    </row>
    <row r="889" customFormat="false" ht="15" hidden="false" customHeight="false" outlineLevel="0" collapsed="false">
      <c r="A889" s="22" t="n">
        <v>46128</v>
      </c>
      <c r="B889" s="19" t="s">
        <v>51</v>
      </c>
      <c r="C889" s="19" t="s">
        <v>14</v>
      </c>
      <c r="D889" s="19" t="s">
        <v>40</v>
      </c>
      <c r="E889" s="19" t="s">
        <v>130</v>
      </c>
      <c r="F889" s="20" t="n">
        <v>19806</v>
      </c>
      <c r="G889" s="20" t="n">
        <v>0</v>
      </c>
    </row>
    <row r="890" customFormat="false" ht="15" hidden="false" customHeight="false" outlineLevel="0" collapsed="false">
      <c r="A890" s="22" t="n">
        <v>46128</v>
      </c>
      <c r="B890" s="19" t="s">
        <v>51</v>
      </c>
      <c r="C890" s="19" t="s">
        <v>12</v>
      </c>
      <c r="D890" s="19" t="s">
        <v>37</v>
      </c>
      <c r="E890" s="19" t="s">
        <v>132</v>
      </c>
      <c r="F890" s="20" t="n">
        <v>19405</v>
      </c>
      <c r="G890" s="20" t="n">
        <v>0</v>
      </c>
    </row>
    <row r="891" customFormat="false" ht="15" hidden="false" customHeight="false" outlineLevel="0" collapsed="false">
      <c r="A891" s="22" t="n">
        <v>46128</v>
      </c>
      <c r="B891" s="19" t="s">
        <v>51</v>
      </c>
      <c r="C891" s="19" t="s">
        <v>13</v>
      </c>
      <c r="D891" s="19" t="s">
        <v>42</v>
      </c>
      <c r="E891" s="19" t="s">
        <v>136</v>
      </c>
      <c r="F891" s="20" t="n">
        <v>400000</v>
      </c>
      <c r="G891" s="20" t="n">
        <v>2062170</v>
      </c>
    </row>
    <row r="892" customFormat="false" ht="15" hidden="false" customHeight="false" outlineLevel="0" collapsed="false">
      <c r="A892" s="22" t="n">
        <v>46129</v>
      </c>
      <c r="B892" s="19" t="s">
        <v>51</v>
      </c>
      <c r="C892" s="19" t="s">
        <v>12</v>
      </c>
      <c r="D892" s="19" t="s">
        <v>35</v>
      </c>
      <c r="E892" s="19" t="s">
        <v>122</v>
      </c>
      <c r="F892" s="20" t="n">
        <v>110000</v>
      </c>
      <c r="G892" s="20" t="n">
        <v>623600</v>
      </c>
    </row>
    <row r="893" customFormat="false" ht="15" hidden="false" customHeight="false" outlineLevel="0" collapsed="false">
      <c r="A893" s="22" t="n">
        <v>46129</v>
      </c>
      <c r="B893" s="19" t="s">
        <v>51</v>
      </c>
      <c r="C893" s="19" t="s">
        <v>12</v>
      </c>
      <c r="D893" s="19" t="s">
        <v>37</v>
      </c>
      <c r="E893" s="19" t="s">
        <v>123</v>
      </c>
      <c r="F893" s="20" t="n">
        <v>153567</v>
      </c>
      <c r="G893" s="20" t="n">
        <v>639520</v>
      </c>
    </row>
    <row r="894" customFormat="false" ht="15" hidden="false" customHeight="false" outlineLevel="0" collapsed="false">
      <c r="A894" s="22" t="n">
        <v>46129</v>
      </c>
      <c r="B894" s="19" t="s">
        <v>51</v>
      </c>
      <c r="C894" s="19" t="s">
        <v>12</v>
      </c>
      <c r="D894" s="19" t="s">
        <v>30</v>
      </c>
      <c r="E894" s="19" t="s">
        <v>137</v>
      </c>
      <c r="F894" s="20" t="n">
        <v>427717</v>
      </c>
      <c r="G894" s="20" t="n">
        <v>2275970</v>
      </c>
    </row>
    <row r="895" customFormat="false" ht="15" hidden="false" customHeight="false" outlineLevel="0" collapsed="false">
      <c r="A895" s="22" t="n">
        <v>46129</v>
      </c>
      <c r="B895" s="19" t="s">
        <v>51</v>
      </c>
      <c r="C895" s="19" t="s">
        <v>12</v>
      </c>
      <c r="D895" s="19" t="s">
        <v>34</v>
      </c>
      <c r="E895" s="19" t="s">
        <v>126</v>
      </c>
      <c r="F895" s="20" t="n">
        <v>89728</v>
      </c>
      <c r="G895" s="20" t="n">
        <v>393300</v>
      </c>
    </row>
    <row r="896" customFormat="false" ht="15" hidden="false" customHeight="false" outlineLevel="0" collapsed="false">
      <c r="A896" s="22" t="n">
        <v>46129</v>
      </c>
      <c r="B896" s="19" t="s">
        <v>51</v>
      </c>
      <c r="C896" s="19" t="s">
        <v>13</v>
      </c>
      <c r="D896" s="19" t="s">
        <v>41</v>
      </c>
      <c r="E896" s="19" t="s">
        <v>127</v>
      </c>
      <c r="F896" s="20" t="n">
        <v>61105</v>
      </c>
      <c r="G896" s="20" t="n">
        <v>179450</v>
      </c>
    </row>
    <row r="897" customFormat="false" ht="15" hidden="false" customHeight="false" outlineLevel="0" collapsed="false">
      <c r="A897" s="22" t="n">
        <v>46129</v>
      </c>
      <c r="B897" s="19" t="s">
        <v>51</v>
      </c>
      <c r="C897" s="19" t="s">
        <v>12</v>
      </c>
      <c r="D897" s="19" t="s">
        <v>37</v>
      </c>
      <c r="E897" s="19" t="s">
        <v>132</v>
      </c>
      <c r="F897" s="20" t="n">
        <v>39460</v>
      </c>
      <c r="G897" s="20" t="n">
        <v>189150</v>
      </c>
    </row>
    <row r="898" customFormat="false" ht="15" hidden="false" customHeight="false" outlineLevel="0" collapsed="false">
      <c r="A898" s="22" t="n">
        <v>46129</v>
      </c>
      <c r="B898" s="19" t="s">
        <v>51</v>
      </c>
      <c r="C898" s="19" t="s">
        <v>14</v>
      </c>
      <c r="D898" s="19" t="s">
        <v>40</v>
      </c>
      <c r="E898" s="19" t="s">
        <v>130</v>
      </c>
      <c r="F898" s="20" t="n">
        <v>28961</v>
      </c>
      <c r="G898" s="20" t="n">
        <v>0</v>
      </c>
    </row>
    <row r="899" customFormat="false" ht="15" hidden="false" customHeight="false" outlineLevel="0" collapsed="false">
      <c r="A899" s="22" t="n">
        <v>46129</v>
      </c>
      <c r="B899" s="19" t="s">
        <v>51</v>
      </c>
      <c r="C899" s="19" t="s">
        <v>15</v>
      </c>
      <c r="D899" s="19" t="s">
        <v>45</v>
      </c>
      <c r="E899" s="19" t="s">
        <v>135</v>
      </c>
      <c r="F899" s="20" t="n">
        <v>6225</v>
      </c>
      <c r="G899" s="20" t="n">
        <v>0</v>
      </c>
    </row>
    <row r="900" customFormat="false" ht="15" hidden="false" customHeight="false" outlineLevel="0" collapsed="false">
      <c r="A900" s="22" t="n">
        <v>46129</v>
      </c>
      <c r="B900" s="19" t="s">
        <v>51</v>
      </c>
      <c r="C900" s="19" t="s">
        <v>12</v>
      </c>
      <c r="D900" s="19" t="s">
        <v>31</v>
      </c>
      <c r="E900" s="19" t="s">
        <v>131</v>
      </c>
      <c r="F900" s="20" t="n">
        <v>27905</v>
      </c>
      <c r="G900" s="20" t="n">
        <v>0</v>
      </c>
    </row>
    <row r="901" customFormat="false" ht="15" hidden="false" customHeight="false" outlineLevel="0" collapsed="false">
      <c r="A901" s="22" t="n">
        <v>46129</v>
      </c>
      <c r="B901" s="19" t="s">
        <v>51</v>
      </c>
      <c r="C901" s="19" t="s">
        <v>13</v>
      </c>
      <c r="D901" s="19" t="s">
        <v>42</v>
      </c>
      <c r="E901" s="19" t="s">
        <v>136</v>
      </c>
      <c r="F901" s="20" t="n">
        <v>138573</v>
      </c>
      <c r="G901" s="20" t="n">
        <v>364450</v>
      </c>
    </row>
    <row r="902" customFormat="false" ht="15" hidden="false" customHeight="false" outlineLevel="0" collapsed="false">
      <c r="A902" s="22" t="n">
        <v>46130</v>
      </c>
      <c r="B902" s="19" t="s">
        <v>51</v>
      </c>
      <c r="C902" s="19" t="s">
        <v>12</v>
      </c>
      <c r="D902" s="19" t="s">
        <v>35</v>
      </c>
      <c r="E902" s="19" t="s">
        <v>122</v>
      </c>
      <c r="F902" s="20" t="n">
        <v>87990</v>
      </c>
      <c r="G902" s="20" t="n">
        <v>353400</v>
      </c>
    </row>
    <row r="903" customFormat="false" ht="15" hidden="false" customHeight="false" outlineLevel="0" collapsed="false">
      <c r="A903" s="22" t="n">
        <v>46130</v>
      </c>
      <c r="B903" s="19" t="s">
        <v>51</v>
      </c>
      <c r="C903" s="19" t="s">
        <v>12</v>
      </c>
      <c r="D903" s="19" t="s">
        <v>30</v>
      </c>
      <c r="E903" s="19" t="s">
        <v>137</v>
      </c>
      <c r="F903" s="20" t="n">
        <v>550000</v>
      </c>
      <c r="G903" s="20" t="n">
        <v>3157030</v>
      </c>
    </row>
    <row r="904" customFormat="false" ht="15" hidden="false" customHeight="false" outlineLevel="0" collapsed="false">
      <c r="A904" s="22" t="n">
        <v>46130</v>
      </c>
      <c r="B904" s="19" t="s">
        <v>51</v>
      </c>
      <c r="C904" s="19" t="s">
        <v>12</v>
      </c>
      <c r="D904" s="19" t="s">
        <v>37</v>
      </c>
      <c r="E904" s="19" t="s">
        <v>123</v>
      </c>
      <c r="F904" s="20" t="n">
        <v>66055</v>
      </c>
      <c r="G904" s="20" t="n">
        <v>237650</v>
      </c>
    </row>
    <row r="905" customFormat="false" ht="15" hidden="false" customHeight="false" outlineLevel="0" collapsed="false">
      <c r="A905" s="22" t="n">
        <v>46130</v>
      </c>
      <c r="B905" s="19" t="s">
        <v>51</v>
      </c>
      <c r="C905" s="19" t="s">
        <v>14</v>
      </c>
      <c r="D905" s="19" t="s">
        <v>40</v>
      </c>
      <c r="E905" s="19" t="s">
        <v>130</v>
      </c>
      <c r="F905" s="20" t="n">
        <v>110010</v>
      </c>
      <c r="G905" s="20" t="n">
        <v>534720</v>
      </c>
    </row>
    <row r="906" customFormat="false" ht="15" hidden="false" customHeight="false" outlineLevel="0" collapsed="false">
      <c r="A906" s="22" t="n">
        <v>46130</v>
      </c>
      <c r="B906" s="19" t="s">
        <v>51</v>
      </c>
      <c r="C906" s="19" t="s">
        <v>12</v>
      </c>
      <c r="D906" s="19" t="s">
        <v>34</v>
      </c>
      <c r="E906" s="19" t="s">
        <v>126</v>
      </c>
      <c r="F906" s="20" t="n">
        <v>58245</v>
      </c>
      <c r="G906" s="20" t="n">
        <v>275000</v>
      </c>
    </row>
    <row r="907" customFormat="false" ht="15" hidden="false" customHeight="false" outlineLevel="0" collapsed="false">
      <c r="A907" s="22" t="n">
        <v>46130</v>
      </c>
      <c r="B907" s="19" t="s">
        <v>51</v>
      </c>
      <c r="C907" s="19" t="s">
        <v>13</v>
      </c>
      <c r="D907" s="19" t="s">
        <v>41</v>
      </c>
      <c r="E907" s="19" t="s">
        <v>127</v>
      </c>
      <c r="F907" s="20" t="n">
        <v>151077</v>
      </c>
      <c r="G907" s="20" t="n">
        <v>358900</v>
      </c>
    </row>
    <row r="908" customFormat="false" ht="15" hidden="false" customHeight="false" outlineLevel="0" collapsed="false">
      <c r="A908" s="22" t="n">
        <v>46130</v>
      </c>
      <c r="B908" s="19" t="s">
        <v>51</v>
      </c>
      <c r="C908" s="19" t="s">
        <v>15</v>
      </c>
      <c r="D908" s="19" t="s">
        <v>45</v>
      </c>
      <c r="E908" s="19" t="s">
        <v>135</v>
      </c>
      <c r="F908" s="20" t="n">
        <v>2872</v>
      </c>
      <c r="G908" s="20" t="n">
        <v>0</v>
      </c>
    </row>
    <row r="909" customFormat="false" ht="15" hidden="false" customHeight="false" outlineLevel="0" collapsed="false">
      <c r="A909" s="22" t="n">
        <v>46130</v>
      </c>
      <c r="B909" s="19" t="s">
        <v>51</v>
      </c>
      <c r="C909" s="19" t="s">
        <v>12</v>
      </c>
      <c r="D909" s="19" t="s">
        <v>31</v>
      </c>
      <c r="E909" s="19" t="s">
        <v>131</v>
      </c>
      <c r="F909" s="20" t="n">
        <v>10704</v>
      </c>
      <c r="G909" s="20" t="n">
        <v>0</v>
      </c>
    </row>
    <row r="910" customFormat="false" ht="15" hidden="false" customHeight="false" outlineLevel="0" collapsed="false">
      <c r="A910" s="22" t="n">
        <v>46130</v>
      </c>
      <c r="B910" s="19" t="s">
        <v>51</v>
      </c>
      <c r="C910" s="19" t="s">
        <v>12</v>
      </c>
      <c r="D910" s="19" t="s">
        <v>37</v>
      </c>
      <c r="E910" s="19" t="s">
        <v>132</v>
      </c>
      <c r="F910" s="20" t="n">
        <v>3977</v>
      </c>
      <c r="G910" s="20" t="n">
        <v>0</v>
      </c>
    </row>
    <row r="911" customFormat="false" ht="15" hidden="false" customHeight="false" outlineLevel="0" collapsed="false">
      <c r="A911" s="22" t="n">
        <v>46130</v>
      </c>
      <c r="B911" s="19" t="s">
        <v>51</v>
      </c>
      <c r="C911" s="19" t="s">
        <v>13</v>
      </c>
      <c r="D911" s="19" t="s">
        <v>42</v>
      </c>
      <c r="E911" s="19" t="s">
        <v>136</v>
      </c>
      <c r="F911" s="20" t="n">
        <v>26461</v>
      </c>
      <c r="G911" s="20" t="n">
        <v>179450</v>
      </c>
    </row>
    <row r="912" customFormat="false" ht="15" hidden="false" customHeight="false" outlineLevel="0" collapsed="false">
      <c r="A912" s="22" t="n">
        <v>46131</v>
      </c>
      <c r="B912" s="19" t="s">
        <v>51</v>
      </c>
      <c r="C912" s="19" t="s">
        <v>12</v>
      </c>
      <c r="D912" s="19" t="s">
        <v>35</v>
      </c>
      <c r="E912" s="19" t="s">
        <v>122</v>
      </c>
      <c r="F912" s="20" t="n">
        <v>110000</v>
      </c>
      <c r="G912" s="20" t="n">
        <v>1057170</v>
      </c>
    </row>
    <row r="913" customFormat="false" ht="15" hidden="false" customHeight="false" outlineLevel="0" collapsed="false">
      <c r="A913" s="22" t="n">
        <v>46131</v>
      </c>
      <c r="B913" s="19" t="s">
        <v>51</v>
      </c>
      <c r="C913" s="19" t="s">
        <v>12</v>
      </c>
      <c r="D913" s="19" t="s">
        <v>37</v>
      </c>
      <c r="E913" s="19" t="s">
        <v>123</v>
      </c>
      <c r="F913" s="20" t="n">
        <v>158588</v>
      </c>
      <c r="G913" s="20" t="n">
        <v>778050</v>
      </c>
    </row>
    <row r="914" customFormat="false" ht="15" hidden="false" customHeight="false" outlineLevel="0" collapsed="false">
      <c r="A914" s="22" t="n">
        <v>46131</v>
      </c>
      <c r="B914" s="19" t="s">
        <v>51</v>
      </c>
      <c r="C914" s="19" t="s">
        <v>12</v>
      </c>
      <c r="D914" s="19" t="s">
        <v>30</v>
      </c>
      <c r="E914" s="19" t="s">
        <v>137</v>
      </c>
      <c r="F914" s="20" t="n">
        <v>199369</v>
      </c>
      <c r="G914" s="20" t="n">
        <v>344750</v>
      </c>
    </row>
    <row r="915" customFormat="false" ht="15" hidden="false" customHeight="false" outlineLevel="0" collapsed="false">
      <c r="A915" s="22" t="n">
        <v>46131</v>
      </c>
      <c r="B915" s="19" t="s">
        <v>51</v>
      </c>
      <c r="C915" s="19" t="s">
        <v>12</v>
      </c>
      <c r="D915" s="19" t="s">
        <v>34</v>
      </c>
      <c r="E915" s="19" t="s">
        <v>126</v>
      </c>
      <c r="F915" s="20" t="n">
        <v>63929</v>
      </c>
      <c r="G915" s="20" t="n">
        <v>275000</v>
      </c>
    </row>
    <row r="916" customFormat="false" ht="15" hidden="false" customHeight="false" outlineLevel="0" collapsed="false">
      <c r="A916" s="22" t="n">
        <v>46131</v>
      </c>
      <c r="B916" s="19" t="s">
        <v>51</v>
      </c>
      <c r="C916" s="19" t="s">
        <v>14</v>
      </c>
      <c r="D916" s="19" t="s">
        <v>40</v>
      </c>
      <c r="E916" s="19" t="s">
        <v>130</v>
      </c>
      <c r="F916" s="20" t="n">
        <v>51536</v>
      </c>
      <c r="G916" s="20" t="n">
        <v>211960</v>
      </c>
    </row>
    <row r="917" customFormat="false" ht="15" hidden="false" customHeight="false" outlineLevel="0" collapsed="false">
      <c r="A917" s="22" t="n">
        <v>46131</v>
      </c>
      <c r="B917" s="19" t="s">
        <v>51</v>
      </c>
      <c r="C917" s="19" t="s">
        <v>13</v>
      </c>
      <c r="D917" s="19" t="s">
        <v>41</v>
      </c>
      <c r="E917" s="19" t="s">
        <v>127</v>
      </c>
      <c r="F917" s="20" t="n">
        <v>79406</v>
      </c>
      <c r="G917" s="20" t="n">
        <v>351500</v>
      </c>
    </row>
    <row r="918" customFormat="false" ht="15" hidden="false" customHeight="false" outlineLevel="0" collapsed="false">
      <c r="A918" s="22" t="n">
        <v>46131</v>
      </c>
      <c r="B918" s="19" t="s">
        <v>51</v>
      </c>
      <c r="C918" s="19" t="s">
        <v>12</v>
      </c>
      <c r="D918" s="19" t="s">
        <v>37</v>
      </c>
      <c r="E918" s="19" t="s">
        <v>132</v>
      </c>
      <c r="F918" s="20" t="n">
        <v>4757</v>
      </c>
      <c r="G918" s="20" t="n">
        <v>0</v>
      </c>
    </row>
    <row r="919" customFormat="false" ht="15" hidden="false" customHeight="false" outlineLevel="0" collapsed="false">
      <c r="A919" s="22" t="n">
        <v>46131</v>
      </c>
      <c r="B919" s="19" t="s">
        <v>51</v>
      </c>
      <c r="C919" s="19" t="s">
        <v>15</v>
      </c>
      <c r="D919" s="19" t="s">
        <v>45</v>
      </c>
      <c r="E919" s="19" t="s">
        <v>135</v>
      </c>
      <c r="F919" s="20" t="n">
        <v>9025</v>
      </c>
      <c r="G919" s="20" t="n">
        <v>0</v>
      </c>
    </row>
    <row r="920" customFormat="false" ht="15" hidden="false" customHeight="false" outlineLevel="0" collapsed="false">
      <c r="A920" s="22" t="n">
        <v>46131</v>
      </c>
      <c r="B920" s="19" t="s">
        <v>51</v>
      </c>
      <c r="C920" s="19" t="s">
        <v>12</v>
      </c>
      <c r="D920" s="19" t="s">
        <v>31</v>
      </c>
      <c r="E920" s="19" t="s">
        <v>131</v>
      </c>
      <c r="F920" s="20" t="n">
        <v>19000</v>
      </c>
      <c r="G920" s="20" t="n">
        <v>0</v>
      </c>
    </row>
    <row r="921" customFormat="false" ht="15" hidden="false" customHeight="false" outlineLevel="0" collapsed="false">
      <c r="A921" s="22" t="n">
        <v>46131</v>
      </c>
      <c r="B921" s="19" t="s">
        <v>51</v>
      </c>
      <c r="C921" s="19" t="s">
        <v>13</v>
      </c>
      <c r="D921" s="19" t="s">
        <v>42</v>
      </c>
      <c r="E921" s="19" t="s">
        <v>136</v>
      </c>
      <c r="F921" s="20" t="n">
        <v>152559</v>
      </c>
      <c r="G921" s="20" t="n">
        <v>2067300</v>
      </c>
    </row>
    <row r="922" customFormat="false" ht="15" hidden="false" customHeight="false" outlineLevel="0" collapsed="false">
      <c r="A922" s="22" t="n">
        <v>46132</v>
      </c>
      <c r="B922" s="19" t="s">
        <v>51</v>
      </c>
      <c r="C922" s="19" t="s">
        <v>12</v>
      </c>
      <c r="D922" s="19" t="s">
        <v>35</v>
      </c>
      <c r="E922" s="19" t="s">
        <v>122</v>
      </c>
      <c r="F922" s="20" t="n">
        <v>150000</v>
      </c>
      <c r="G922" s="20" t="n">
        <v>1351060</v>
      </c>
    </row>
    <row r="923" customFormat="false" ht="15" hidden="false" customHeight="false" outlineLevel="0" collapsed="false">
      <c r="A923" s="22" t="n">
        <v>46132</v>
      </c>
      <c r="B923" s="19" t="s">
        <v>51</v>
      </c>
      <c r="C923" s="19" t="s">
        <v>12</v>
      </c>
      <c r="D923" s="19" t="s">
        <v>30</v>
      </c>
      <c r="E923" s="19" t="s">
        <v>137</v>
      </c>
      <c r="F923" s="20" t="n">
        <v>223949</v>
      </c>
      <c r="G923" s="20" t="n">
        <v>1094200</v>
      </c>
    </row>
    <row r="924" customFormat="false" ht="15" hidden="false" customHeight="false" outlineLevel="0" collapsed="false">
      <c r="A924" s="22" t="n">
        <v>46132</v>
      </c>
      <c r="B924" s="19" t="s">
        <v>51</v>
      </c>
      <c r="C924" s="19" t="s">
        <v>12</v>
      </c>
      <c r="D924" s="19" t="s">
        <v>37</v>
      </c>
      <c r="E924" s="19" t="s">
        <v>123</v>
      </c>
      <c r="F924" s="20" t="n">
        <v>53505</v>
      </c>
      <c r="G924" s="20" t="n">
        <v>0</v>
      </c>
    </row>
    <row r="925" customFormat="false" ht="15" hidden="false" customHeight="false" outlineLevel="0" collapsed="false">
      <c r="A925" s="22" t="n">
        <v>46132</v>
      </c>
      <c r="B925" s="19" t="s">
        <v>51</v>
      </c>
      <c r="C925" s="19" t="s">
        <v>12</v>
      </c>
      <c r="D925" s="19" t="s">
        <v>31</v>
      </c>
      <c r="E925" s="19" t="s">
        <v>131</v>
      </c>
      <c r="F925" s="20" t="n">
        <v>348353</v>
      </c>
      <c r="G925" s="20" t="n">
        <v>1806200</v>
      </c>
    </row>
    <row r="926" customFormat="false" ht="15" hidden="false" customHeight="false" outlineLevel="0" collapsed="false">
      <c r="A926" s="22" t="n">
        <v>46132</v>
      </c>
      <c r="B926" s="19" t="s">
        <v>51</v>
      </c>
      <c r="C926" s="19" t="s">
        <v>13</v>
      </c>
      <c r="D926" s="19" t="s">
        <v>41</v>
      </c>
      <c r="E926" s="19" t="s">
        <v>127</v>
      </c>
      <c r="F926" s="20" t="n">
        <v>111212</v>
      </c>
      <c r="G926" s="20" t="n">
        <v>308750</v>
      </c>
    </row>
    <row r="927" customFormat="false" ht="15" hidden="false" customHeight="false" outlineLevel="0" collapsed="false">
      <c r="A927" s="22" t="n">
        <v>46132</v>
      </c>
      <c r="B927" s="19" t="s">
        <v>51</v>
      </c>
      <c r="C927" s="19" t="s">
        <v>14</v>
      </c>
      <c r="D927" s="19" t="s">
        <v>40</v>
      </c>
      <c r="E927" s="19" t="s">
        <v>130</v>
      </c>
      <c r="F927" s="20" t="n">
        <v>24795</v>
      </c>
      <c r="G927" s="20" t="n">
        <v>47530</v>
      </c>
    </row>
    <row r="928" customFormat="false" ht="15" hidden="false" customHeight="false" outlineLevel="0" collapsed="false">
      <c r="A928" s="22" t="n">
        <v>46132</v>
      </c>
      <c r="B928" s="19" t="s">
        <v>51</v>
      </c>
      <c r="C928" s="19" t="s">
        <v>15</v>
      </c>
      <c r="D928" s="19" t="s">
        <v>45</v>
      </c>
      <c r="E928" s="19" t="s">
        <v>135</v>
      </c>
      <c r="F928" s="20" t="n">
        <v>5988</v>
      </c>
      <c r="G928" s="20" t="n">
        <v>0</v>
      </c>
    </row>
    <row r="929" customFormat="false" ht="15" hidden="false" customHeight="false" outlineLevel="0" collapsed="false">
      <c r="A929" s="22" t="n">
        <v>46132</v>
      </c>
      <c r="B929" s="19" t="s">
        <v>51</v>
      </c>
      <c r="C929" s="19" t="s">
        <v>12</v>
      </c>
      <c r="D929" s="19" t="s">
        <v>34</v>
      </c>
      <c r="E929" s="19" t="s">
        <v>126</v>
      </c>
      <c r="F929" s="20" t="n">
        <v>41829</v>
      </c>
      <c r="G929" s="20" t="n">
        <v>0</v>
      </c>
    </row>
    <row r="930" customFormat="false" ht="15" hidden="false" customHeight="false" outlineLevel="0" collapsed="false">
      <c r="A930" s="22" t="n">
        <v>46132</v>
      </c>
      <c r="B930" s="19" t="s">
        <v>51</v>
      </c>
      <c r="C930" s="19" t="s">
        <v>12</v>
      </c>
      <c r="D930" s="19" t="s">
        <v>37</v>
      </c>
      <c r="E930" s="19" t="s">
        <v>132</v>
      </c>
      <c r="F930" s="20" t="n">
        <v>14711</v>
      </c>
      <c r="G930" s="20" t="n">
        <v>0</v>
      </c>
    </row>
    <row r="931" customFormat="false" ht="15" hidden="false" customHeight="false" outlineLevel="0" collapsed="false">
      <c r="A931" s="22" t="n">
        <v>46132</v>
      </c>
      <c r="B931" s="19" t="s">
        <v>51</v>
      </c>
      <c r="C931" s="19" t="s">
        <v>13</v>
      </c>
      <c r="D931" s="19" t="s">
        <v>42</v>
      </c>
      <c r="E931" s="19" t="s">
        <v>136</v>
      </c>
      <c r="F931" s="20" t="n">
        <v>200079</v>
      </c>
      <c r="G931" s="20" t="n">
        <v>950000</v>
      </c>
    </row>
    <row r="932" customFormat="false" ht="15" hidden="false" customHeight="false" outlineLevel="0" collapsed="false">
      <c r="A932" s="22" t="n">
        <v>46133</v>
      </c>
      <c r="B932" s="19" t="s">
        <v>51</v>
      </c>
      <c r="C932" s="19" t="s">
        <v>12</v>
      </c>
      <c r="D932" s="19" t="s">
        <v>35</v>
      </c>
      <c r="E932" s="19" t="s">
        <v>122</v>
      </c>
      <c r="F932" s="20" t="n">
        <v>128206</v>
      </c>
      <c r="G932" s="20" t="n">
        <v>503730</v>
      </c>
    </row>
    <row r="933" customFormat="false" ht="15" hidden="false" customHeight="false" outlineLevel="0" collapsed="false">
      <c r="A933" s="22" t="n">
        <v>46133</v>
      </c>
      <c r="B933" s="19" t="s">
        <v>51</v>
      </c>
      <c r="C933" s="19" t="s">
        <v>12</v>
      </c>
      <c r="D933" s="19" t="s">
        <v>30</v>
      </c>
      <c r="E933" s="19" t="s">
        <v>137</v>
      </c>
      <c r="F933" s="20" t="n">
        <v>355417</v>
      </c>
      <c r="G933" s="20" t="n">
        <v>1789370</v>
      </c>
    </row>
    <row r="934" customFormat="false" ht="15" hidden="false" customHeight="false" outlineLevel="0" collapsed="false">
      <c r="A934" s="22" t="n">
        <v>46133</v>
      </c>
      <c r="B934" s="19" t="s">
        <v>51</v>
      </c>
      <c r="C934" s="19" t="s">
        <v>12</v>
      </c>
      <c r="D934" s="19" t="s">
        <v>37</v>
      </c>
      <c r="E934" s="19" t="s">
        <v>123</v>
      </c>
      <c r="F934" s="20" t="n">
        <v>93708</v>
      </c>
      <c r="G934" s="20" t="n">
        <v>413830</v>
      </c>
    </row>
    <row r="935" customFormat="false" ht="15" hidden="false" customHeight="false" outlineLevel="0" collapsed="false">
      <c r="A935" s="22" t="n">
        <v>46133</v>
      </c>
      <c r="B935" s="19" t="s">
        <v>51</v>
      </c>
      <c r="C935" s="19" t="s">
        <v>12</v>
      </c>
      <c r="D935" s="19" t="s">
        <v>34</v>
      </c>
      <c r="E935" s="19" t="s">
        <v>126</v>
      </c>
      <c r="F935" s="20" t="n">
        <v>107874</v>
      </c>
      <c r="G935" s="20" t="n">
        <v>415000</v>
      </c>
    </row>
    <row r="936" customFormat="false" ht="15" hidden="false" customHeight="false" outlineLevel="0" collapsed="false">
      <c r="A936" s="22" t="n">
        <v>46133</v>
      </c>
      <c r="B936" s="19" t="s">
        <v>51</v>
      </c>
      <c r="C936" s="19" t="s">
        <v>13</v>
      </c>
      <c r="D936" s="19" t="s">
        <v>41</v>
      </c>
      <c r="E936" s="19" t="s">
        <v>127</v>
      </c>
      <c r="F936" s="20" t="n">
        <v>110966</v>
      </c>
      <c r="G936" s="20" t="n">
        <v>179450</v>
      </c>
    </row>
    <row r="937" customFormat="false" ht="15" hidden="false" customHeight="false" outlineLevel="0" collapsed="false">
      <c r="A937" s="22" t="n">
        <v>46133</v>
      </c>
      <c r="B937" s="19" t="s">
        <v>51</v>
      </c>
      <c r="C937" s="19" t="s">
        <v>14</v>
      </c>
      <c r="D937" s="19" t="s">
        <v>40</v>
      </c>
      <c r="E937" s="19" t="s">
        <v>130</v>
      </c>
      <c r="F937" s="20" t="n">
        <v>45449</v>
      </c>
      <c r="G937" s="20" t="n">
        <v>99000</v>
      </c>
    </row>
    <row r="938" customFormat="false" ht="15" hidden="false" customHeight="false" outlineLevel="0" collapsed="false">
      <c r="A938" s="22" t="n">
        <v>46133</v>
      </c>
      <c r="B938" s="19" t="s">
        <v>51</v>
      </c>
      <c r="C938" s="19" t="s">
        <v>12</v>
      </c>
      <c r="D938" s="19" t="s">
        <v>31</v>
      </c>
      <c r="E938" s="19" t="s">
        <v>131</v>
      </c>
      <c r="F938" s="20" t="n">
        <v>73385</v>
      </c>
      <c r="G938" s="20" t="n">
        <v>315400</v>
      </c>
    </row>
    <row r="939" customFormat="false" ht="15" hidden="false" customHeight="false" outlineLevel="0" collapsed="false">
      <c r="A939" s="22" t="n">
        <v>46133</v>
      </c>
      <c r="B939" s="19" t="s">
        <v>51</v>
      </c>
      <c r="C939" s="19" t="s">
        <v>12</v>
      </c>
      <c r="D939" s="19" t="s">
        <v>37</v>
      </c>
      <c r="E939" s="19" t="s">
        <v>132</v>
      </c>
      <c r="F939" s="20" t="n">
        <v>6877</v>
      </c>
      <c r="G939" s="20" t="n">
        <v>0</v>
      </c>
    </row>
    <row r="940" customFormat="false" ht="15" hidden="false" customHeight="false" outlineLevel="0" collapsed="false">
      <c r="A940" s="22" t="n">
        <v>46133</v>
      </c>
      <c r="B940" s="19" t="s">
        <v>51</v>
      </c>
      <c r="C940" s="19" t="s">
        <v>15</v>
      </c>
      <c r="D940" s="19" t="s">
        <v>45</v>
      </c>
      <c r="E940" s="19" t="s">
        <v>135</v>
      </c>
      <c r="F940" s="20" t="n">
        <v>10881</v>
      </c>
      <c r="G940" s="20" t="n">
        <v>0</v>
      </c>
    </row>
    <row r="941" customFormat="false" ht="15" hidden="false" customHeight="false" outlineLevel="0" collapsed="false">
      <c r="A941" s="22" t="n">
        <v>46133</v>
      </c>
      <c r="B941" s="19" t="s">
        <v>51</v>
      </c>
      <c r="C941" s="19" t="s">
        <v>13</v>
      </c>
      <c r="D941" s="19" t="s">
        <v>42</v>
      </c>
      <c r="E941" s="19" t="s">
        <v>136</v>
      </c>
      <c r="F941" s="20" t="n">
        <v>19112</v>
      </c>
      <c r="G941" s="20" t="n">
        <v>0</v>
      </c>
    </row>
    <row r="942" customFormat="false" ht="15" hidden="false" customHeight="false" outlineLevel="0" collapsed="false">
      <c r="A942" s="22" t="n">
        <v>46134</v>
      </c>
      <c r="B942" s="19" t="s">
        <v>51</v>
      </c>
      <c r="C942" s="19" t="s">
        <v>12</v>
      </c>
      <c r="D942" s="19" t="s">
        <v>35</v>
      </c>
      <c r="E942" s="19" t="s">
        <v>122</v>
      </c>
      <c r="F942" s="20" t="n">
        <v>150000</v>
      </c>
      <c r="G942" s="20" t="n">
        <v>784060</v>
      </c>
    </row>
    <row r="943" customFormat="false" ht="15" hidden="false" customHeight="false" outlineLevel="0" collapsed="false">
      <c r="A943" s="22" t="n">
        <v>46134</v>
      </c>
      <c r="B943" s="19" t="s">
        <v>51</v>
      </c>
      <c r="C943" s="19" t="s">
        <v>12</v>
      </c>
      <c r="D943" s="19" t="s">
        <v>30</v>
      </c>
      <c r="E943" s="19" t="s">
        <v>137</v>
      </c>
      <c r="F943" s="20" t="n">
        <v>485654</v>
      </c>
      <c r="G943" s="20" t="n">
        <v>2549180</v>
      </c>
    </row>
    <row r="944" customFormat="false" ht="15" hidden="false" customHeight="false" outlineLevel="0" collapsed="false">
      <c r="A944" s="22" t="n">
        <v>46134</v>
      </c>
      <c r="B944" s="19" t="s">
        <v>51</v>
      </c>
      <c r="C944" s="19" t="s">
        <v>12</v>
      </c>
      <c r="D944" s="19" t="s">
        <v>37</v>
      </c>
      <c r="E944" s="19" t="s">
        <v>123</v>
      </c>
      <c r="F944" s="20" t="n">
        <v>101707</v>
      </c>
      <c r="G944" s="20" t="n">
        <v>485000</v>
      </c>
    </row>
    <row r="945" customFormat="false" ht="15" hidden="false" customHeight="false" outlineLevel="0" collapsed="false">
      <c r="A945" s="22" t="n">
        <v>46134</v>
      </c>
      <c r="B945" s="19" t="s">
        <v>51</v>
      </c>
      <c r="C945" s="19" t="s">
        <v>13</v>
      </c>
      <c r="D945" s="19" t="s">
        <v>41</v>
      </c>
      <c r="E945" s="19" t="s">
        <v>127</v>
      </c>
      <c r="F945" s="20" t="n">
        <v>228446</v>
      </c>
      <c r="G945" s="20" t="n">
        <v>1152150</v>
      </c>
    </row>
    <row r="946" customFormat="false" ht="15" hidden="false" customHeight="false" outlineLevel="0" collapsed="false">
      <c r="A946" s="22" t="n">
        <v>46134</v>
      </c>
      <c r="B946" s="19" t="s">
        <v>51</v>
      </c>
      <c r="C946" s="19" t="s">
        <v>12</v>
      </c>
      <c r="D946" s="19" t="s">
        <v>34</v>
      </c>
      <c r="E946" s="19" t="s">
        <v>126</v>
      </c>
      <c r="F946" s="20" t="n">
        <v>101320</v>
      </c>
      <c r="G946" s="20" t="n">
        <v>430550</v>
      </c>
    </row>
    <row r="947" customFormat="false" ht="15" hidden="false" customHeight="false" outlineLevel="0" collapsed="false">
      <c r="A947" s="22" t="n">
        <v>46134</v>
      </c>
      <c r="B947" s="19" t="s">
        <v>51</v>
      </c>
      <c r="C947" s="19" t="s">
        <v>14</v>
      </c>
      <c r="D947" s="19" t="s">
        <v>40</v>
      </c>
      <c r="E947" s="19" t="s">
        <v>130</v>
      </c>
      <c r="F947" s="20" t="n">
        <v>60233</v>
      </c>
      <c r="G947" s="20" t="n">
        <v>297000</v>
      </c>
    </row>
    <row r="948" customFormat="false" ht="15" hidden="false" customHeight="false" outlineLevel="0" collapsed="false">
      <c r="A948" s="22" t="n">
        <v>46134</v>
      </c>
      <c r="B948" s="19" t="s">
        <v>51</v>
      </c>
      <c r="C948" s="19" t="s">
        <v>12</v>
      </c>
      <c r="D948" s="19" t="s">
        <v>31</v>
      </c>
      <c r="E948" s="19" t="s">
        <v>131</v>
      </c>
      <c r="F948" s="20" t="n">
        <v>70165</v>
      </c>
      <c r="G948" s="20" t="n">
        <v>325000</v>
      </c>
    </row>
    <row r="949" customFormat="false" ht="15" hidden="false" customHeight="false" outlineLevel="0" collapsed="false">
      <c r="A949" s="22" t="n">
        <v>46134</v>
      </c>
      <c r="B949" s="19" t="s">
        <v>51</v>
      </c>
      <c r="C949" s="19" t="s">
        <v>12</v>
      </c>
      <c r="D949" s="19" t="s">
        <v>37</v>
      </c>
      <c r="E949" s="19" t="s">
        <v>132</v>
      </c>
      <c r="F949" s="20" t="n">
        <v>17057</v>
      </c>
      <c r="G949" s="20" t="n">
        <v>0</v>
      </c>
    </row>
    <row r="950" customFormat="false" ht="15" hidden="false" customHeight="false" outlineLevel="0" collapsed="false">
      <c r="A950" s="22" t="n">
        <v>46134</v>
      </c>
      <c r="B950" s="19" t="s">
        <v>51</v>
      </c>
      <c r="C950" s="19" t="s">
        <v>15</v>
      </c>
      <c r="D950" s="19" t="s">
        <v>45</v>
      </c>
      <c r="E950" s="19" t="s">
        <v>135</v>
      </c>
      <c r="F950" s="20" t="n">
        <v>2355</v>
      </c>
      <c r="G950" s="20" t="n">
        <v>0</v>
      </c>
    </row>
    <row r="951" customFormat="false" ht="15" hidden="false" customHeight="false" outlineLevel="0" collapsed="false">
      <c r="A951" s="22" t="n">
        <v>46134</v>
      </c>
      <c r="B951" s="19" t="s">
        <v>51</v>
      </c>
      <c r="C951" s="19" t="s">
        <v>13</v>
      </c>
      <c r="D951" s="19" t="s">
        <v>42</v>
      </c>
      <c r="E951" s="19" t="s">
        <v>136</v>
      </c>
      <c r="F951" s="20" t="n">
        <v>500000</v>
      </c>
      <c r="G951" s="20" t="n">
        <v>3256750</v>
      </c>
    </row>
    <row r="952" customFormat="false" ht="15" hidden="false" customHeight="false" outlineLevel="0" collapsed="false">
      <c r="A952" s="22" t="n">
        <v>46135</v>
      </c>
      <c r="B952" s="19" t="s">
        <v>51</v>
      </c>
      <c r="C952" s="19" t="s">
        <v>12</v>
      </c>
      <c r="D952" s="19" t="s">
        <v>35</v>
      </c>
      <c r="E952" s="19" t="s">
        <v>122</v>
      </c>
      <c r="F952" s="20" t="n">
        <v>81062</v>
      </c>
      <c r="G952" s="20" t="n">
        <v>344500</v>
      </c>
    </row>
    <row r="953" customFormat="false" ht="15" hidden="false" customHeight="false" outlineLevel="0" collapsed="false">
      <c r="A953" s="22" t="n">
        <v>46135</v>
      </c>
      <c r="B953" s="19" t="s">
        <v>51</v>
      </c>
      <c r="C953" s="19" t="s">
        <v>12</v>
      </c>
      <c r="D953" s="19" t="s">
        <v>37</v>
      </c>
      <c r="E953" s="19" t="s">
        <v>123</v>
      </c>
      <c r="F953" s="20" t="n">
        <v>260980</v>
      </c>
      <c r="G953" s="20" t="n">
        <v>1290530</v>
      </c>
    </row>
    <row r="954" customFormat="false" ht="15" hidden="false" customHeight="false" outlineLevel="0" collapsed="false">
      <c r="A954" s="22" t="n">
        <v>46135</v>
      </c>
      <c r="B954" s="19" t="s">
        <v>51</v>
      </c>
      <c r="C954" s="19" t="s">
        <v>12</v>
      </c>
      <c r="D954" s="19" t="s">
        <v>30</v>
      </c>
      <c r="E954" s="19" t="s">
        <v>137</v>
      </c>
      <c r="F954" s="20" t="n">
        <v>255811</v>
      </c>
      <c r="G954" s="20" t="n">
        <v>820800</v>
      </c>
    </row>
    <row r="955" customFormat="false" ht="15" hidden="false" customHeight="false" outlineLevel="0" collapsed="false">
      <c r="A955" s="22" t="n">
        <v>46135</v>
      </c>
      <c r="B955" s="19" t="s">
        <v>51</v>
      </c>
      <c r="C955" s="19" t="s">
        <v>12</v>
      </c>
      <c r="D955" s="19" t="s">
        <v>31</v>
      </c>
      <c r="E955" s="19" t="s">
        <v>131</v>
      </c>
      <c r="F955" s="20" t="n">
        <v>312897</v>
      </c>
      <c r="G955" s="20" t="n">
        <v>2152850</v>
      </c>
    </row>
    <row r="956" customFormat="false" ht="15" hidden="false" customHeight="false" outlineLevel="0" collapsed="false">
      <c r="A956" s="22" t="n">
        <v>46135</v>
      </c>
      <c r="B956" s="19" t="s">
        <v>51</v>
      </c>
      <c r="C956" s="19" t="s">
        <v>13</v>
      </c>
      <c r="D956" s="19" t="s">
        <v>41</v>
      </c>
      <c r="E956" s="19" t="s">
        <v>127</v>
      </c>
      <c r="F956" s="20" t="n">
        <v>82862</v>
      </c>
      <c r="G956" s="20" t="n">
        <v>225600</v>
      </c>
    </row>
    <row r="957" customFormat="false" ht="15" hidden="false" customHeight="false" outlineLevel="0" collapsed="false">
      <c r="A957" s="22" t="n">
        <v>46135</v>
      </c>
      <c r="B957" s="19" t="s">
        <v>51</v>
      </c>
      <c r="C957" s="19" t="s">
        <v>12</v>
      </c>
      <c r="D957" s="19" t="s">
        <v>34</v>
      </c>
      <c r="E957" s="19" t="s">
        <v>126</v>
      </c>
      <c r="F957" s="20" t="n">
        <v>33226</v>
      </c>
      <c r="G957" s="20" t="n">
        <v>65000</v>
      </c>
    </row>
    <row r="958" customFormat="false" ht="15" hidden="false" customHeight="false" outlineLevel="0" collapsed="false">
      <c r="A958" s="22" t="n">
        <v>46135</v>
      </c>
      <c r="B958" s="19" t="s">
        <v>51</v>
      </c>
      <c r="C958" s="19" t="s">
        <v>12</v>
      </c>
      <c r="D958" s="19" t="s">
        <v>37</v>
      </c>
      <c r="E958" s="19" t="s">
        <v>132</v>
      </c>
      <c r="F958" s="20" t="n">
        <v>9022</v>
      </c>
      <c r="G958" s="20" t="n">
        <v>0</v>
      </c>
    </row>
    <row r="959" customFormat="false" ht="15" hidden="false" customHeight="false" outlineLevel="0" collapsed="false">
      <c r="A959" s="22" t="n">
        <v>46135</v>
      </c>
      <c r="B959" s="19" t="s">
        <v>51</v>
      </c>
      <c r="C959" s="19" t="s">
        <v>14</v>
      </c>
      <c r="D959" s="19" t="s">
        <v>40</v>
      </c>
      <c r="E959" s="19" t="s">
        <v>130</v>
      </c>
      <c r="F959" s="20" t="n">
        <v>28991</v>
      </c>
      <c r="G959" s="20" t="n">
        <v>0</v>
      </c>
    </row>
    <row r="960" customFormat="false" ht="15" hidden="false" customHeight="false" outlineLevel="0" collapsed="false">
      <c r="A960" s="22" t="n">
        <v>46135</v>
      </c>
      <c r="B960" s="19" t="s">
        <v>51</v>
      </c>
      <c r="C960" s="19" t="s">
        <v>15</v>
      </c>
      <c r="D960" s="19" t="s">
        <v>45</v>
      </c>
      <c r="E960" s="19" t="s">
        <v>135</v>
      </c>
      <c r="F960" s="20" t="n">
        <v>75</v>
      </c>
      <c r="G960" s="20" t="n">
        <v>0</v>
      </c>
    </row>
    <row r="961" customFormat="false" ht="15" hidden="false" customHeight="false" outlineLevel="0" collapsed="false">
      <c r="A961" s="22" t="n">
        <v>46135</v>
      </c>
      <c r="B961" s="19" t="s">
        <v>51</v>
      </c>
      <c r="C961" s="19" t="s">
        <v>13</v>
      </c>
      <c r="D961" s="19" t="s">
        <v>42</v>
      </c>
      <c r="E961" s="19" t="s">
        <v>136</v>
      </c>
      <c r="F961" s="20" t="n">
        <v>600000</v>
      </c>
      <c r="G961" s="20" t="n">
        <v>3142350</v>
      </c>
    </row>
    <row r="962" customFormat="false" ht="15" hidden="false" customHeight="false" outlineLevel="0" collapsed="false">
      <c r="A962" s="22" t="n">
        <v>46136</v>
      </c>
      <c r="B962" s="19" t="s">
        <v>51</v>
      </c>
      <c r="C962" s="19" t="s">
        <v>12</v>
      </c>
      <c r="D962" s="19" t="s">
        <v>35</v>
      </c>
      <c r="E962" s="19" t="s">
        <v>122</v>
      </c>
      <c r="F962" s="20" t="n">
        <v>42569</v>
      </c>
      <c r="G962" s="20" t="n">
        <v>0</v>
      </c>
    </row>
    <row r="963" customFormat="false" ht="15" hidden="false" customHeight="false" outlineLevel="0" collapsed="false">
      <c r="A963" s="22" t="n">
        <v>46136</v>
      </c>
      <c r="B963" s="19" t="s">
        <v>51</v>
      </c>
      <c r="C963" s="19" t="s">
        <v>12</v>
      </c>
      <c r="D963" s="19" t="s">
        <v>37</v>
      </c>
      <c r="E963" s="19" t="s">
        <v>123</v>
      </c>
      <c r="F963" s="20" t="n">
        <v>400000</v>
      </c>
      <c r="G963" s="20" t="n">
        <v>2999380</v>
      </c>
    </row>
    <row r="964" customFormat="false" ht="15" hidden="false" customHeight="false" outlineLevel="0" collapsed="false">
      <c r="A964" s="22" t="n">
        <v>46136</v>
      </c>
      <c r="B964" s="19" t="s">
        <v>51</v>
      </c>
      <c r="C964" s="19" t="s">
        <v>12</v>
      </c>
      <c r="D964" s="19" t="s">
        <v>34</v>
      </c>
      <c r="E964" s="19" t="s">
        <v>126</v>
      </c>
      <c r="F964" s="20" t="n">
        <v>228356</v>
      </c>
      <c r="G964" s="20" t="n">
        <v>1048280</v>
      </c>
    </row>
    <row r="965" customFormat="false" ht="15" hidden="false" customHeight="false" outlineLevel="0" collapsed="false">
      <c r="A965" s="22" t="n">
        <v>46136</v>
      </c>
      <c r="B965" s="19" t="s">
        <v>51</v>
      </c>
      <c r="C965" s="19" t="s">
        <v>13</v>
      </c>
      <c r="D965" s="19" t="s">
        <v>41</v>
      </c>
      <c r="E965" s="19" t="s">
        <v>127</v>
      </c>
      <c r="F965" s="20" t="n">
        <v>90257</v>
      </c>
      <c r="G965" s="20" t="n">
        <v>304000</v>
      </c>
    </row>
    <row r="966" customFormat="false" ht="15" hidden="false" customHeight="false" outlineLevel="0" collapsed="false">
      <c r="A966" s="22" t="n">
        <v>46136</v>
      </c>
      <c r="B966" s="19" t="s">
        <v>51</v>
      </c>
      <c r="C966" s="19" t="s">
        <v>12</v>
      </c>
      <c r="D966" s="19" t="s">
        <v>30</v>
      </c>
      <c r="E966" s="19" t="s">
        <v>137</v>
      </c>
      <c r="F966" s="20" t="n">
        <v>55624</v>
      </c>
      <c r="G966" s="20" t="n">
        <v>0</v>
      </c>
    </row>
    <row r="967" customFormat="false" ht="15" hidden="false" customHeight="false" outlineLevel="0" collapsed="false">
      <c r="A967" s="22" t="n">
        <v>46136</v>
      </c>
      <c r="B967" s="19" t="s">
        <v>51</v>
      </c>
      <c r="C967" s="19" t="s">
        <v>12</v>
      </c>
      <c r="D967" s="19" t="s">
        <v>31</v>
      </c>
      <c r="E967" s="19" t="s">
        <v>131</v>
      </c>
      <c r="F967" s="20" t="n">
        <v>101354</v>
      </c>
      <c r="G967" s="20" t="n">
        <v>283200</v>
      </c>
    </row>
    <row r="968" customFormat="false" ht="15" hidden="false" customHeight="false" outlineLevel="0" collapsed="false">
      <c r="A968" s="22" t="n">
        <v>46136</v>
      </c>
      <c r="B968" s="19" t="s">
        <v>51</v>
      </c>
      <c r="C968" s="19" t="s">
        <v>12</v>
      </c>
      <c r="D968" s="19" t="s">
        <v>37</v>
      </c>
      <c r="E968" s="19" t="s">
        <v>132</v>
      </c>
      <c r="F968" s="20" t="n">
        <v>3186</v>
      </c>
      <c r="G968" s="20" t="n">
        <v>13580</v>
      </c>
    </row>
    <row r="969" customFormat="false" ht="15" hidden="false" customHeight="false" outlineLevel="0" collapsed="false">
      <c r="A969" s="22" t="n">
        <v>46136</v>
      </c>
      <c r="B969" s="19" t="s">
        <v>51</v>
      </c>
      <c r="C969" s="19" t="s">
        <v>13</v>
      </c>
      <c r="D969" s="19" t="s">
        <v>42</v>
      </c>
      <c r="E969" s="19" t="s">
        <v>136</v>
      </c>
      <c r="F969" s="20" t="n">
        <v>600000</v>
      </c>
      <c r="G969" s="20" t="n">
        <v>3405950</v>
      </c>
    </row>
    <row r="970" customFormat="false" ht="15" hidden="false" customHeight="false" outlineLevel="0" collapsed="false">
      <c r="A970" s="22" t="n">
        <v>46137</v>
      </c>
      <c r="B970" s="19" t="s">
        <v>51</v>
      </c>
      <c r="C970" s="19" t="s">
        <v>12</v>
      </c>
      <c r="D970" s="19" t="s">
        <v>35</v>
      </c>
      <c r="E970" s="19" t="s">
        <v>122</v>
      </c>
      <c r="F970" s="20" t="n">
        <v>150000</v>
      </c>
      <c r="G970" s="20" t="n">
        <v>778090</v>
      </c>
    </row>
    <row r="971" customFormat="false" ht="15" hidden="false" customHeight="false" outlineLevel="0" collapsed="false">
      <c r="A971" s="22" t="n">
        <v>46137</v>
      </c>
      <c r="B971" s="19" t="s">
        <v>51</v>
      </c>
      <c r="C971" s="19" t="s">
        <v>12</v>
      </c>
      <c r="D971" s="19" t="s">
        <v>37</v>
      </c>
      <c r="E971" s="19" t="s">
        <v>123</v>
      </c>
      <c r="F971" s="20" t="n">
        <v>169475</v>
      </c>
      <c r="G971" s="20" t="n">
        <v>0</v>
      </c>
    </row>
    <row r="972" customFormat="false" ht="15" hidden="false" customHeight="false" outlineLevel="0" collapsed="false">
      <c r="A972" s="22" t="n">
        <v>46137</v>
      </c>
      <c r="B972" s="19" t="s">
        <v>51</v>
      </c>
      <c r="C972" s="19" t="s">
        <v>13</v>
      </c>
      <c r="D972" s="19" t="s">
        <v>41</v>
      </c>
      <c r="E972" s="19" t="s">
        <v>127</v>
      </c>
      <c r="F972" s="20" t="n">
        <v>154836</v>
      </c>
      <c r="G972" s="20" t="n">
        <v>179450</v>
      </c>
    </row>
    <row r="973" customFormat="false" ht="15" hidden="false" customHeight="false" outlineLevel="0" collapsed="false">
      <c r="A973" s="22" t="n">
        <v>46137</v>
      </c>
      <c r="B973" s="19" t="s">
        <v>51</v>
      </c>
      <c r="C973" s="19" t="s">
        <v>12</v>
      </c>
      <c r="D973" s="19" t="s">
        <v>30</v>
      </c>
      <c r="E973" s="19" t="s">
        <v>137</v>
      </c>
      <c r="F973" s="20" t="n">
        <v>143671</v>
      </c>
      <c r="G973" s="20" t="n">
        <v>283200</v>
      </c>
    </row>
    <row r="974" customFormat="false" ht="15" hidden="false" customHeight="false" outlineLevel="0" collapsed="false">
      <c r="A974" s="22" t="n">
        <v>46137</v>
      </c>
      <c r="B974" s="19" t="s">
        <v>51</v>
      </c>
      <c r="C974" s="19" t="s">
        <v>12</v>
      </c>
      <c r="D974" s="19" t="s">
        <v>34</v>
      </c>
      <c r="E974" s="19" t="s">
        <v>126</v>
      </c>
      <c r="F974" s="20" t="n">
        <v>250000</v>
      </c>
      <c r="G974" s="20" t="n">
        <v>1522150</v>
      </c>
    </row>
    <row r="975" customFormat="false" ht="15" hidden="false" customHeight="false" outlineLevel="0" collapsed="false">
      <c r="A975" s="22" t="n">
        <v>46137</v>
      </c>
      <c r="B975" s="19" t="s">
        <v>51</v>
      </c>
      <c r="C975" s="19" t="s">
        <v>12</v>
      </c>
      <c r="D975" s="19" t="s">
        <v>37</v>
      </c>
      <c r="E975" s="19" t="s">
        <v>132</v>
      </c>
      <c r="F975" s="20" t="n">
        <v>13025</v>
      </c>
      <c r="G975" s="20" t="n">
        <v>0</v>
      </c>
    </row>
    <row r="976" customFormat="false" ht="15" hidden="false" customHeight="false" outlineLevel="0" collapsed="false">
      <c r="A976" s="22" t="n">
        <v>46137</v>
      </c>
      <c r="B976" s="19" t="s">
        <v>51</v>
      </c>
      <c r="C976" s="19" t="s">
        <v>12</v>
      </c>
      <c r="D976" s="19" t="s">
        <v>31</v>
      </c>
      <c r="E976" s="19" t="s">
        <v>131</v>
      </c>
      <c r="F976" s="20" t="n">
        <v>33560</v>
      </c>
      <c r="G976" s="20" t="n">
        <v>0</v>
      </c>
    </row>
    <row r="977" customFormat="false" ht="15" hidden="false" customHeight="false" outlineLevel="0" collapsed="false">
      <c r="A977" s="22" t="n">
        <v>46137</v>
      </c>
      <c r="B977" s="19" t="s">
        <v>51</v>
      </c>
      <c r="C977" s="19" t="s">
        <v>13</v>
      </c>
      <c r="D977" s="19" t="s">
        <v>42</v>
      </c>
      <c r="E977" s="19" t="s">
        <v>136</v>
      </c>
      <c r="F977" s="20" t="n">
        <v>563835</v>
      </c>
      <c r="G977" s="20" t="n">
        <v>2837150</v>
      </c>
    </row>
    <row r="978" customFormat="false" ht="15" hidden="false" customHeight="false" outlineLevel="0" collapsed="false">
      <c r="A978" s="22" t="n">
        <v>46138</v>
      </c>
      <c r="B978" s="19" t="s">
        <v>51</v>
      </c>
      <c r="C978" s="19" t="s">
        <v>12</v>
      </c>
      <c r="D978" s="19" t="s">
        <v>35</v>
      </c>
      <c r="E978" s="19" t="s">
        <v>122</v>
      </c>
      <c r="F978" s="20" t="n">
        <v>33051</v>
      </c>
      <c r="G978" s="20" t="n">
        <v>0</v>
      </c>
    </row>
    <row r="979" customFormat="false" ht="15" hidden="false" customHeight="false" outlineLevel="0" collapsed="false">
      <c r="A979" s="22" t="n">
        <v>46138</v>
      </c>
      <c r="B979" s="19" t="s">
        <v>51</v>
      </c>
      <c r="C979" s="19" t="s">
        <v>12</v>
      </c>
      <c r="D979" s="19" t="s">
        <v>30</v>
      </c>
      <c r="E979" s="19" t="s">
        <v>137</v>
      </c>
      <c r="F979" s="20" t="n">
        <v>315103</v>
      </c>
      <c r="G979" s="20" t="n">
        <v>1534250</v>
      </c>
    </row>
    <row r="980" customFormat="false" ht="15" hidden="false" customHeight="false" outlineLevel="0" collapsed="false">
      <c r="A980" s="22" t="n">
        <v>46138</v>
      </c>
      <c r="B980" s="19" t="s">
        <v>51</v>
      </c>
      <c r="C980" s="19" t="s">
        <v>12</v>
      </c>
      <c r="D980" s="19" t="s">
        <v>34</v>
      </c>
      <c r="E980" s="19" t="s">
        <v>126</v>
      </c>
      <c r="F980" s="20" t="n">
        <v>141532</v>
      </c>
      <c r="G980" s="20" t="n">
        <v>462000</v>
      </c>
    </row>
    <row r="981" customFormat="false" ht="15" hidden="false" customHeight="false" outlineLevel="0" collapsed="false">
      <c r="A981" s="22" t="n">
        <v>46138</v>
      </c>
      <c r="B981" s="19" t="s">
        <v>51</v>
      </c>
      <c r="C981" s="19" t="s">
        <v>13</v>
      </c>
      <c r="D981" s="19" t="s">
        <v>41</v>
      </c>
      <c r="E981" s="19" t="s">
        <v>127</v>
      </c>
      <c r="F981" s="20" t="n">
        <v>143975</v>
      </c>
      <c r="G981" s="20" t="n">
        <v>836000</v>
      </c>
    </row>
    <row r="982" customFormat="false" ht="15" hidden="false" customHeight="false" outlineLevel="0" collapsed="false">
      <c r="A982" s="22" t="n">
        <v>46138</v>
      </c>
      <c r="B982" s="19" t="s">
        <v>51</v>
      </c>
      <c r="C982" s="19" t="s">
        <v>12</v>
      </c>
      <c r="D982" s="19" t="s">
        <v>37</v>
      </c>
      <c r="E982" s="19" t="s">
        <v>123</v>
      </c>
      <c r="F982" s="20" t="n">
        <v>29827</v>
      </c>
      <c r="G982" s="20" t="n">
        <v>103421</v>
      </c>
    </row>
    <row r="983" customFormat="false" ht="15" hidden="false" customHeight="false" outlineLevel="0" collapsed="false">
      <c r="A983" s="22" t="n">
        <v>46138</v>
      </c>
      <c r="B983" s="19" t="s">
        <v>51</v>
      </c>
      <c r="C983" s="19" t="s">
        <v>12</v>
      </c>
      <c r="D983" s="19" t="s">
        <v>31</v>
      </c>
      <c r="E983" s="19" t="s">
        <v>131</v>
      </c>
      <c r="F983" s="20" t="n">
        <v>171904</v>
      </c>
      <c r="G983" s="20" t="n">
        <v>625910</v>
      </c>
    </row>
    <row r="984" customFormat="false" ht="15" hidden="false" customHeight="false" outlineLevel="0" collapsed="false">
      <c r="A984" s="22" t="n">
        <v>46138</v>
      </c>
      <c r="B984" s="19" t="s">
        <v>51</v>
      </c>
      <c r="C984" s="19" t="s">
        <v>12</v>
      </c>
      <c r="D984" s="19" t="s">
        <v>37</v>
      </c>
      <c r="E984" s="19" t="s">
        <v>132</v>
      </c>
      <c r="F984" s="20" t="n">
        <v>78709</v>
      </c>
      <c r="G984" s="20" t="n">
        <v>355300</v>
      </c>
    </row>
    <row r="985" customFormat="false" ht="15" hidden="false" customHeight="false" outlineLevel="0" collapsed="false">
      <c r="A985" s="22" t="n">
        <v>46138</v>
      </c>
      <c r="B985" s="19" t="s">
        <v>51</v>
      </c>
      <c r="C985" s="19" t="s">
        <v>13</v>
      </c>
      <c r="D985" s="19" t="s">
        <v>42</v>
      </c>
      <c r="E985" s="19" t="s">
        <v>136</v>
      </c>
      <c r="F985" s="20" t="n">
        <v>600000</v>
      </c>
      <c r="G985" s="20" t="n">
        <v>3912691</v>
      </c>
    </row>
    <row r="986" customFormat="false" ht="15" hidden="false" customHeight="false" outlineLevel="0" collapsed="false">
      <c r="A986" s="22" t="n">
        <v>46139</v>
      </c>
      <c r="B986" s="19" t="s">
        <v>51</v>
      </c>
      <c r="C986" s="19" t="s">
        <v>12</v>
      </c>
      <c r="D986" s="19" t="s">
        <v>35</v>
      </c>
      <c r="E986" s="19" t="s">
        <v>122</v>
      </c>
      <c r="F986" s="20" t="n">
        <v>24629</v>
      </c>
      <c r="G986" s="20" t="n">
        <v>0</v>
      </c>
    </row>
    <row r="987" customFormat="false" ht="15" hidden="false" customHeight="false" outlineLevel="0" collapsed="false">
      <c r="A987" s="22" t="n">
        <v>46139</v>
      </c>
      <c r="B987" s="19" t="s">
        <v>51</v>
      </c>
      <c r="C987" s="19" t="s">
        <v>12</v>
      </c>
      <c r="D987" s="19" t="s">
        <v>30</v>
      </c>
      <c r="E987" s="19" t="s">
        <v>137</v>
      </c>
      <c r="F987" s="20" t="n">
        <v>338446</v>
      </c>
      <c r="G987" s="20" t="n">
        <v>1878249</v>
      </c>
    </row>
    <row r="988" customFormat="false" ht="15" hidden="false" customHeight="false" outlineLevel="0" collapsed="false">
      <c r="A988" s="22" t="n">
        <v>46139</v>
      </c>
      <c r="B988" s="19" t="s">
        <v>51</v>
      </c>
      <c r="C988" s="19" t="s">
        <v>12</v>
      </c>
      <c r="D988" s="19" t="s">
        <v>37</v>
      </c>
      <c r="E988" s="19" t="s">
        <v>123</v>
      </c>
      <c r="F988" s="20" t="n">
        <v>75992</v>
      </c>
      <c r="G988" s="20" t="n">
        <v>316661</v>
      </c>
    </row>
    <row r="989" customFormat="false" ht="15" hidden="false" customHeight="false" outlineLevel="0" collapsed="false">
      <c r="A989" s="22" t="n">
        <v>46139</v>
      </c>
      <c r="B989" s="19" t="s">
        <v>51</v>
      </c>
      <c r="C989" s="19" t="s">
        <v>13</v>
      </c>
      <c r="D989" s="19" t="s">
        <v>41</v>
      </c>
      <c r="E989" s="19" t="s">
        <v>127</v>
      </c>
      <c r="F989" s="20" t="n">
        <v>300000</v>
      </c>
      <c r="G989" s="20" t="n">
        <v>5110000</v>
      </c>
    </row>
    <row r="990" customFormat="false" ht="15" hidden="false" customHeight="false" outlineLevel="0" collapsed="false">
      <c r="A990" s="22" t="n">
        <v>46139</v>
      </c>
      <c r="B990" s="19" t="s">
        <v>51</v>
      </c>
      <c r="C990" s="19" t="s">
        <v>12</v>
      </c>
      <c r="D990" s="19" t="s">
        <v>34</v>
      </c>
      <c r="E990" s="19" t="s">
        <v>126</v>
      </c>
      <c r="F990" s="20" t="n">
        <v>67097</v>
      </c>
      <c r="G990" s="20" t="n">
        <v>346139</v>
      </c>
    </row>
    <row r="991" customFormat="false" ht="15" hidden="false" customHeight="false" outlineLevel="0" collapsed="false">
      <c r="A991" s="22" t="n">
        <v>46139</v>
      </c>
      <c r="B991" s="19" t="s">
        <v>51</v>
      </c>
      <c r="C991" s="19" t="s">
        <v>12</v>
      </c>
      <c r="D991" s="19" t="s">
        <v>37</v>
      </c>
      <c r="E991" s="19" t="s">
        <v>132</v>
      </c>
      <c r="F991" s="20" t="n">
        <v>10869</v>
      </c>
      <c r="G991" s="20" t="n">
        <v>0</v>
      </c>
    </row>
    <row r="992" customFormat="false" ht="15" hidden="false" customHeight="false" outlineLevel="0" collapsed="false">
      <c r="A992" s="22" t="n">
        <v>46139</v>
      </c>
      <c r="B992" s="19" t="s">
        <v>51</v>
      </c>
      <c r="C992" s="19" t="s">
        <v>12</v>
      </c>
      <c r="D992" s="19" t="s">
        <v>31</v>
      </c>
      <c r="E992" s="19" t="s">
        <v>131</v>
      </c>
      <c r="F992" s="20" t="n">
        <v>7441</v>
      </c>
      <c r="G992" s="20" t="n">
        <v>0</v>
      </c>
    </row>
    <row r="993" customFormat="false" ht="15" hidden="false" customHeight="false" outlineLevel="0" collapsed="false">
      <c r="A993" s="22" t="n">
        <v>46139</v>
      </c>
      <c r="B993" s="19" t="s">
        <v>51</v>
      </c>
      <c r="C993" s="19" t="s">
        <v>13</v>
      </c>
      <c r="D993" s="19" t="s">
        <v>42</v>
      </c>
      <c r="E993" s="19" t="s">
        <v>136</v>
      </c>
      <c r="F993" s="20" t="n">
        <v>463247</v>
      </c>
      <c r="G993" s="20" t="n">
        <v>2009100</v>
      </c>
    </row>
    <row r="994" customFormat="false" ht="15" hidden="false" customHeight="false" outlineLevel="0" collapsed="false">
      <c r="A994" s="22" t="n">
        <v>46140</v>
      </c>
      <c r="B994" s="19" t="s">
        <v>51</v>
      </c>
      <c r="C994" s="19" t="s">
        <v>12</v>
      </c>
      <c r="D994" s="19" t="s">
        <v>35</v>
      </c>
      <c r="E994" s="19" t="s">
        <v>122</v>
      </c>
      <c r="F994" s="20" t="n">
        <v>44380</v>
      </c>
      <c r="G994" s="20" t="n">
        <v>199000</v>
      </c>
    </row>
    <row r="995" customFormat="false" ht="15" hidden="false" customHeight="false" outlineLevel="0" collapsed="false">
      <c r="A995" s="22" t="n">
        <v>46140</v>
      </c>
      <c r="B995" s="19" t="s">
        <v>51</v>
      </c>
      <c r="C995" s="19" t="s">
        <v>12</v>
      </c>
      <c r="D995" s="19" t="s">
        <v>37</v>
      </c>
      <c r="E995" s="19" t="s">
        <v>123</v>
      </c>
      <c r="F995" s="20" t="n">
        <v>46039</v>
      </c>
      <c r="G995" s="20" t="n">
        <v>213240</v>
      </c>
    </row>
    <row r="996" customFormat="false" ht="15" hidden="false" customHeight="false" outlineLevel="0" collapsed="false">
      <c r="A996" s="22" t="n">
        <v>46140</v>
      </c>
      <c r="B996" s="19" t="s">
        <v>51</v>
      </c>
      <c r="C996" s="19" t="s">
        <v>12</v>
      </c>
      <c r="D996" s="19" t="s">
        <v>31</v>
      </c>
      <c r="E996" s="19" t="s">
        <v>131</v>
      </c>
      <c r="F996" s="20" t="n">
        <v>366944</v>
      </c>
      <c r="G996" s="20" t="n">
        <v>1782250</v>
      </c>
    </row>
    <row r="997" customFormat="false" ht="15" hidden="false" customHeight="false" outlineLevel="0" collapsed="false">
      <c r="A997" s="22" t="n">
        <v>46140</v>
      </c>
      <c r="B997" s="19" t="s">
        <v>51</v>
      </c>
      <c r="C997" s="19" t="s">
        <v>12</v>
      </c>
      <c r="D997" s="19" t="s">
        <v>34</v>
      </c>
      <c r="E997" s="19" t="s">
        <v>126</v>
      </c>
      <c r="F997" s="20" t="n">
        <v>250000</v>
      </c>
      <c r="G997" s="20" t="n">
        <v>1200215</v>
      </c>
    </row>
    <row r="998" customFormat="false" ht="15" hidden="false" customHeight="false" outlineLevel="0" collapsed="false">
      <c r="A998" s="22" t="n">
        <v>46140</v>
      </c>
      <c r="B998" s="19" t="s">
        <v>51</v>
      </c>
      <c r="C998" s="19" t="s">
        <v>13</v>
      </c>
      <c r="D998" s="19" t="s">
        <v>41</v>
      </c>
      <c r="E998" s="19" t="s">
        <v>127</v>
      </c>
      <c r="F998" s="20" t="n">
        <v>299733</v>
      </c>
      <c r="G998" s="20" t="n">
        <v>308750</v>
      </c>
    </row>
    <row r="999" customFormat="false" ht="15" hidden="false" customHeight="false" outlineLevel="0" collapsed="false">
      <c r="A999" s="22" t="n">
        <v>46140</v>
      </c>
      <c r="B999" s="19" t="s">
        <v>51</v>
      </c>
      <c r="C999" s="19" t="s">
        <v>12</v>
      </c>
      <c r="D999" s="19" t="s">
        <v>30</v>
      </c>
      <c r="E999" s="19" t="s">
        <v>137</v>
      </c>
      <c r="F999" s="20" t="n">
        <v>98478</v>
      </c>
      <c r="G999" s="20" t="n">
        <v>448150</v>
      </c>
    </row>
    <row r="1000" customFormat="false" ht="15" hidden="false" customHeight="false" outlineLevel="0" collapsed="false">
      <c r="A1000" s="22" t="n">
        <v>46140</v>
      </c>
      <c r="B1000" s="19" t="s">
        <v>51</v>
      </c>
      <c r="C1000" s="19" t="s">
        <v>12</v>
      </c>
      <c r="D1000" s="19" t="s">
        <v>37</v>
      </c>
      <c r="E1000" s="19" t="s">
        <v>132</v>
      </c>
      <c r="F1000" s="20" t="n">
        <v>37546</v>
      </c>
      <c r="G1000" s="20" t="n">
        <v>0</v>
      </c>
    </row>
    <row r="1001" customFormat="false" ht="15" hidden="false" customHeight="false" outlineLevel="0" collapsed="false">
      <c r="A1001" s="22" t="n">
        <v>46140</v>
      </c>
      <c r="B1001" s="19" t="s">
        <v>51</v>
      </c>
      <c r="C1001" s="19" t="s">
        <v>13</v>
      </c>
      <c r="D1001" s="19" t="s">
        <v>42</v>
      </c>
      <c r="E1001" s="19" t="s">
        <v>136</v>
      </c>
      <c r="F1001" s="20" t="n">
        <v>650000</v>
      </c>
      <c r="G1001" s="20" t="n">
        <v>4975585</v>
      </c>
    </row>
    <row r="1002" customFormat="false" ht="15" hidden="false" customHeight="false" outlineLevel="0" collapsed="false">
      <c r="A1002" s="22" t="n">
        <v>46141</v>
      </c>
      <c r="B1002" s="19" t="s">
        <v>51</v>
      </c>
      <c r="C1002" s="19" t="s">
        <v>12</v>
      </c>
      <c r="D1002" s="19" t="s">
        <v>35</v>
      </c>
      <c r="E1002" s="19" t="s">
        <v>122</v>
      </c>
      <c r="F1002" s="20" t="n">
        <v>150000</v>
      </c>
      <c r="G1002" s="20" t="n">
        <v>989030</v>
      </c>
    </row>
    <row r="1003" customFormat="false" ht="15" hidden="false" customHeight="false" outlineLevel="0" collapsed="false">
      <c r="A1003" s="22" t="n">
        <v>46141</v>
      </c>
      <c r="B1003" s="19" t="s">
        <v>51</v>
      </c>
      <c r="C1003" s="19" t="s">
        <v>12</v>
      </c>
      <c r="D1003" s="19" t="s">
        <v>37</v>
      </c>
      <c r="E1003" s="19" t="s">
        <v>123</v>
      </c>
      <c r="F1003" s="20" t="n">
        <v>183988</v>
      </c>
      <c r="G1003" s="20" t="n">
        <v>839475</v>
      </c>
    </row>
    <row r="1004" customFormat="false" ht="15" hidden="false" customHeight="false" outlineLevel="0" collapsed="false">
      <c r="A1004" s="22" t="n">
        <v>46141</v>
      </c>
      <c r="B1004" s="19" t="s">
        <v>51</v>
      </c>
      <c r="C1004" s="19" t="s">
        <v>12</v>
      </c>
      <c r="D1004" s="19" t="s">
        <v>37</v>
      </c>
      <c r="E1004" s="19" t="s">
        <v>132</v>
      </c>
      <c r="F1004" s="20" t="n">
        <v>70228</v>
      </c>
      <c r="G1004" s="20" t="n">
        <v>331550</v>
      </c>
    </row>
    <row r="1005" customFormat="false" ht="15" hidden="false" customHeight="false" outlineLevel="0" collapsed="false">
      <c r="A1005" s="22" t="n">
        <v>46141</v>
      </c>
      <c r="B1005" s="19" t="s">
        <v>51</v>
      </c>
      <c r="C1005" s="19" t="s">
        <v>12</v>
      </c>
      <c r="D1005" s="19" t="s">
        <v>34</v>
      </c>
      <c r="E1005" s="19" t="s">
        <v>126</v>
      </c>
      <c r="F1005" s="20" t="n">
        <v>61709</v>
      </c>
      <c r="G1005" s="20" t="n">
        <v>181000</v>
      </c>
    </row>
    <row r="1006" customFormat="false" ht="15" hidden="false" customHeight="false" outlineLevel="0" collapsed="false">
      <c r="A1006" s="22" t="n">
        <v>46141</v>
      </c>
      <c r="B1006" s="19" t="s">
        <v>51</v>
      </c>
      <c r="C1006" s="19" t="s">
        <v>13</v>
      </c>
      <c r="D1006" s="19" t="s">
        <v>41</v>
      </c>
      <c r="E1006" s="19" t="s">
        <v>127</v>
      </c>
      <c r="F1006" s="20" t="n">
        <v>174413</v>
      </c>
      <c r="G1006" s="20" t="n">
        <v>609450</v>
      </c>
    </row>
    <row r="1007" customFormat="false" ht="15" hidden="false" customHeight="false" outlineLevel="0" collapsed="false">
      <c r="A1007" s="22" t="n">
        <v>46141</v>
      </c>
      <c r="B1007" s="19" t="s">
        <v>51</v>
      </c>
      <c r="C1007" s="19" t="s">
        <v>12</v>
      </c>
      <c r="D1007" s="19" t="s">
        <v>31</v>
      </c>
      <c r="E1007" s="19" t="s">
        <v>131</v>
      </c>
      <c r="F1007" s="20" t="n">
        <v>178981</v>
      </c>
      <c r="G1007" s="20" t="n">
        <v>646000</v>
      </c>
    </row>
    <row r="1008" customFormat="false" ht="15" hidden="false" customHeight="false" outlineLevel="0" collapsed="false">
      <c r="A1008" s="22" t="n">
        <v>46141</v>
      </c>
      <c r="B1008" s="19" t="s">
        <v>51</v>
      </c>
      <c r="C1008" s="19" t="s">
        <v>12</v>
      </c>
      <c r="D1008" s="19" t="s">
        <v>30</v>
      </c>
      <c r="E1008" s="19" t="s">
        <v>137</v>
      </c>
      <c r="F1008" s="20" t="n">
        <v>56675</v>
      </c>
      <c r="G1008" s="20" t="n">
        <v>0</v>
      </c>
    </row>
    <row r="1009" customFormat="false" ht="15" hidden="false" customHeight="false" outlineLevel="0" collapsed="false">
      <c r="A1009" s="22" t="n">
        <v>46141</v>
      </c>
      <c r="B1009" s="19" t="s">
        <v>51</v>
      </c>
      <c r="C1009" s="19" t="s">
        <v>13</v>
      </c>
      <c r="D1009" s="19" t="s">
        <v>42</v>
      </c>
      <c r="E1009" s="19" t="s">
        <v>136</v>
      </c>
      <c r="F1009" s="20" t="n">
        <v>698825</v>
      </c>
      <c r="G1009" s="20" t="n">
        <v>3620299</v>
      </c>
    </row>
    <row r="1010" customFormat="false" ht="15" hidden="false" customHeight="false" outlineLevel="0" collapsed="false">
      <c r="A1010" s="22" t="n">
        <v>46142</v>
      </c>
      <c r="B1010" s="19" t="s">
        <v>51</v>
      </c>
      <c r="C1010" s="19" t="s">
        <v>12</v>
      </c>
      <c r="D1010" s="19" t="s">
        <v>35</v>
      </c>
      <c r="E1010" s="19" t="s">
        <v>122</v>
      </c>
      <c r="F1010" s="20" t="n">
        <v>24917</v>
      </c>
      <c r="G1010" s="20" t="n">
        <v>0</v>
      </c>
    </row>
    <row r="1011" customFormat="false" ht="15" hidden="false" customHeight="false" outlineLevel="0" collapsed="false">
      <c r="A1011" s="22" t="n">
        <v>46142</v>
      </c>
      <c r="B1011" s="19" t="s">
        <v>51</v>
      </c>
      <c r="C1011" s="19" t="s">
        <v>12</v>
      </c>
      <c r="D1011" s="19" t="s">
        <v>37</v>
      </c>
      <c r="E1011" s="19" t="s">
        <v>123</v>
      </c>
      <c r="F1011" s="20" t="n">
        <v>45089</v>
      </c>
      <c r="G1011" s="20" t="n">
        <v>103421</v>
      </c>
    </row>
    <row r="1012" customFormat="false" ht="15" hidden="false" customHeight="false" outlineLevel="0" collapsed="false">
      <c r="A1012" s="22" t="n">
        <v>46142</v>
      </c>
      <c r="B1012" s="19" t="s">
        <v>51</v>
      </c>
      <c r="C1012" s="19" t="s">
        <v>12</v>
      </c>
      <c r="D1012" s="19" t="s">
        <v>34</v>
      </c>
      <c r="E1012" s="19" t="s">
        <v>126</v>
      </c>
      <c r="F1012" s="20" t="n">
        <v>94137</v>
      </c>
      <c r="G1012" s="20" t="n">
        <v>430585</v>
      </c>
    </row>
    <row r="1013" customFormat="false" ht="15" hidden="false" customHeight="false" outlineLevel="0" collapsed="false">
      <c r="A1013" s="22" t="n">
        <v>46142</v>
      </c>
      <c r="B1013" s="19" t="s">
        <v>51</v>
      </c>
      <c r="C1013" s="19" t="s">
        <v>13</v>
      </c>
      <c r="D1013" s="19" t="s">
        <v>41</v>
      </c>
      <c r="E1013" s="19" t="s">
        <v>127</v>
      </c>
      <c r="F1013" s="20" t="n">
        <v>146830</v>
      </c>
      <c r="G1013" s="20" t="n">
        <v>703000</v>
      </c>
    </row>
    <row r="1014" customFormat="false" ht="15" hidden="false" customHeight="false" outlineLevel="0" collapsed="false">
      <c r="A1014" s="22" t="n">
        <v>46142</v>
      </c>
      <c r="B1014" s="19" t="s">
        <v>51</v>
      </c>
      <c r="C1014" s="19" t="s">
        <v>12</v>
      </c>
      <c r="D1014" s="19" t="s">
        <v>30</v>
      </c>
      <c r="E1014" s="19" t="s">
        <v>137</v>
      </c>
      <c r="F1014" s="20" t="n">
        <v>72747</v>
      </c>
      <c r="G1014" s="20" t="n">
        <v>308750</v>
      </c>
    </row>
    <row r="1015" customFormat="false" ht="15" hidden="false" customHeight="false" outlineLevel="0" collapsed="false">
      <c r="A1015" s="22" t="n">
        <v>46142</v>
      </c>
      <c r="B1015" s="19" t="s">
        <v>51</v>
      </c>
      <c r="C1015" s="19" t="s">
        <v>12</v>
      </c>
      <c r="D1015" s="19" t="s">
        <v>37</v>
      </c>
      <c r="E1015" s="19" t="s">
        <v>132</v>
      </c>
      <c r="F1015" s="20" t="n">
        <v>47873</v>
      </c>
      <c r="G1015" s="20" t="n">
        <v>0</v>
      </c>
    </row>
    <row r="1016" customFormat="false" ht="15" hidden="false" customHeight="false" outlineLevel="0" collapsed="false">
      <c r="A1016" s="22" t="n">
        <v>46142</v>
      </c>
      <c r="B1016" s="19" t="s">
        <v>51</v>
      </c>
      <c r="C1016" s="19" t="s">
        <v>12</v>
      </c>
      <c r="D1016" s="19" t="s">
        <v>31</v>
      </c>
      <c r="E1016" s="19" t="s">
        <v>131</v>
      </c>
      <c r="F1016" s="20" t="n">
        <v>11590</v>
      </c>
      <c r="G1016" s="20" t="n">
        <v>0</v>
      </c>
    </row>
    <row r="1017" customFormat="false" ht="15" hidden="false" customHeight="false" outlineLevel="0" collapsed="false">
      <c r="A1017" s="22" t="n">
        <v>46142</v>
      </c>
      <c r="B1017" s="19" t="s">
        <v>51</v>
      </c>
      <c r="C1017" s="19" t="s">
        <v>13</v>
      </c>
      <c r="D1017" s="19" t="s">
        <v>42</v>
      </c>
      <c r="E1017" s="19" t="s">
        <v>136</v>
      </c>
      <c r="F1017" s="20" t="n">
        <v>426646</v>
      </c>
      <c r="G1017" s="20" t="n">
        <v>2366750</v>
      </c>
    </row>
    <row r="1018" customFormat="false" ht="15" hidden="false" customHeight="false" outlineLevel="0" collapsed="false">
      <c r="A1018" s="22" t="n">
        <v>46143</v>
      </c>
      <c r="B1018" s="19" t="s">
        <v>51</v>
      </c>
      <c r="C1018" s="19" t="s">
        <v>12</v>
      </c>
      <c r="D1018" s="19" t="s">
        <v>35</v>
      </c>
      <c r="E1018" s="19" t="s">
        <v>122</v>
      </c>
      <c r="F1018" s="20" t="n">
        <v>18635</v>
      </c>
      <c r="G1018" s="20" t="n">
        <v>0</v>
      </c>
    </row>
    <row r="1019" customFormat="false" ht="15" hidden="false" customHeight="false" outlineLevel="0" collapsed="false">
      <c r="A1019" s="22" t="n">
        <v>46143</v>
      </c>
      <c r="B1019" s="19" t="s">
        <v>51</v>
      </c>
      <c r="C1019" s="19" t="s">
        <v>12</v>
      </c>
      <c r="D1019" s="19" t="s">
        <v>37</v>
      </c>
      <c r="E1019" s="19" t="s">
        <v>123</v>
      </c>
      <c r="F1019" s="20" t="n">
        <v>36465</v>
      </c>
      <c r="G1019" s="20" t="n">
        <v>0</v>
      </c>
    </row>
    <row r="1020" customFormat="false" ht="15" hidden="false" customHeight="false" outlineLevel="0" collapsed="false">
      <c r="A1020" s="22" t="n">
        <v>46143</v>
      </c>
      <c r="B1020" s="19" t="s">
        <v>51</v>
      </c>
      <c r="C1020" s="19" t="s">
        <v>12</v>
      </c>
      <c r="D1020" s="19" t="s">
        <v>30</v>
      </c>
      <c r="E1020" s="19" t="s">
        <v>137</v>
      </c>
      <c r="F1020" s="20" t="n">
        <v>184829</v>
      </c>
      <c r="G1020" s="20" t="n">
        <v>921150</v>
      </c>
    </row>
    <row r="1021" customFormat="false" ht="15" hidden="false" customHeight="false" outlineLevel="0" collapsed="false">
      <c r="A1021" s="22" t="n">
        <v>46143</v>
      </c>
      <c r="B1021" s="19" t="s">
        <v>51</v>
      </c>
      <c r="C1021" s="19" t="s">
        <v>13</v>
      </c>
      <c r="D1021" s="19" t="s">
        <v>41</v>
      </c>
      <c r="E1021" s="19" t="s">
        <v>127</v>
      </c>
      <c r="F1021" s="20" t="n">
        <v>151003</v>
      </c>
      <c r="G1021" s="20" t="n">
        <v>725200</v>
      </c>
    </row>
    <row r="1022" customFormat="false" ht="15" hidden="false" customHeight="false" outlineLevel="0" collapsed="false">
      <c r="A1022" s="22" t="n">
        <v>46143</v>
      </c>
      <c r="B1022" s="19" t="s">
        <v>51</v>
      </c>
      <c r="C1022" s="19" t="s">
        <v>12</v>
      </c>
      <c r="D1022" s="19" t="s">
        <v>34</v>
      </c>
      <c r="E1022" s="19" t="s">
        <v>126</v>
      </c>
      <c r="F1022" s="20" t="n">
        <v>93354</v>
      </c>
      <c r="G1022" s="20" t="n">
        <v>425155</v>
      </c>
    </row>
    <row r="1023" customFormat="false" ht="15" hidden="false" customHeight="false" outlineLevel="0" collapsed="false">
      <c r="A1023" s="22" t="n">
        <v>46143</v>
      </c>
      <c r="B1023" s="19" t="s">
        <v>51</v>
      </c>
      <c r="C1023" s="19" t="s">
        <v>12</v>
      </c>
      <c r="D1023" s="19" t="s">
        <v>37</v>
      </c>
      <c r="E1023" s="19" t="s">
        <v>132</v>
      </c>
      <c r="F1023" s="20" t="n">
        <v>19999</v>
      </c>
      <c r="G1023" s="20" t="n">
        <v>0</v>
      </c>
    </row>
    <row r="1024" customFormat="false" ht="15" hidden="false" customHeight="false" outlineLevel="0" collapsed="false">
      <c r="A1024" s="22" t="n">
        <v>46143</v>
      </c>
      <c r="B1024" s="19" t="s">
        <v>51</v>
      </c>
      <c r="C1024" s="19" t="s">
        <v>12</v>
      </c>
      <c r="D1024" s="19" t="s">
        <v>31</v>
      </c>
      <c r="E1024" s="19" t="s">
        <v>131</v>
      </c>
      <c r="F1024" s="20" t="n">
        <v>68401</v>
      </c>
      <c r="G1024" s="20" t="n">
        <v>285000</v>
      </c>
    </row>
    <row r="1025" customFormat="false" ht="15" hidden="false" customHeight="false" outlineLevel="0" collapsed="false">
      <c r="A1025" s="22" t="n">
        <v>46143</v>
      </c>
      <c r="B1025" s="19" t="s">
        <v>51</v>
      </c>
      <c r="C1025" s="19" t="s">
        <v>13</v>
      </c>
      <c r="D1025" s="19" t="s">
        <v>42</v>
      </c>
      <c r="E1025" s="19" t="s">
        <v>136</v>
      </c>
      <c r="F1025" s="20" t="n">
        <v>411452</v>
      </c>
      <c r="G1025" s="20" t="n">
        <v>2084871</v>
      </c>
    </row>
    <row r="1026" customFormat="false" ht="15" hidden="false" customHeight="false" outlineLevel="0" collapsed="false">
      <c r="A1026" s="22" t="n">
        <v>46144</v>
      </c>
      <c r="B1026" s="19" t="s">
        <v>51</v>
      </c>
      <c r="C1026" s="19" t="s">
        <v>12</v>
      </c>
      <c r="D1026" s="19" t="s">
        <v>35</v>
      </c>
      <c r="E1026" s="19" t="s">
        <v>122</v>
      </c>
      <c r="F1026" s="20" t="n">
        <v>150000</v>
      </c>
      <c r="G1026" s="20" t="n">
        <v>740880</v>
      </c>
    </row>
    <row r="1027" customFormat="false" ht="15" hidden="false" customHeight="false" outlineLevel="0" collapsed="false">
      <c r="A1027" s="22" t="n">
        <v>46144</v>
      </c>
      <c r="B1027" s="19" t="s">
        <v>51</v>
      </c>
      <c r="C1027" s="19" t="s">
        <v>12</v>
      </c>
      <c r="D1027" s="19" t="s">
        <v>37</v>
      </c>
      <c r="E1027" s="19" t="s">
        <v>123</v>
      </c>
      <c r="F1027" s="20" t="n">
        <v>87164</v>
      </c>
      <c r="G1027" s="20" t="n">
        <v>401480</v>
      </c>
    </row>
    <row r="1028" customFormat="false" ht="15" hidden="false" customHeight="false" outlineLevel="0" collapsed="false">
      <c r="A1028" s="22" t="n">
        <v>46144</v>
      </c>
      <c r="B1028" s="19" t="s">
        <v>51</v>
      </c>
      <c r="C1028" s="19" t="s">
        <v>12</v>
      </c>
      <c r="D1028" s="19" t="s">
        <v>34</v>
      </c>
      <c r="E1028" s="19" t="s">
        <v>126</v>
      </c>
      <c r="F1028" s="20" t="n">
        <v>65337</v>
      </c>
      <c r="G1028" s="20" t="n">
        <v>253000</v>
      </c>
    </row>
    <row r="1029" customFormat="false" ht="15" hidden="false" customHeight="false" outlineLevel="0" collapsed="false">
      <c r="A1029" s="22" t="n">
        <v>46144</v>
      </c>
      <c r="B1029" s="19" t="s">
        <v>51</v>
      </c>
      <c r="C1029" s="19" t="s">
        <v>12</v>
      </c>
      <c r="D1029" s="19" t="s">
        <v>30</v>
      </c>
      <c r="E1029" s="19" t="s">
        <v>137</v>
      </c>
      <c r="F1029" s="20" t="n">
        <v>74881</v>
      </c>
      <c r="G1029" s="20" t="n">
        <v>500245</v>
      </c>
    </row>
    <row r="1030" customFormat="false" ht="15" hidden="false" customHeight="false" outlineLevel="0" collapsed="false">
      <c r="A1030" s="22" t="n">
        <v>46144</v>
      </c>
      <c r="B1030" s="19" t="s">
        <v>51</v>
      </c>
      <c r="C1030" s="19" t="s">
        <v>12</v>
      </c>
      <c r="D1030" s="19" t="s">
        <v>37</v>
      </c>
      <c r="E1030" s="19" t="s">
        <v>132</v>
      </c>
      <c r="F1030" s="20" t="n">
        <v>36301</v>
      </c>
      <c r="G1030" s="20" t="n">
        <v>0</v>
      </c>
    </row>
    <row r="1031" customFormat="false" ht="15" hidden="false" customHeight="false" outlineLevel="0" collapsed="false">
      <c r="A1031" s="22" t="n">
        <v>46144</v>
      </c>
      <c r="B1031" s="19" t="s">
        <v>51</v>
      </c>
      <c r="C1031" s="19" t="s">
        <v>13</v>
      </c>
      <c r="D1031" s="19" t="s">
        <v>41</v>
      </c>
      <c r="E1031" s="19" t="s">
        <v>127</v>
      </c>
      <c r="F1031" s="20" t="n">
        <v>47940</v>
      </c>
      <c r="G1031" s="20" t="n">
        <v>0</v>
      </c>
    </row>
    <row r="1032" customFormat="false" ht="15" hidden="false" customHeight="false" outlineLevel="0" collapsed="false">
      <c r="A1032" s="22" t="n">
        <v>46144</v>
      </c>
      <c r="B1032" s="19" t="s">
        <v>51</v>
      </c>
      <c r="C1032" s="19" t="s">
        <v>12</v>
      </c>
      <c r="D1032" s="19" t="s">
        <v>31</v>
      </c>
      <c r="E1032" s="19" t="s">
        <v>131</v>
      </c>
      <c r="F1032" s="20" t="n">
        <v>58780</v>
      </c>
      <c r="G1032" s="20" t="n">
        <v>296500</v>
      </c>
    </row>
    <row r="1033" customFormat="false" ht="15" hidden="false" customHeight="false" outlineLevel="0" collapsed="false">
      <c r="A1033" s="22" t="n">
        <v>46144</v>
      </c>
      <c r="B1033" s="19" t="s">
        <v>51</v>
      </c>
      <c r="C1033" s="19" t="s">
        <v>13</v>
      </c>
      <c r="D1033" s="19" t="s">
        <v>42</v>
      </c>
      <c r="E1033" s="19" t="s">
        <v>136</v>
      </c>
      <c r="F1033" s="20" t="n">
        <v>334408</v>
      </c>
      <c r="G1033" s="20" t="n">
        <v>1871672</v>
      </c>
    </row>
    <row r="1034" customFormat="false" ht="15" hidden="false" customHeight="false" outlineLevel="0" collapsed="false">
      <c r="A1034" s="22" t="n">
        <v>46145</v>
      </c>
      <c r="B1034" s="19" t="s">
        <v>51</v>
      </c>
      <c r="C1034" s="19" t="s">
        <v>12</v>
      </c>
      <c r="D1034" s="19" t="s">
        <v>35</v>
      </c>
      <c r="E1034" s="19" t="s">
        <v>122</v>
      </c>
      <c r="F1034" s="20" t="n">
        <v>6481</v>
      </c>
      <c r="G1034" s="20" t="n">
        <v>0</v>
      </c>
    </row>
    <row r="1035" customFormat="false" ht="15" hidden="false" customHeight="false" outlineLevel="0" collapsed="false">
      <c r="A1035" s="22" t="n">
        <v>46145</v>
      </c>
      <c r="B1035" s="19" t="s">
        <v>51</v>
      </c>
      <c r="C1035" s="19" t="s">
        <v>12</v>
      </c>
      <c r="D1035" s="19" t="s">
        <v>37</v>
      </c>
      <c r="E1035" s="19" t="s">
        <v>123</v>
      </c>
      <c r="F1035" s="20" t="n">
        <v>93893</v>
      </c>
      <c r="G1035" s="20" t="n">
        <v>446942</v>
      </c>
    </row>
    <row r="1036" customFormat="false" ht="15" hidden="false" customHeight="false" outlineLevel="0" collapsed="false">
      <c r="A1036" s="22" t="n">
        <v>46145</v>
      </c>
      <c r="B1036" s="19" t="s">
        <v>51</v>
      </c>
      <c r="C1036" s="19" t="s">
        <v>13</v>
      </c>
      <c r="D1036" s="19" t="s">
        <v>41</v>
      </c>
      <c r="E1036" s="19" t="s">
        <v>127</v>
      </c>
      <c r="F1036" s="20" t="n">
        <v>300000</v>
      </c>
      <c r="G1036" s="20" t="n">
        <v>1889150</v>
      </c>
    </row>
    <row r="1037" customFormat="false" ht="15" hidden="false" customHeight="false" outlineLevel="0" collapsed="false">
      <c r="A1037" s="22" t="n">
        <v>46145</v>
      </c>
      <c r="B1037" s="19" t="s">
        <v>51</v>
      </c>
      <c r="C1037" s="19" t="s">
        <v>12</v>
      </c>
      <c r="D1037" s="19" t="s">
        <v>30</v>
      </c>
      <c r="E1037" s="19" t="s">
        <v>137</v>
      </c>
      <c r="F1037" s="20" t="n">
        <v>201783</v>
      </c>
      <c r="G1037" s="20" t="n">
        <v>955200</v>
      </c>
    </row>
    <row r="1038" customFormat="false" ht="15" hidden="false" customHeight="false" outlineLevel="0" collapsed="false">
      <c r="A1038" s="22" t="n">
        <v>46145</v>
      </c>
      <c r="B1038" s="19" t="s">
        <v>51</v>
      </c>
      <c r="C1038" s="19" t="s">
        <v>12</v>
      </c>
      <c r="D1038" s="19" t="s">
        <v>34</v>
      </c>
      <c r="E1038" s="19" t="s">
        <v>126</v>
      </c>
      <c r="F1038" s="20" t="n">
        <v>75207</v>
      </c>
      <c r="G1038" s="20" t="n">
        <v>338419</v>
      </c>
    </row>
    <row r="1039" customFormat="false" ht="15" hidden="false" customHeight="false" outlineLevel="0" collapsed="false">
      <c r="A1039" s="22" t="n">
        <v>46145</v>
      </c>
      <c r="B1039" s="19" t="s">
        <v>51</v>
      </c>
      <c r="C1039" s="19" t="s">
        <v>12</v>
      </c>
      <c r="D1039" s="19" t="s">
        <v>37</v>
      </c>
      <c r="E1039" s="19" t="s">
        <v>132</v>
      </c>
      <c r="F1039" s="20" t="n">
        <v>71394</v>
      </c>
      <c r="G1039" s="20" t="n">
        <v>121250</v>
      </c>
    </row>
    <row r="1040" customFormat="false" ht="15" hidden="false" customHeight="false" outlineLevel="0" collapsed="false">
      <c r="A1040" s="22" t="n">
        <v>46145</v>
      </c>
      <c r="B1040" s="19" t="s">
        <v>51</v>
      </c>
      <c r="C1040" s="19" t="s">
        <v>12</v>
      </c>
      <c r="D1040" s="19" t="s">
        <v>31</v>
      </c>
      <c r="E1040" s="19" t="s">
        <v>131</v>
      </c>
      <c r="F1040" s="20" t="n">
        <v>20543</v>
      </c>
      <c r="G1040" s="20" t="n">
        <v>0</v>
      </c>
    </row>
    <row r="1041" customFormat="false" ht="15" hidden="false" customHeight="false" outlineLevel="0" collapsed="false">
      <c r="A1041" s="22" t="n">
        <v>46145</v>
      </c>
      <c r="B1041" s="19" t="s">
        <v>51</v>
      </c>
      <c r="C1041" s="19" t="s">
        <v>13</v>
      </c>
      <c r="D1041" s="19" t="s">
        <v>42</v>
      </c>
      <c r="E1041" s="19" t="s">
        <v>136</v>
      </c>
      <c r="F1041" s="20" t="n">
        <v>364910</v>
      </c>
      <c r="G1041" s="20" t="n">
        <v>1926533</v>
      </c>
    </row>
    <row r="1042" customFormat="false" ht="15" hidden="false" customHeight="false" outlineLevel="0" collapsed="false">
      <c r="A1042" s="22" t="n">
        <v>46146</v>
      </c>
      <c r="B1042" s="19" t="s">
        <v>51</v>
      </c>
      <c r="C1042" s="19" t="s">
        <v>12</v>
      </c>
      <c r="D1042" s="19" t="s">
        <v>35</v>
      </c>
      <c r="E1042" s="19" t="s">
        <v>122</v>
      </c>
      <c r="F1042" s="20" t="n">
        <v>60099</v>
      </c>
      <c r="G1042" s="20" t="n">
        <v>193030</v>
      </c>
    </row>
    <row r="1043" customFormat="false" ht="15" hidden="false" customHeight="false" outlineLevel="0" collapsed="false">
      <c r="A1043" s="22" t="n">
        <v>46146</v>
      </c>
      <c r="B1043" s="19" t="s">
        <v>51</v>
      </c>
      <c r="C1043" s="19" t="s">
        <v>12</v>
      </c>
      <c r="D1043" s="19" t="s">
        <v>37</v>
      </c>
      <c r="E1043" s="19" t="s">
        <v>123</v>
      </c>
      <c r="F1043" s="20" t="n">
        <v>73666</v>
      </c>
      <c r="G1043" s="20" t="n">
        <v>323361</v>
      </c>
    </row>
    <row r="1044" customFormat="false" ht="15" hidden="false" customHeight="false" outlineLevel="0" collapsed="false">
      <c r="A1044" s="22" t="n">
        <v>46146</v>
      </c>
      <c r="B1044" s="19" t="s">
        <v>51</v>
      </c>
      <c r="C1044" s="19" t="s">
        <v>12</v>
      </c>
      <c r="D1044" s="19" t="s">
        <v>32</v>
      </c>
      <c r="E1044" s="19" t="s">
        <v>124</v>
      </c>
      <c r="F1044" s="20" t="n">
        <v>34939</v>
      </c>
      <c r="G1044" s="20" t="n">
        <v>187000</v>
      </c>
    </row>
    <row r="1045" customFormat="false" ht="15" hidden="false" customHeight="false" outlineLevel="0" collapsed="false">
      <c r="A1045" s="22" t="n">
        <v>46146</v>
      </c>
      <c r="B1045" s="19" t="s">
        <v>51</v>
      </c>
      <c r="C1045" s="19" t="s">
        <v>12</v>
      </c>
      <c r="D1045" s="19" t="s">
        <v>30</v>
      </c>
      <c r="E1045" s="19" t="s">
        <v>137</v>
      </c>
      <c r="F1045" s="20" t="n">
        <v>131912</v>
      </c>
      <c r="G1045" s="20" t="n">
        <v>283200</v>
      </c>
    </row>
    <row r="1046" customFormat="false" ht="15" hidden="false" customHeight="false" outlineLevel="0" collapsed="false">
      <c r="A1046" s="22" t="n">
        <v>46146</v>
      </c>
      <c r="B1046" s="19" t="s">
        <v>51</v>
      </c>
      <c r="C1046" s="19" t="s">
        <v>12</v>
      </c>
      <c r="D1046" s="19" t="s">
        <v>34</v>
      </c>
      <c r="E1046" s="19" t="s">
        <v>126</v>
      </c>
      <c r="F1046" s="20" t="n">
        <v>74009</v>
      </c>
      <c r="G1046" s="20" t="n">
        <v>270355</v>
      </c>
    </row>
    <row r="1047" customFormat="false" ht="15" hidden="false" customHeight="false" outlineLevel="0" collapsed="false">
      <c r="A1047" s="22" t="n">
        <v>46146</v>
      </c>
      <c r="B1047" s="19" t="s">
        <v>51</v>
      </c>
      <c r="C1047" s="19" t="s">
        <v>13</v>
      </c>
      <c r="D1047" s="19" t="s">
        <v>41</v>
      </c>
      <c r="E1047" s="19" t="s">
        <v>127</v>
      </c>
      <c r="F1047" s="20" t="n">
        <v>131932</v>
      </c>
      <c r="G1047" s="20" t="n">
        <v>495000</v>
      </c>
    </row>
    <row r="1048" customFormat="false" ht="15" hidden="false" customHeight="false" outlineLevel="0" collapsed="false">
      <c r="A1048" s="22" t="n">
        <v>46146</v>
      </c>
      <c r="B1048" s="19" t="s">
        <v>51</v>
      </c>
      <c r="C1048" s="19" t="s">
        <v>12</v>
      </c>
      <c r="D1048" s="19" t="s">
        <v>31</v>
      </c>
      <c r="E1048" s="19" t="s">
        <v>131</v>
      </c>
      <c r="F1048" s="20" t="n">
        <v>56006</v>
      </c>
      <c r="G1048" s="20" t="n">
        <v>283200</v>
      </c>
    </row>
    <row r="1049" customFormat="false" ht="15" hidden="false" customHeight="false" outlineLevel="0" collapsed="false">
      <c r="A1049" s="22" t="n">
        <v>46146</v>
      </c>
      <c r="B1049" s="19" t="s">
        <v>51</v>
      </c>
      <c r="C1049" s="19" t="s">
        <v>12</v>
      </c>
      <c r="D1049" s="19" t="s">
        <v>37</v>
      </c>
      <c r="E1049" s="19" t="s">
        <v>132</v>
      </c>
      <c r="F1049" s="20" t="n">
        <v>22635</v>
      </c>
      <c r="G1049" s="20" t="n">
        <v>187200</v>
      </c>
    </row>
    <row r="1050" customFormat="false" ht="15" hidden="false" customHeight="false" outlineLevel="0" collapsed="false">
      <c r="A1050" s="22" t="n">
        <v>46146</v>
      </c>
      <c r="B1050" s="19" t="s">
        <v>51</v>
      </c>
      <c r="C1050" s="19" t="s">
        <v>13</v>
      </c>
      <c r="D1050" s="19" t="s">
        <v>42</v>
      </c>
      <c r="E1050" s="19" t="s">
        <v>136</v>
      </c>
      <c r="F1050" s="20" t="n">
        <v>356292</v>
      </c>
      <c r="G1050" s="20" t="n">
        <v>1915820</v>
      </c>
    </row>
    <row r="1051" customFormat="false" ht="15" hidden="false" customHeight="false" outlineLevel="0" collapsed="false">
      <c r="A1051" s="22" t="n">
        <v>46147</v>
      </c>
      <c r="B1051" s="19" t="s">
        <v>51</v>
      </c>
      <c r="C1051" s="19" t="s">
        <v>12</v>
      </c>
      <c r="D1051" s="19" t="s">
        <v>35</v>
      </c>
      <c r="E1051" s="19" t="s">
        <v>122</v>
      </c>
      <c r="F1051" s="20" t="n">
        <v>50537</v>
      </c>
      <c r="G1051" s="20" t="n">
        <v>199000</v>
      </c>
    </row>
    <row r="1052" customFormat="false" ht="15" hidden="false" customHeight="false" outlineLevel="0" collapsed="false">
      <c r="A1052" s="22" t="n">
        <v>46147</v>
      </c>
      <c r="B1052" s="19" t="s">
        <v>51</v>
      </c>
      <c r="C1052" s="19" t="s">
        <v>12</v>
      </c>
      <c r="D1052" s="19" t="s">
        <v>37</v>
      </c>
      <c r="E1052" s="19" t="s">
        <v>123</v>
      </c>
      <c r="F1052" s="20" t="n">
        <v>528271</v>
      </c>
      <c r="G1052" s="20" t="n">
        <v>2555022</v>
      </c>
    </row>
    <row r="1053" customFormat="false" ht="15" hidden="false" customHeight="false" outlineLevel="0" collapsed="false">
      <c r="A1053" s="22" t="n">
        <v>46147</v>
      </c>
      <c r="B1053" s="19" t="s">
        <v>51</v>
      </c>
      <c r="C1053" s="19" t="s">
        <v>12</v>
      </c>
      <c r="D1053" s="19" t="s">
        <v>30</v>
      </c>
      <c r="E1053" s="19" t="s">
        <v>137</v>
      </c>
      <c r="F1053" s="20" t="n">
        <v>700000</v>
      </c>
      <c r="G1053" s="20" t="n">
        <v>5276408</v>
      </c>
    </row>
    <row r="1054" customFormat="false" ht="15" hidden="false" customHeight="false" outlineLevel="0" collapsed="false">
      <c r="A1054" s="22" t="n">
        <v>46147</v>
      </c>
      <c r="B1054" s="19" t="s">
        <v>51</v>
      </c>
      <c r="C1054" s="19" t="s">
        <v>12</v>
      </c>
      <c r="D1054" s="19" t="s">
        <v>34</v>
      </c>
      <c r="E1054" s="19" t="s">
        <v>126</v>
      </c>
      <c r="F1054" s="20" t="n">
        <v>235760</v>
      </c>
      <c r="G1054" s="20" t="n">
        <v>1141630</v>
      </c>
    </row>
    <row r="1055" customFormat="false" ht="15" hidden="false" customHeight="false" outlineLevel="0" collapsed="false">
      <c r="A1055" s="22" t="n">
        <v>46147</v>
      </c>
      <c r="B1055" s="19" t="s">
        <v>51</v>
      </c>
      <c r="C1055" s="19" t="s">
        <v>12</v>
      </c>
      <c r="D1055" s="19" t="s">
        <v>32</v>
      </c>
      <c r="E1055" s="19" t="s">
        <v>124</v>
      </c>
      <c r="F1055" s="20" t="n">
        <v>83209</v>
      </c>
      <c r="G1055" s="20" t="n">
        <v>305370</v>
      </c>
    </row>
    <row r="1056" customFormat="false" ht="15" hidden="false" customHeight="false" outlineLevel="0" collapsed="false">
      <c r="A1056" s="22" t="n">
        <v>46147</v>
      </c>
      <c r="B1056" s="19" t="s">
        <v>51</v>
      </c>
      <c r="C1056" s="19" t="s">
        <v>12</v>
      </c>
      <c r="D1056" s="19" t="s">
        <v>31</v>
      </c>
      <c r="E1056" s="19" t="s">
        <v>131</v>
      </c>
      <c r="F1056" s="20" t="n">
        <v>700000</v>
      </c>
      <c r="G1056" s="20" t="n">
        <v>4088150</v>
      </c>
    </row>
    <row r="1057" customFormat="false" ht="15" hidden="false" customHeight="false" outlineLevel="0" collapsed="false">
      <c r="A1057" s="22" t="n">
        <v>46147</v>
      </c>
      <c r="B1057" s="19" t="s">
        <v>51</v>
      </c>
      <c r="C1057" s="19" t="s">
        <v>13</v>
      </c>
      <c r="D1057" s="19" t="s">
        <v>42</v>
      </c>
      <c r="E1057" s="19" t="s">
        <v>136</v>
      </c>
      <c r="F1057" s="20" t="n">
        <v>1134548</v>
      </c>
      <c r="G1057" s="20" t="n">
        <v>5832524</v>
      </c>
    </row>
    <row r="1058" customFormat="false" ht="15" hidden="false" customHeight="false" outlineLevel="0" collapsed="false">
      <c r="A1058" s="22" t="n">
        <v>46148</v>
      </c>
      <c r="B1058" s="19" t="s">
        <v>51</v>
      </c>
      <c r="C1058" s="19" t="s">
        <v>12</v>
      </c>
      <c r="D1058" s="19" t="s">
        <v>35</v>
      </c>
      <c r="E1058" s="19" t="s">
        <v>122</v>
      </c>
      <c r="F1058" s="20" t="n">
        <v>88060</v>
      </c>
      <c r="G1058" s="20" t="n">
        <v>386060</v>
      </c>
    </row>
    <row r="1059" customFormat="false" ht="15" hidden="false" customHeight="false" outlineLevel="0" collapsed="false">
      <c r="A1059" s="22" t="n">
        <v>46148</v>
      </c>
      <c r="B1059" s="19" t="s">
        <v>51</v>
      </c>
      <c r="C1059" s="19" t="s">
        <v>12</v>
      </c>
      <c r="D1059" s="19" t="s">
        <v>37</v>
      </c>
      <c r="E1059" s="19" t="s">
        <v>123</v>
      </c>
      <c r="F1059" s="20" t="n">
        <v>323312</v>
      </c>
      <c r="G1059" s="20" t="n">
        <v>1645192</v>
      </c>
    </row>
    <row r="1060" customFormat="false" ht="15" hidden="false" customHeight="false" outlineLevel="0" collapsed="false">
      <c r="A1060" s="22" t="n">
        <v>46148</v>
      </c>
      <c r="B1060" s="19" t="s">
        <v>51</v>
      </c>
      <c r="C1060" s="19" t="s">
        <v>12</v>
      </c>
      <c r="D1060" s="19" t="s">
        <v>34</v>
      </c>
      <c r="E1060" s="19" t="s">
        <v>126</v>
      </c>
      <c r="F1060" s="20" t="n">
        <v>300000</v>
      </c>
      <c r="G1060" s="20" t="n">
        <v>1945465</v>
      </c>
    </row>
    <row r="1061" customFormat="false" ht="15" hidden="false" customHeight="false" outlineLevel="0" collapsed="false">
      <c r="A1061" s="22" t="n">
        <v>46148</v>
      </c>
      <c r="B1061" s="19" t="s">
        <v>51</v>
      </c>
      <c r="C1061" s="19" t="s">
        <v>12</v>
      </c>
      <c r="D1061" s="19" t="s">
        <v>30</v>
      </c>
      <c r="E1061" s="19" t="s">
        <v>137</v>
      </c>
      <c r="F1061" s="20" t="n">
        <v>159753</v>
      </c>
      <c r="G1061" s="20" t="n">
        <v>447286</v>
      </c>
    </row>
    <row r="1062" customFormat="false" ht="15" hidden="false" customHeight="false" outlineLevel="0" collapsed="false">
      <c r="A1062" s="22" t="n">
        <v>46148</v>
      </c>
      <c r="B1062" s="19" t="s">
        <v>51</v>
      </c>
      <c r="C1062" s="19" t="s">
        <v>12</v>
      </c>
      <c r="D1062" s="19" t="s">
        <v>32</v>
      </c>
      <c r="E1062" s="19" t="s">
        <v>124</v>
      </c>
      <c r="F1062" s="20" t="n">
        <v>54563</v>
      </c>
      <c r="G1062" s="20" t="n">
        <v>203520</v>
      </c>
    </row>
    <row r="1063" customFormat="false" ht="15" hidden="false" customHeight="false" outlineLevel="0" collapsed="false">
      <c r="A1063" s="22" t="n">
        <v>46148</v>
      </c>
      <c r="B1063" s="19" t="s">
        <v>51</v>
      </c>
      <c r="C1063" s="19" t="s">
        <v>12</v>
      </c>
      <c r="D1063" s="19" t="s">
        <v>31</v>
      </c>
      <c r="E1063" s="19" t="s">
        <v>131</v>
      </c>
      <c r="F1063" s="20" t="n">
        <v>200000</v>
      </c>
      <c r="G1063" s="20" t="n">
        <v>945000</v>
      </c>
    </row>
    <row r="1064" customFormat="false" ht="15" hidden="false" customHeight="false" outlineLevel="0" collapsed="false">
      <c r="A1064" s="22" t="n">
        <v>46148</v>
      </c>
      <c r="B1064" s="19" t="s">
        <v>51</v>
      </c>
      <c r="C1064" s="19" t="s">
        <v>13</v>
      </c>
      <c r="D1064" s="19" t="s">
        <v>42</v>
      </c>
      <c r="E1064" s="19" t="s">
        <v>136</v>
      </c>
      <c r="F1064" s="20" t="n">
        <v>350000</v>
      </c>
      <c r="G1064" s="20" t="n">
        <v>1889581</v>
      </c>
    </row>
    <row r="1065" customFormat="false" ht="15" hidden="false" customHeight="false" outlineLevel="0" collapsed="false">
      <c r="A1065" s="22" t="n">
        <v>46149</v>
      </c>
      <c r="B1065" s="19" t="s">
        <v>51</v>
      </c>
      <c r="C1065" s="19" t="s">
        <v>12</v>
      </c>
      <c r="D1065" s="19" t="s">
        <v>35</v>
      </c>
      <c r="E1065" s="19" t="s">
        <v>122</v>
      </c>
      <c r="F1065" s="20" t="n">
        <v>200000</v>
      </c>
      <c r="G1065" s="20" t="n">
        <v>1161820</v>
      </c>
    </row>
    <row r="1066" customFormat="false" ht="15" hidden="false" customHeight="false" outlineLevel="0" collapsed="false">
      <c r="A1066" s="22" t="n">
        <v>46149</v>
      </c>
      <c r="B1066" s="19" t="s">
        <v>51</v>
      </c>
      <c r="C1066" s="19" t="s">
        <v>12</v>
      </c>
      <c r="D1066" s="19" t="s">
        <v>37</v>
      </c>
      <c r="E1066" s="19" t="s">
        <v>123</v>
      </c>
      <c r="F1066" s="20" t="n">
        <v>304496</v>
      </c>
      <c r="G1066" s="20" t="n">
        <v>1078600</v>
      </c>
    </row>
    <row r="1067" customFormat="false" ht="15" hidden="false" customHeight="false" outlineLevel="0" collapsed="false">
      <c r="A1067" s="22" t="n">
        <v>46149</v>
      </c>
      <c r="B1067" s="19" t="s">
        <v>51</v>
      </c>
      <c r="C1067" s="19" t="s">
        <v>12</v>
      </c>
      <c r="D1067" s="19" t="s">
        <v>30</v>
      </c>
      <c r="E1067" s="19" t="s">
        <v>137</v>
      </c>
      <c r="F1067" s="20" t="n">
        <v>300000</v>
      </c>
      <c r="G1067" s="20" t="n">
        <v>1688850</v>
      </c>
    </row>
    <row r="1068" customFormat="false" ht="15" hidden="false" customHeight="false" outlineLevel="0" collapsed="false">
      <c r="A1068" s="22" t="n">
        <v>46149</v>
      </c>
      <c r="B1068" s="19" t="s">
        <v>51</v>
      </c>
      <c r="C1068" s="19" t="s">
        <v>12</v>
      </c>
      <c r="D1068" s="19" t="s">
        <v>34</v>
      </c>
      <c r="E1068" s="19" t="s">
        <v>126</v>
      </c>
      <c r="F1068" s="20" t="n">
        <v>246430</v>
      </c>
      <c r="G1068" s="20" t="n">
        <v>808405</v>
      </c>
    </row>
    <row r="1069" customFormat="false" ht="15" hidden="false" customHeight="false" outlineLevel="0" collapsed="false">
      <c r="A1069" s="22" t="n">
        <v>46149</v>
      </c>
      <c r="B1069" s="19" t="s">
        <v>51</v>
      </c>
      <c r="C1069" s="19" t="s">
        <v>12</v>
      </c>
      <c r="D1069" s="19" t="s">
        <v>32</v>
      </c>
      <c r="E1069" s="19" t="s">
        <v>124</v>
      </c>
      <c r="F1069" s="20" t="n">
        <v>39571</v>
      </c>
      <c r="G1069" s="20" t="n">
        <v>187000</v>
      </c>
    </row>
    <row r="1070" customFormat="false" ht="15" hidden="false" customHeight="false" outlineLevel="0" collapsed="false">
      <c r="A1070" s="22" t="n">
        <v>46149</v>
      </c>
      <c r="B1070" s="19" t="s">
        <v>51</v>
      </c>
      <c r="C1070" s="19" t="s">
        <v>12</v>
      </c>
      <c r="D1070" s="19" t="s">
        <v>31</v>
      </c>
      <c r="E1070" s="19" t="s">
        <v>131</v>
      </c>
      <c r="F1070" s="20" t="n">
        <v>58850</v>
      </c>
      <c r="G1070" s="20" t="n">
        <v>0</v>
      </c>
    </row>
    <row r="1071" customFormat="false" ht="15" hidden="false" customHeight="false" outlineLevel="0" collapsed="false">
      <c r="A1071" s="22" t="n">
        <v>46149</v>
      </c>
      <c r="B1071" s="19" t="s">
        <v>51</v>
      </c>
      <c r="C1071" s="19" t="s">
        <v>13</v>
      </c>
      <c r="D1071" s="19" t="s">
        <v>42</v>
      </c>
      <c r="E1071" s="19" t="s">
        <v>136</v>
      </c>
      <c r="F1071" s="20" t="n">
        <v>379937</v>
      </c>
      <c r="G1071" s="20" t="n">
        <v>2048214</v>
      </c>
    </row>
    <row r="1072" customFormat="false" ht="15" hidden="false" customHeight="false" outlineLevel="0" collapsed="false">
      <c r="A1072" s="22" t="n">
        <v>46150</v>
      </c>
      <c r="B1072" s="19" t="s">
        <v>51</v>
      </c>
      <c r="C1072" s="19" t="s">
        <v>12</v>
      </c>
      <c r="D1072" s="19" t="s">
        <v>35</v>
      </c>
      <c r="E1072" s="19" t="s">
        <v>122</v>
      </c>
      <c r="F1072" s="20" t="n">
        <v>126369</v>
      </c>
      <c r="G1072" s="20" t="n">
        <v>577100</v>
      </c>
    </row>
    <row r="1073" customFormat="false" ht="15" hidden="false" customHeight="false" outlineLevel="0" collapsed="false">
      <c r="A1073" s="22" t="n">
        <v>46150</v>
      </c>
      <c r="B1073" s="19" t="s">
        <v>51</v>
      </c>
      <c r="C1073" s="19" t="s">
        <v>12</v>
      </c>
      <c r="D1073" s="19" t="s">
        <v>34</v>
      </c>
      <c r="E1073" s="19" t="s">
        <v>126</v>
      </c>
      <c r="F1073" s="20" t="n">
        <v>241845</v>
      </c>
      <c r="G1073" s="20" t="n">
        <v>1148818</v>
      </c>
    </row>
    <row r="1074" customFormat="false" ht="15" hidden="false" customHeight="false" outlineLevel="0" collapsed="false">
      <c r="A1074" s="22" t="n">
        <v>46150</v>
      </c>
      <c r="B1074" s="19" t="s">
        <v>51</v>
      </c>
      <c r="C1074" s="19" t="s">
        <v>12</v>
      </c>
      <c r="D1074" s="19" t="s">
        <v>30</v>
      </c>
      <c r="E1074" s="19" t="s">
        <v>137</v>
      </c>
      <c r="F1074" s="20" t="n">
        <v>439020</v>
      </c>
      <c r="G1074" s="20" t="n">
        <v>2210600</v>
      </c>
    </row>
    <row r="1075" customFormat="false" ht="15" hidden="false" customHeight="false" outlineLevel="0" collapsed="false">
      <c r="A1075" s="22" t="n">
        <v>46150</v>
      </c>
      <c r="B1075" s="19" t="s">
        <v>51</v>
      </c>
      <c r="C1075" s="19" t="s">
        <v>12</v>
      </c>
      <c r="D1075" s="19" t="s">
        <v>37</v>
      </c>
      <c r="E1075" s="19" t="s">
        <v>123</v>
      </c>
      <c r="F1075" s="20" t="n">
        <v>24288</v>
      </c>
      <c r="G1075" s="20" t="n">
        <v>0</v>
      </c>
    </row>
    <row r="1076" customFormat="false" ht="15" hidden="false" customHeight="false" outlineLevel="0" collapsed="false">
      <c r="A1076" s="22" t="n">
        <v>46150</v>
      </c>
      <c r="B1076" s="19" t="s">
        <v>51</v>
      </c>
      <c r="C1076" s="19" t="s">
        <v>12</v>
      </c>
      <c r="D1076" s="19" t="s">
        <v>31</v>
      </c>
      <c r="E1076" s="19" t="s">
        <v>131</v>
      </c>
      <c r="F1076" s="20" t="n">
        <v>88770</v>
      </c>
      <c r="G1076" s="20" t="n">
        <v>295000</v>
      </c>
    </row>
    <row r="1077" customFormat="false" ht="15" hidden="false" customHeight="false" outlineLevel="0" collapsed="false">
      <c r="A1077" s="22" t="n">
        <v>46150</v>
      </c>
      <c r="B1077" s="19" t="s">
        <v>51</v>
      </c>
      <c r="C1077" s="19" t="s">
        <v>12</v>
      </c>
      <c r="D1077" s="19" t="s">
        <v>32</v>
      </c>
      <c r="E1077" s="19" t="s">
        <v>124</v>
      </c>
      <c r="F1077" s="20" t="n">
        <v>4948</v>
      </c>
      <c r="G1077" s="20" t="n">
        <v>0</v>
      </c>
    </row>
    <row r="1078" customFormat="false" ht="15" hidden="false" customHeight="false" outlineLevel="0" collapsed="false">
      <c r="A1078" s="22" t="n">
        <v>46150</v>
      </c>
      <c r="B1078" s="19" t="s">
        <v>51</v>
      </c>
      <c r="C1078" s="19" t="s">
        <v>13</v>
      </c>
      <c r="D1078" s="19" t="s">
        <v>42</v>
      </c>
      <c r="E1078" s="19" t="s">
        <v>136</v>
      </c>
      <c r="F1078" s="20" t="n">
        <v>650000</v>
      </c>
      <c r="G1078" s="20" t="n">
        <v>3856660</v>
      </c>
    </row>
    <row r="1079" customFormat="false" ht="15" hidden="false" customHeight="false" outlineLevel="0" collapsed="false">
      <c r="A1079" s="22" t="n">
        <v>46151</v>
      </c>
      <c r="B1079" s="19" t="s">
        <v>51</v>
      </c>
      <c r="C1079" s="19" t="s">
        <v>12</v>
      </c>
      <c r="D1079" s="19" t="s">
        <v>35</v>
      </c>
      <c r="E1079" s="19" t="s">
        <v>122</v>
      </c>
      <c r="F1079" s="20" t="n">
        <v>12801</v>
      </c>
      <c r="G1079" s="20" t="n">
        <v>0</v>
      </c>
    </row>
    <row r="1080" customFormat="false" ht="15" hidden="false" customHeight="false" outlineLevel="0" collapsed="false">
      <c r="A1080" s="22" t="n">
        <v>46151</v>
      </c>
      <c r="B1080" s="19" t="s">
        <v>51</v>
      </c>
      <c r="C1080" s="19" t="s">
        <v>12</v>
      </c>
      <c r="D1080" s="19" t="s">
        <v>30</v>
      </c>
      <c r="E1080" s="19" t="s">
        <v>137</v>
      </c>
      <c r="F1080" s="20" t="n">
        <v>235742</v>
      </c>
      <c r="G1080" s="20" t="n">
        <v>1206650</v>
      </c>
    </row>
    <row r="1081" customFormat="false" ht="15" hidden="false" customHeight="false" outlineLevel="0" collapsed="false">
      <c r="A1081" s="22" t="n">
        <v>46151</v>
      </c>
      <c r="B1081" s="19" t="s">
        <v>51</v>
      </c>
      <c r="C1081" s="19" t="s">
        <v>12</v>
      </c>
      <c r="D1081" s="19" t="s">
        <v>34</v>
      </c>
      <c r="E1081" s="19" t="s">
        <v>126</v>
      </c>
      <c r="F1081" s="20" t="n">
        <v>74267</v>
      </c>
      <c r="G1081" s="20" t="n">
        <v>130000</v>
      </c>
    </row>
    <row r="1082" customFormat="false" ht="15" hidden="false" customHeight="false" outlineLevel="0" collapsed="false">
      <c r="A1082" s="22" t="n">
        <v>46151</v>
      </c>
      <c r="B1082" s="19" t="s">
        <v>51</v>
      </c>
      <c r="C1082" s="19" t="s">
        <v>12</v>
      </c>
      <c r="D1082" s="19" t="s">
        <v>31</v>
      </c>
      <c r="E1082" s="19" t="s">
        <v>131</v>
      </c>
      <c r="F1082" s="20" t="n">
        <v>133133</v>
      </c>
      <c r="G1082" s="20" t="n">
        <v>648950</v>
      </c>
    </row>
    <row r="1083" customFormat="false" ht="15" hidden="false" customHeight="false" outlineLevel="0" collapsed="false">
      <c r="A1083" s="22" t="n">
        <v>46151</v>
      </c>
      <c r="B1083" s="19" t="s">
        <v>51</v>
      </c>
      <c r="C1083" s="19" t="s">
        <v>13</v>
      </c>
      <c r="D1083" s="19" t="s">
        <v>42</v>
      </c>
      <c r="E1083" s="19" t="s">
        <v>136</v>
      </c>
      <c r="F1083" s="20" t="n">
        <v>649928</v>
      </c>
      <c r="G1083" s="20" t="n">
        <v>3095321</v>
      </c>
    </row>
    <row r="1084" customFormat="false" ht="15" hidden="false" customHeight="false" outlineLevel="0" collapsed="false">
      <c r="A1084" s="22" t="n">
        <v>46152</v>
      </c>
      <c r="B1084" s="19" t="s">
        <v>51</v>
      </c>
      <c r="C1084" s="19" t="s">
        <v>12</v>
      </c>
      <c r="D1084" s="19" t="s">
        <v>35</v>
      </c>
      <c r="E1084" s="19" t="s">
        <v>122</v>
      </c>
      <c r="F1084" s="20" t="n">
        <v>12799</v>
      </c>
      <c r="G1084" s="20" t="n">
        <v>0</v>
      </c>
    </row>
    <row r="1085" customFormat="false" ht="15" hidden="false" customHeight="false" outlineLevel="0" collapsed="false">
      <c r="A1085" s="22" t="n">
        <v>46152</v>
      </c>
      <c r="B1085" s="19" t="s">
        <v>51</v>
      </c>
      <c r="C1085" s="19" t="s">
        <v>12</v>
      </c>
      <c r="D1085" s="19" t="s">
        <v>34</v>
      </c>
      <c r="E1085" s="19" t="s">
        <v>126</v>
      </c>
      <c r="F1085" s="20" t="n">
        <v>386634</v>
      </c>
      <c r="G1085" s="20" t="n">
        <v>1985598</v>
      </c>
    </row>
    <row r="1086" customFormat="false" ht="15" hidden="false" customHeight="false" outlineLevel="0" collapsed="false">
      <c r="A1086" s="22" t="n">
        <v>46152</v>
      </c>
      <c r="B1086" s="19" t="s">
        <v>51</v>
      </c>
      <c r="C1086" s="19" t="s">
        <v>12</v>
      </c>
      <c r="D1086" s="19" t="s">
        <v>30</v>
      </c>
      <c r="E1086" s="19" t="s">
        <v>137</v>
      </c>
      <c r="F1086" s="20" t="n">
        <v>164474</v>
      </c>
      <c r="G1086" s="20" t="n">
        <v>610900</v>
      </c>
    </row>
    <row r="1087" customFormat="false" ht="15" hidden="false" customHeight="false" outlineLevel="0" collapsed="false">
      <c r="A1087" s="22" t="n">
        <v>46152</v>
      </c>
      <c r="B1087" s="19" t="s">
        <v>51</v>
      </c>
      <c r="C1087" s="19" t="s">
        <v>12</v>
      </c>
      <c r="D1087" s="19" t="s">
        <v>31</v>
      </c>
      <c r="E1087" s="19" t="s">
        <v>131</v>
      </c>
      <c r="F1087" s="20" t="n">
        <v>157942</v>
      </c>
      <c r="G1087" s="20" t="n">
        <v>283200</v>
      </c>
    </row>
    <row r="1088" customFormat="false" ht="15" hidden="false" customHeight="false" outlineLevel="0" collapsed="false">
      <c r="A1088" s="22" t="n">
        <v>46153</v>
      </c>
      <c r="B1088" s="19" t="s">
        <v>51</v>
      </c>
      <c r="C1088" s="19" t="s">
        <v>12</v>
      </c>
      <c r="D1088" s="19" t="s">
        <v>35</v>
      </c>
      <c r="E1088" s="19" t="s">
        <v>122</v>
      </c>
      <c r="F1088" s="20" t="n">
        <v>151716</v>
      </c>
      <c r="G1088" s="20" t="n">
        <v>778090</v>
      </c>
    </row>
    <row r="1089" customFormat="false" ht="15" hidden="false" customHeight="false" outlineLevel="0" collapsed="false">
      <c r="A1089" s="22" t="n">
        <v>46154</v>
      </c>
      <c r="B1089" s="19" t="s">
        <v>51</v>
      </c>
      <c r="C1089" s="19" t="s">
        <v>12</v>
      </c>
      <c r="D1089" s="19" t="s">
        <v>35</v>
      </c>
      <c r="E1089" s="19" t="s">
        <v>122</v>
      </c>
      <c r="F1089" s="20" t="n">
        <v>43867</v>
      </c>
      <c r="G1089" s="20" t="n">
        <v>193030</v>
      </c>
    </row>
    <row r="1090" customFormat="false" ht="15" hidden="false" customHeight="false" outlineLevel="0" collapsed="false">
      <c r="A1090" s="22" t="n">
        <v>46154</v>
      </c>
      <c r="B1090" s="19" t="s">
        <v>51</v>
      </c>
      <c r="C1090" s="19" t="s">
        <v>12</v>
      </c>
      <c r="D1090" s="19" t="s">
        <v>34</v>
      </c>
      <c r="E1090" s="19" t="s">
        <v>126</v>
      </c>
      <c r="F1090" s="20" t="n">
        <v>183948</v>
      </c>
      <c r="G1090" s="20" t="n">
        <v>946549</v>
      </c>
    </row>
    <row r="1091" customFormat="false" ht="15" hidden="false" customHeight="false" outlineLevel="0" collapsed="false">
      <c r="A1091" s="22" t="n">
        <v>46155</v>
      </c>
      <c r="B1091" s="19" t="s">
        <v>51</v>
      </c>
      <c r="C1091" s="19" t="s">
        <v>12</v>
      </c>
      <c r="D1091" s="19" t="s">
        <v>35</v>
      </c>
      <c r="E1091" s="19" t="s">
        <v>122</v>
      </c>
      <c r="F1091" s="20" t="n">
        <v>65241</v>
      </c>
      <c r="G1091" s="20" t="n">
        <v>193030</v>
      </c>
    </row>
    <row r="1092" customFormat="false" ht="15" hidden="false" customHeight="false" outlineLevel="0" collapsed="false">
      <c r="A1092" s="22" t="n">
        <v>46155</v>
      </c>
      <c r="B1092" s="19" t="s">
        <v>51</v>
      </c>
      <c r="C1092" s="19" t="s">
        <v>12</v>
      </c>
      <c r="D1092" s="19" t="s">
        <v>34</v>
      </c>
      <c r="E1092" s="19" t="s">
        <v>126</v>
      </c>
      <c r="F1092" s="20" t="n">
        <v>400000</v>
      </c>
      <c r="G1092" s="20" t="n">
        <v>6296069</v>
      </c>
    </row>
    <row r="1093" customFormat="false" ht="15" hidden="false" customHeight="false" outlineLevel="0" collapsed="false">
      <c r="A1093" s="22" t="n">
        <v>46156</v>
      </c>
      <c r="B1093" s="19" t="s">
        <v>51</v>
      </c>
      <c r="C1093" s="19" t="s">
        <v>12</v>
      </c>
      <c r="D1093" s="19" t="s">
        <v>35</v>
      </c>
      <c r="E1093" s="19" t="s">
        <v>122</v>
      </c>
      <c r="F1093" s="20" t="n">
        <v>22377</v>
      </c>
      <c r="G1093" s="20" t="n">
        <v>0</v>
      </c>
    </row>
    <row r="1094" customFormat="false" ht="15" hidden="false" customHeight="false" outlineLevel="0" collapsed="false">
      <c r="A1094" s="22" t="n">
        <v>46156</v>
      </c>
      <c r="B1094" s="19" t="s">
        <v>51</v>
      </c>
      <c r="C1094" s="19" t="s">
        <v>12</v>
      </c>
      <c r="D1094" s="19" t="s">
        <v>34</v>
      </c>
      <c r="E1094" s="19" t="s">
        <v>126</v>
      </c>
      <c r="F1094" s="20" t="n">
        <v>400000</v>
      </c>
      <c r="G1094" s="20" t="n">
        <v>866425</v>
      </c>
    </row>
    <row r="1095" customFormat="false" ht="15" hidden="false" customHeight="false" outlineLevel="0" collapsed="false">
      <c r="A1095" s="22" t="n">
        <v>46157</v>
      </c>
      <c r="B1095" s="19" t="s">
        <v>51</v>
      </c>
      <c r="C1095" s="19" t="s">
        <v>12</v>
      </c>
      <c r="D1095" s="19" t="s">
        <v>35</v>
      </c>
      <c r="E1095" s="19" t="s">
        <v>122</v>
      </c>
      <c r="F1095" s="20" t="n">
        <v>38929</v>
      </c>
      <c r="G1095" s="20" t="n">
        <v>193030</v>
      </c>
    </row>
    <row r="1096" customFormat="false" ht="15" hidden="false" customHeight="false" outlineLevel="0" collapsed="false">
      <c r="A1096" s="22" t="n">
        <v>46157</v>
      </c>
      <c r="B1096" s="19" t="s">
        <v>51</v>
      </c>
      <c r="C1096" s="19" t="s">
        <v>12</v>
      </c>
      <c r="D1096" s="19" t="s">
        <v>34</v>
      </c>
      <c r="E1096" s="19" t="s">
        <v>126</v>
      </c>
      <c r="F1096" s="20" t="n">
        <v>400000</v>
      </c>
      <c r="G1096" s="20" t="n">
        <v>2369655</v>
      </c>
    </row>
    <row r="1097" customFormat="false" ht="15" hidden="false" customHeight="false" outlineLevel="0" collapsed="false">
      <c r="A1097" s="22" t="n">
        <v>46157</v>
      </c>
      <c r="B1097" s="19" t="s">
        <v>51</v>
      </c>
      <c r="C1097" s="19" t="s">
        <v>13</v>
      </c>
      <c r="D1097" s="19" t="s">
        <v>41</v>
      </c>
      <c r="E1097" s="19" t="s">
        <v>127</v>
      </c>
      <c r="F1097" s="20" t="n">
        <v>165940</v>
      </c>
      <c r="G1097" s="20" t="n">
        <v>530460</v>
      </c>
    </row>
    <row r="1098" customFormat="false" ht="15" hidden="false" customHeight="false" outlineLevel="0" collapsed="false">
      <c r="A1098" s="22" t="n">
        <v>46157</v>
      </c>
      <c r="B1098" s="19" t="s">
        <v>51</v>
      </c>
      <c r="C1098" s="19" t="s">
        <v>13</v>
      </c>
      <c r="D1098" s="19" t="s">
        <v>42</v>
      </c>
      <c r="E1098" s="19" t="s">
        <v>136</v>
      </c>
      <c r="F1098" s="20" t="n">
        <v>149104</v>
      </c>
      <c r="G1098" s="20" t="n">
        <v>773750</v>
      </c>
    </row>
    <row r="1099" customFormat="false" ht="15" hidden="false" customHeight="false" outlineLevel="0" collapsed="false">
      <c r="A1099" s="22" t="n">
        <v>46158</v>
      </c>
      <c r="B1099" s="19" t="s">
        <v>51</v>
      </c>
      <c r="C1099" s="19" t="s">
        <v>12</v>
      </c>
      <c r="D1099" s="19" t="s">
        <v>35</v>
      </c>
      <c r="E1099" s="19" t="s">
        <v>122</v>
      </c>
      <c r="F1099" s="20" t="n">
        <v>31388</v>
      </c>
      <c r="G1099" s="20" t="n">
        <v>0</v>
      </c>
    </row>
    <row r="1100" customFormat="false" ht="15" hidden="false" customHeight="false" outlineLevel="0" collapsed="false">
      <c r="A1100" s="22" t="n">
        <v>46158</v>
      </c>
      <c r="B1100" s="19" t="s">
        <v>51</v>
      </c>
      <c r="C1100" s="19" t="s">
        <v>12</v>
      </c>
      <c r="D1100" s="19" t="s">
        <v>34</v>
      </c>
      <c r="E1100" s="19" t="s">
        <v>126</v>
      </c>
      <c r="F1100" s="20" t="n">
        <v>155365</v>
      </c>
      <c r="G1100" s="20" t="n">
        <v>405238</v>
      </c>
    </row>
    <row r="1101" customFormat="false" ht="15" hidden="false" customHeight="false" outlineLevel="0" collapsed="false">
      <c r="A1101" s="22" t="n">
        <v>46158</v>
      </c>
      <c r="B1101" s="19" t="s">
        <v>51</v>
      </c>
      <c r="C1101" s="19" t="s">
        <v>13</v>
      </c>
      <c r="D1101" s="19" t="s">
        <v>41</v>
      </c>
      <c r="E1101" s="19" t="s">
        <v>127</v>
      </c>
      <c r="F1101" s="20" t="n">
        <v>392218</v>
      </c>
      <c r="G1101" s="20" t="n">
        <v>2037550</v>
      </c>
    </row>
    <row r="1102" customFormat="false" ht="15" hidden="false" customHeight="false" outlineLevel="0" collapsed="false">
      <c r="A1102" s="22" t="n">
        <v>46158</v>
      </c>
      <c r="B1102" s="19" t="s">
        <v>51</v>
      </c>
      <c r="C1102" s="19" t="s">
        <v>13</v>
      </c>
      <c r="D1102" s="19" t="s">
        <v>42</v>
      </c>
      <c r="E1102" s="19" t="s">
        <v>136</v>
      </c>
      <c r="F1102" s="20" t="n">
        <v>800000</v>
      </c>
      <c r="G1102" s="20" t="n">
        <v>4610054</v>
      </c>
    </row>
    <row r="1103" customFormat="false" ht="15" hidden="false" customHeight="false" outlineLevel="0" collapsed="false">
      <c r="A1103" s="22" t="n">
        <v>46159</v>
      </c>
      <c r="B1103" s="19" t="s">
        <v>51</v>
      </c>
      <c r="C1103" s="19" t="s">
        <v>12</v>
      </c>
      <c r="D1103" s="19" t="s">
        <v>35</v>
      </c>
      <c r="E1103" s="19" t="s">
        <v>122</v>
      </c>
      <c r="F1103" s="20" t="n">
        <v>40692</v>
      </c>
      <c r="G1103" s="20" t="n">
        <v>199000</v>
      </c>
    </row>
    <row r="1104" customFormat="false" ht="15" hidden="false" customHeight="false" outlineLevel="0" collapsed="false">
      <c r="A1104" s="22" t="n">
        <v>46159</v>
      </c>
      <c r="B1104" s="19" t="s">
        <v>51</v>
      </c>
      <c r="C1104" s="19" t="s">
        <v>12</v>
      </c>
      <c r="D1104" s="19" t="s">
        <v>34</v>
      </c>
      <c r="E1104" s="19" t="s">
        <v>126</v>
      </c>
      <c r="F1104" s="20" t="n">
        <v>81678</v>
      </c>
      <c r="G1104" s="20" t="n">
        <v>391435</v>
      </c>
    </row>
    <row r="1105" customFormat="false" ht="15" hidden="false" customHeight="false" outlineLevel="0" collapsed="false">
      <c r="A1105" s="22" t="n">
        <v>46159</v>
      </c>
      <c r="B1105" s="19" t="s">
        <v>51</v>
      </c>
      <c r="C1105" s="19" t="s">
        <v>13</v>
      </c>
      <c r="D1105" s="19" t="s">
        <v>41</v>
      </c>
      <c r="E1105" s="19" t="s">
        <v>127</v>
      </c>
      <c r="F1105" s="20" t="n">
        <v>81765</v>
      </c>
      <c r="G1105" s="20" t="n">
        <v>337250</v>
      </c>
    </row>
    <row r="1106" customFormat="false" ht="15" hidden="false" customHeight="false" outlineLevel="0" collapsed="false">
      <c r="A1106" s="22" t="n">
        <v>46160</v>
      </c>
      <c r="B1106" s="19" t="s">
        <v>51</v>
      </c>
      <c r="C1106" s="19" t="s">
        <v>12</v>
      </c>
      <c r="D1106" s="19" t="s">
        <v>35</v>
      </c>
      <c r="E1106" s="19" t="s">
        <v>122</v>
      </c>
      <c r="F1106" s="20" t="n">
        <v>20121</v>
      </c>
      <c r="G1106" s="20" t="n">
        <v>0</v>
      </c>
    </row>
    <row r="1107" customFormat="false" ht="15" hidden="false" customHeight="false" outlineLevel="0" collapsed="false">
      <c r="A1107" s="22" t="n">
        <v>46161</v>
      </c>
      <c r="B1107" s="19" t="s">
        <v>51</v>
      </c>
      <c r="C1107" s="19" t="s">
        <v>12</v>
      </c>
      <c r="D1107" s="19" t="s">
        <v>35</v>
      </c>
      <c r="E1107" s="19" t="s">
        <v>122</v>
      </c>
      <c r="F1107" s="20" t="n">
        <v>180384</v>
      </c>
      <c r="G1107" s="20" t="n">
        <v>778090</v>
      </c>
    </row>
    <row r="1108" customFormat="false" ht="15" hidden="false" customHeight="false" outlineLevel="0" collapsed="false">
      <c r="A1108" s="22" t="n">
        <v>46161</v>
      </c>
      <c r="B1108" s="19" t="s">
        <v>51</v>
      </c>
      <c r="C1108" s="19" t="s">
        <v>12</v>
      </c>
      <c r="D1108" s="19" t="s">
        <v>34</v>
      </c>
      <c r="E1108" s="19" t="s">
        <v>126</v>
      </c>
      <c r="F1108" s="20" t="n">
        <v>305661</v>
      </c>
      <c r="G1108" s="20" t="n">
        <v>1400860</v>
      </c>
    </row>
    <row r="1109" customFormat="false" ht="15" hidden="false" customHeight="false" outlineLevel="0" collapsed="false">
      <c r="A1109" s="22" t="n">
        <v>46161</v>
      </c>
      <c r="B1109" s="19" t="s">
        <v>51</v>
      </c>
      <c r="C1109" s="19" t="s">
        <v>13</v>
      </c>
      <c r="D1109" s="19" t="s">
        <v>41</v>
      </c>
      <c r="E1109" s="19" t="s">
        <v>127</v>
      </c>
      <c r="F1109" s="20" t="n">
        <v>98933</v>
      </c>
      <c r="G1109" s="20" t="n">
        <v>488200</v>
      </c>
    </row>
    <row r="1110" customFormat="false" ht="15" hidden="false" customHeight="false" outlineLevel="0" collapsed="false">
      <c r="A1110" s="22" t="n">
        <v>46162</v>
      </c>
      <c r="B1110" s="19" t="s">
        <v>51</v>
      </c>
      <c r="C1110" s="19" t="s">
        <v>12</v>
      </c>
      <c r="D1110" s="19" t="s">
        <v>35</v>
      </c>
      <c r="E1110" s="19" t="s">
        <v>122</v>
      </c>
      <c r="F1110" s="20" t="n">
        <v>250000</v>
      </c>
      <c r="G1110" s="20" t="n">
        <v>1331910</v>
      </c>
    </row>
    <row r="1111" customFormat="false" ht="15" hidden="false" customHeight="false" outlineLevel="0" collapsed="false">
      <c r="A1111" s="22" t="n">
        <v>46162</v>
      </c>
      <c r="B1111" s="19" t="s">
        <v>51</v>
      </c>
      <c r="C1111" s="19" t="s">
        <v>12</v>
      </c>
      <c r="D1111" s="19" t="s">
        <v>34</v>
      </c>
      <c r="E1111" s="19" t="s">
        <v>126</v>
      </c>
      <c r="F1111" s="20" t="n">
        <v>240406</v>
      </c>
      <c r="G1111" s="20" t="n">
        <v>1028460</v>
      </c>
    </row>
    <row r="1112" customFormat="false" ht="15" hidden="false" customHeight="false" outlineLevel="0" collapsed="false">
      <c r="A1112" s="22" t="n">
        <v>46162</v>
      </c>
      <c r="B1112" s="19" t="s">
        <v>51</v>
      </c>
      <c r="C1112" s="19" t="s">
        <v>13</v>
      </c>
      <c r="D1112" s="19" t="s">
        <v>41</v>
      </c>
      <c r="E1112" s="19" t="s">
        <v>127</v>
      </c>
      <c r="F1112" s="20" t="n">
        <v>155281</v>
      </c>
      <c r="G1112" s="20" t="n">
        <v>743330</v>
      </c>
    </row>
    <row r="1113" customFormat="false" ht="15" hidden="false" customHeight="false" outlineLevel="0" collapsed="false">
      <c r="A1113" s="22" t="n">
        <v>46162</v>
      </c>
      <c r="B1113" s="19" t="s">
        <v>51</v>
      </c>
      <c r="C1113" s="19" t="s">
        <v>13</v>
      </c>
      <c r="D1113" s="19" t="s">
        <v>42</v>
      </c>
      <c r="E1113" s="19" t="s">
        <v>136</v>
      </c>
      <c r="F1113" s="20" t="n">
        <v>523705</v>
      </c>
      <c r="G1113" s="20" t="n">
        <v>2543400</v>
      </c>
    </row>
    <row r="1114" customFormat="false" ht="15" hidden="false" customHeight="false" outlineLevel="0" collapsed="false">
      <c r="A1114" s="22" t="n">
        <v>46163</v>
      </c>
      <c r="B1114" s="19" t="s">
        <v>51</v>
      </c>
      <c r="C1114" s="19" t="s">
        <v>12</v>
      </c>
      <c r="D1114" s="19" t="s">
        <v>35</v>
      </c>
      <c r="E1114" s="19" t="s">
        <v>122</v>
      </c>
      <c r="F1114" s="20" t="n">
        <v>97736</v>
      </c>
      <c r="G1114" s="20" t="n">
        <v>216000</v>
      </c>
    </row>
    <row r="1115" customFormat="false" ht="15" hidden="false" customHeight="false" outlineLevel="0" collapsed="false">
      <c r="A1115" s="22" t="n">
        <v>46163</v>
      </c>
      <c r="B1115" s="19" t="s">
        <v>51</v>
      </c>
      <c r="C1115" s="19" t="s">
        <v>12</v>
      </c>
      <c r="D1115" s="19" t="s">
        <v>34</v>
      </c>
      <c r="E1115" s="19" t="s">
        <v>126</v>
      </c>
      <c r="F1115" s="20" t="n">
        <v>310993</v>
      </c>
      <c r="G1115" s="20" t="n">
        <v>1488200</v>
      </c>
    </row>
    <row r="1116" customFormat="false" ht="15" hidden="false" customHeight="false" outlineLevel="0" collapsed="false">
      <c r="A1116" s="22" t="n">
        <v>46163</v>
      </c>
      <c r="B1116" s="19" t="s">
        <v>51</v>
      </c>
      <c r="C1116" s="19" t="s">
        <v>13</v>
      </c>
      <c r="D1116" s="19" t="s">
        <v>41</v>
      </c>
      <c r="E1116" s="19" t="s">
        <v>127</v>
      </c>
      <c r="F1116" s="20" t="n">
        <v>100695</v>
      </c>
      <c r="G1116" s="20" t="n">
        <v>410220</v>
      </c>
    </row>
    <row r="1117" customFormat="false" ht="15" hidden="false" customHeight="false" outlineLevel="0" collapsed="false">
      <c r="A1117" s="22" t="n">
        <v>46163</v>
      </c>
      <c r="B1117" s="19" t="s">
        <v>51</v>
      </c>
      <c r="C1117" s="19" t="s">
        <v>13</v>
      </c>
      <c r="D1117" s="19" t="s">
        <v>42</v>
      </c>
      <c r="E1117" s="19" t="s">
        <v>136</v>
      </c>
      <c r="F1117" s="20" t="n">
        <v>449547</v>
      </c>
      <c r="G1117" s="20" t="n">
        <v>2825870</v>
      </c>
    </row>
    <row r="1118" customFormat="false" ht="15" hidden="false" customHeight="false" outlineLevel="0" collapsed="false">
      <c r="A1118" s="22" t="n">
        <v>46164</v>
      </c>
      <c r="B1118" s="19" t="s">
        <v>51</v>
      </c>
      <c r="C1118" s="19" t="s">
        <v>12</v>
      </c>
      <c r="D1118" s="19" t="s">
        <v>35</v>
      </c>
      <c r="E1118" s="19" t="s">
        <v>122</v>
      </c>
      <c r="F1118" s="20" t="n">
        <v>14946</v>
      </c>
      <c r="G1118" s="20" t="n">
        <v>0</v>
      </c>
    </row>
    <row r="1119" customFormat="false" ht="15" hidden="false" customHeight="false" outlineLevel="0" collapsed="false">
      <c r="A1119" s="22" t="n">
        <v>46164</v>
      </c>
      <c r="B1119" s="19" t="s">
        <v>51</v>
      </c>
      <c r="C1119" s="19" t="s">
        <v>12</v>
      </c>
      <c r="D1119" s="19" t="s">
        <v>34</v>
      </c>
      <c r="E1119" s="19" t="s">
        <v>126</v>
      </c>
      <c r="F1119" s="20" t="n">
        <v>400000</v>
      </c>
      <c r="G1119" s="20" t="n">
        <v>1808000</v>
      </c>
    </row>
    <row r="1120" customFormat="false" ht="15" hidden="false" customHeight="false" outlineLevel="0" collapsed="false">
      <c r="A1120" s="22" t="n">
        <v>46164</v>
      </c>
      <c r="B1120" s="19" t="s">
        <v>51</v>
      </c>
      <c r="C1120" s="19" t="s">
        <v>13</v>
      </c>
      <c r="D1120" s="19" t="s">
        <v>41</v>
      </c>
      <c r="E1120" s="19" t="s">
        <v>127</v>
      </c>
      <c r="F1120" s="20" t="n">
        <v>5809</v>
      </c>
      <c r="G1120" s="20" t="n">
        <v>0</v>
      </c>
    </row>
    <row r="1121" customFormat="false" ht="15" hidden="false" customHeight="false" outlineLevel="0" collapsed="false">
      <c r="A1121" s="22" t="n">
        <v>46164</v>
      </c>
      <c r="B1121" s="19" t="s">
        <v>51</v>
      </c>
      <c r="C1121" s="19" t="s">
        <v>13</v>
      </c>
      <c r="D1121" s="19" t="s">
        <v>42</v>
      </c>
      <c r="E1121" s="19" t="s">
        <v>136</v>
      </c>
      <c r="F1121" s="20" t="n">
        <v>547856</v>
      </c>
      <c r="G1121" s="20" t="n">
        <v>3221740</v>
      </c>
    </row>
    <row r="1122" customFormat="false" ht="15" hidden="false" customHeight="false" outlineLevel="0" collapsed="false">
      <c r="A1122" s="22" t="n">
        <v>46165</v>
      </c>
      <c r="B1122" s="19" t="s">
        <v>51</v>
      </c>
      <c r="C1122" s="19" t="s">
        <v>12</v>
      </c>
      <c r="D1122" s="19" t="s">
        <v>35</v>
      </c>
      <c r="E1122" s="19" t="s">
        <v>122</v>
      </c>
      <c r="F1122" s="20" t="n">
        <v>73177</v>
      </c>
      <c r="G1122" s="20" t="n">
        <v>390040</v>
      </c>
    </row>
    <row r="1123" customFormat="false" ht="15" hidden="false" customHeight="false" outlineLevel="0" collapsed="false">
      <c r="A1123" s="22" t="n">
        <v>46165</v>
      </c>
      <c r="B1123" s="19" t="s">
        <v>51</v>
      </c>
      <c r="C1123" s="19" t="s">
        <v>12</v>
      </c>
      <c r="D1123" s="19" t="s">
        <v>34</v>
      </c>
      <c r="E1123" s="19" t="s">
        <v>126</v>
      </c>
      <c r="F1123" s="20" t="n">
        <v>168751</v>
      </c>
      <c r="G1123" s="20" t="n">
        <v>367640</v>
      </c>
    </row>
    <row r="1124" customFormat="false" ht="15" hidden="false" customHeight="false" outlineLevel="0" collapsed="false">
      <c r="A1124" s="22" t="n">
        <v>46166</v>
      </c>
      <c r="B1124" s="19" t="s">
        <v>51</v>
      </c>
      <c r="C1124" s="19" t="s">
        <v>12</v>
      </c>
      <c r="D1124" s="19" t="s">
        <v>35</v>
      </c>
      <c r="E1124" s="19" t="s">
        <v>122</v>
      </c>
      <c r="F1124" s="20" t="n">
        <v>57814</v>
      </c>
      <c r="G1124" s="20" t="n">
        <v>199000</v>
      </c>
    </row>
    <row r="1125" customFormat="false" ht="15" hidden="false" customHeight="false" outlineLevel="0" collapsed="false">
      <c r="A1125" s="22" t="n">
        <v>46166</v>
      </c>
      <c r="B1125" s="19" t="s">
        <v>51</v>
      </c>
      <c r="C1125" s="19" t="s">
        <v>12</v>
      </c>
      <c r="D1125" s="19" t="s">
        <v>34</v>
      </c>
      <c r="E1125" s="19" t="s">
        <v>126</v>
      </c>
      <c r="F1125" s="20" t="n">
        <v>64236</v>
      </c>
      <c r="G1125" s="20" t="n">
        <v>228804</v>
      </c>
    </row>
    <row r="1126" customFormat="false" ht="15" hidden="false" customHeight="false" outlineLevel="0" collapsed="false">
      <c r="A1126" s="22" t="n">
        <v>46167</v>
      </c>
      <c r="B1126" s="19" t="s">
        <v>51</v>
      </c>
      <c r="C1126" s="19" t="s">
        <v>12</v>
      </c>
      <c r="D1126" s="19" t="s">
        <v>35</v>
      </c>
      <c r="E1126" s="19" t="s">
        <v>122</v>
      </c>
      <c r="F1126" s="20" t="n">
        <v>250000</v>
      </c>
      <c r="G1126" s="20" t="n">
        <v>1345280</v>
      </c>
    </row>
    <row r="1127" customFormat="false" ht="15" hidden="false" customHeight="false" outlineLevel="0" collapsed="false">
      <c r="A1127" s="22" t="n">
        <v>46167</v>
      </c>
      <c r="B1127" s="19" t="s">
        <v>51</v>
      </c>
      <c r="C1127" s="19" t="s">
        <v>12</v>
      </c>
      <c r="D1127" s="19" t="s">
        <v>34</v>
      </c>
      <c r="E1127" s="19" t="s">
        <v>126</v>
      </c>
      <c r="F1127" s="20" t="n">
        <v>218593</v>
      </c>
      <c r="G1127" s="20" t="n">
        <v>870560</v>
      </c>
    </row>
    <row r="1128" customFormat="false" ht="15" hidden="false" customHeight="false" outlineLevel="0" collapsed="false">
      <c r="A1128" s="22" t="n">
        <v>46168</v>
      </c>
      <c r="B1128" s="19" t="s">
        <v>51</v>
      </c>
      <c r="C1128" s="19" t="s">
        <v>12</v>
      </c>
      <c r="D1128" s="19" t="s">
        <v>35</v>
      </c>
      <c r="E1128" s="19" t="s">
        <v>122</v>
      </c>
      <c r="F1128" s="20" t="n">
        <v>56451</v>
      </c>
      <c r="G1128" s="20" t="n">
        <v>199000</v>
      </c>
    </row>
    <row r="1129" customFormat="false" ht="15" hidden="false" customHeight="false" outlineLevel="0" collapsed="false">
      <c r="A1129" s="22" t="n">
        <v>46168</v>
      </c>
      <c r="B1129" s="19" t="s">
        <v>51</v>
      </c>
      <c r="C1129" s="19" t="s">
        <v>12</v>
      </c>
      <c r="D1129" s="19" t="s">
        <v>34</v>
      </c>
      <c r="E1129" s="19" t="s">
        <v>126</v>
      </c>
      <c r="F1129" s="20" t="n">
        <v>400000</v>
      </c>
      <c r="G1129" s="20" t="n">
        <v>1940150</v>
      </c>
    </row>
    <row r="1130" customFormat="false" ht="15" hidden="false" customHeight="false" outlineLevel="0" collapsed="false">
      <c r="A1130" s="22" t="n">
        <v>46169</v>
      </c>
      <c r="B1130" s="19" t="s">
        <v>51</v>
      </c>
      <c r="C1130" s="19" t="s">
        <v>12</v>
      </c>
      <c r="D1130" s="19" t="s">
        <v>35</v>
      </c>
      <c r="E1130" s="19" t="s">
        <v>122</v>
      </c>
      <c r="F1130" s="20" t="n">
        <v>33032</v>
      </c>
      <c r="G1130" s="20" t="n">
        <v>0</v>
      </c>
    </row>
    <row r="1131" customFormat="false" ht="15" hidden="false" customHeight="false" outlineLevel="0" collapsed="false">
      <c r="A1131" s="22" t="n">
        <v>46169</v>
      </c>
      <c r="B1131" s="19" t="s">
        <v>51</v>
      </c>
      <c r="C1131" s="19" t="s">
        <v>13</v>
      </c>
      <c r="D1131" s="19" t="s">
        <v>41</v>
      </c>
      <c r="E1131" s="19" t="s">
        <v>127</v>
      </c>
      <c r="F1131" s="20" t="n">
        <v>534551</v>
      </c>
      <c r="G1131" s="20" t="n">
        <v>2589100</v>
      </c>
    </row>
    <row r="1132" customFormat="false" ht="15" hidden="false" customHeight="false" outlineLevel="0" collapsed="false">
      <c r="A1132" s="22" t="n">
        <v>46170</v>
      </c>
      <c r="B1132" s="19" t="s">
        <v>51</v>
      </c>
      <c r="C1132" s="19" t="s">
        <v>12</v>
      </c>
      <c r="D1132" s="19" t="s">
        <v>35</v>
      </c>
      <c r="E1132" s="19" t="s">
        <v>122</v>
      </c>
      <c r="F1132" s="20" t="n">
        <v>162896</v>
      </c>
      <c r="G1132" s="20" t="n">
        <v>792020</v>
      </c>
    </row>
    <row r="1133" customFormat="false" ht="15" hidden="false" customHeight="false" outlineLevel="0" collapsed="false">
      <c r="A1133" s="22" t="n">
        <v>46170</v>
      </c>
      <c r="B1133" s="19" t="s">
        <v>51</v>
      </c>
      <c r="C1133" s="19" t="s">
        <v>12</v>
      </c>
      <c r="D1133" s="19" t="s">
        <v>34</v>
      </c>
      <c r="E1133" s="19" t="s">
        <v>126</v>
      </c>
      <c r="F1133" s="20" t="n">
        <v>166535</v>
      </c>
      <c r="G1133" s="20" t="n">
        <v>752596</v>
      </c>
    </row>
    <row r="1134" customFormat="false" ht="15" hidden="false" customHeight="false" outlineLevel="0" collapsed="false">
      <c r="A1134" s="22" t="n">
        <v>46171</v>
      </c>
      <c r="B1134" s="19" t="s">
        <v>51</v>
      </c>
      <c r="C1134" s="19" t="s">
        <v>12</v>
      </c>
      <c r="D1134" s="19" t="s">
        <v>35</v>
      </c>
      <c r="E1134" s="19" t="s">
        <v>122</v>
      </c>
      <c r="F1134" s="20" t="n">
        <v>243243</v>
      </c>
      <c r="G1134" s="20" t="n">
        <v>1186040</v>
      </c>
    </row>
    <row r="1135" customFormat="false" ht="15" hidden="false" customHeight="false" outlineLevel="0" collapsed="false">
      <c r="A1135" s="22" t="n">
        <v>46171</v>
      </c>
      <c r="B1135" s="19" t="s">
        <v>51</v>
      </c>
      <c r="C1135" s="19" t="s">
        <v>12</v>
      </c>
      <c r="D1135" s="19" t="s">
        <v>34</v>
      </c>
      <c r="E1135" s="19" t="s">
        <v>126</v>
      </c>
      <c r="F1135" s="20" t="n">
        <v>63370</v>
      </c>
      <c r="G1135" s="20" t="n">
        <v>172796</v>
      </c>
    </row>
    <row r="1136" customFormat="false" ht="15" hidden="false" customHeight="false" outlineLevel="0" collapsed="false">
      <c r="A1136" s="22" t="n">
        <v>46171</v>
      </c>
      <c r="B1136" s="19" t="s">
        <v>51</v>
      </c>
      <c r="C1136" s="19" t="s">
        <v>13</v>
      </c>
      <c r="D1136" s="19" t="s">
        <v>41</v>
      </c>
      <c r="E1136" s="19" t="s">
        <v>127</v>
      </c>
      <c r="F1136" s="20" t="n">
        <v>64488</v>
      </c>
      <c r="G1136" s="20" t="n">
        <v>296940</v>
      </c>
    </row>
    <row r="1137" customFormat="false" ht="15" hidden="false" customHeight="false" outlineLevel="0" collapsed="false">
      <c r="A1137" s="22" t="n">
        <v>46171</v>
      </c>
      <c r="B1137" s="19" t="s">
        <v>51</v>
      </c>
      <c r="C1137" s="19" t="s">
        <v>13</v>
      </c>
      <c r="D1137" s="19" t="s">
        <v>42</v>
      </c>
      <c r="E1137" s="19" t="s">
        <v>136</v>
      </c>
      <c r="F1137" s="20" t="n">
        <v>1000000</v>
      </c>
      <c r="G1137" s="20" t="n">
        <v>7008620</v>
      </c>
    </row>
    <row r="1138" customFormat="false" ht="15" hidden="false" customHeight="false" outlineLevel="0" collapsed="false">
      <c r="A1138" s="22" t="n">
        <v>46172</v>
      </c>
      <c r="B1138" s="19" t="s">
        <v>51</v>
      </c>
      <c r="C1138" s="19" t="s">
        <v>12</v>
      </c>
      <c r="D1138" s="19" t="s">
        <v>35</v>
      </c>
      <c r="E1138" s="19" t="s">
        <v>122</v>
      </c>
      <c r="F1138" s="20" t="n">
        <v>188192</v>
      </c>
      <c r="G1138" s="20" t="n">
        <v>981265</v>
      </c>
    </row>
    <row r="1139" customFormat="false" ht="15" hidden="false" customHeight="false" outlineLevel="0" collapsed="false">
      <c r="A1139" s="22" t="n">
        <v>46173</v>
      </c>
      <c r="B1139" s="19" t="s">
        <v>51</v>
      </c>
      <c r="C1139" s="19" t="s">
        <v>12</v>
      </c>
      <c r="D1139" s="19" t="s">
        <v>35</v>
      </c>
      <c r="E1139" s="19" t="s">
        <v>122</v>
      </c>
      <c r="F1139" s="20" t="n">
        <v>29961</v>
      </c>
      <c r="G1139" s="20" t="n">
        <v>0</v>
      </c>
    </row>
    <row r="1140" customFormat="false" ht="15" hidden="false" customHeight="false" outlineLevel="0" collapsed="false">
      <c r="A1140" s="22" t="n">
        <v>46174</v>
      </c>
      <c r="B1140" s="19" t="s">
        <v>51</v>
      </c>
      <c r="C1140" s="19" t="s">
        <v>12</v>
      </c>
      <c r="D1140" s="19" t="s">
        <v>35</v>
      </c>
      <c r="E1140" s="19" t="s">
        <v>122</v>
      </c>
      <c r="F1140" s="20" t="n">
        <v>36944</v>
      </c>
      <c r="G1140" s="20" t="n">
        <v>0</v>
      </c>
    </row>
    <row r="1141" customFormat="false" ht="15" hidden="false" customHeight="false" outlineLevel="0" collapsed="false">
      <c r="A1141" s="22" t="n">
        <v>46175</v>
      </c>
      <c r="B1141" s="19" t="s">
        <v>51</v>
      </c>
      <c r="C1141" s="19" t="s">
        <v>12</v>
      </c>
      <c r="D1141" s="19" t="s">
        <v>35</v>
      </c>
      <c r="E1141" s="19" t="s">
        <v>122</v>
      </c>
      <c r="F1141" s="20" t="n">
        <v>130308</v>
      </c>
      <c r="G1141" s="20" t="n">
        <v>987040</v>
      </c>
    </row>
    <row r="1142" customFormat="false" ht="15" hidden="false" customHeight="false" outlineLevel="0" collapsed="false">
      <c r="A1142" s="22" t="n">
        <v>46177</v>
      </c>
      <c r="B1142" s="19" t="s">
        <v>51</v>
      </c>
      <c r="C1142" s="19" t="s">
        <v>12</v>
      </c>
      <c r="D1142" s="19" t="s">
        <v>35</v>
      </c>
      <c r="E1142" s="19" t="s">
        <v>122</v>
      </c>
      <c r="F1142" s="20" t="n">
        <v>85604</v>
      </c>
      <c r="G1142" s="20" t="n">
        <v>392030</v>
      </c>
    </row>
    <row r="1143" customFormat="false" ht="15" hidden="false" customHeight="false" outlineLevel="0" collapsed="false">
      <c r="A1143" s="22" t="n">
        <v>46177</v>
      </c>
      <c r="B1143" s="19" t="s">
        <v>51</v>
      </c>
      <c r="C1143" s="19" t="s">
        <v>13</v>
      </c>
      <c r="D1143" s="19" t="s">
        <v>42</v>
      </c>
      <c r="E1143" s="19" t="s">
        <v>146</v>
      </c>
      <c r="F1143" s="20" t="n">
        <v>350000</v>
      </c>
      <c r="G1143" s="20" t="n">
        <v>3075690</v>
      </c>
    </row>
    <row r="1144" customFormat="false" ht="15" hidden="false" customHeight="false" outlineLevel="0" collapsed="false">
      <c r="A1144" s="22" t="n">
        <v>46177</v>
      </c>
      <c r="B1144" s="19" t="s">
        <v>51</v>
      </c>
      <c r="C1144" s="19" t="s">
        <v>12</v>
      </c>
      <c r="D1144" s="19" t="s">
        <v>34</v>
      </c>
      <c r="E1144" s="19" t="s">
        <v>126</v>
      </c>
      <c r="F1144" s="20" t="n">
        <v>36818</v>
      </c>
      <c r="G1144" s="20" t="n">
        <v>138050</v>
      </c>
    </row>
    <row r="1145" customFormat="false" ht="15" hidden="false" customHeight="false" outlineLevel="0" collapsed="false">
      <c r="A1145" s="22" t="n">
        <v>46178</v>
      </c>
      <c r="B1145" s="19" t="s">
        <v>51</v>
      </c>
      <c r="C1145" s="19" t="s">
        <v>12</v>
      </c>
      <c r="D1145" s="19" t="s">
        <v>35</v>
      </c>
      <c r="E1145" s="19" t="s">
        <v>122</v>
      </c>
      <c r="F1145" s="20" t="n">
        <v>69371</v>
      </c>
      <c r="G1145" s="20" t="n">
        <v>199000</v>
      </c>
    </row>
    <row r="1146" customFormat="false" ht="15" hidden="false" customHeight="false" outlineLevel="0" collapsed="false">
      <c r="A1146" s="22" t="n">
        <v>46178</v>
      </c>
      <c r="B1146" s="19" t="s">
        <v>51</v>
      </c>
      <c r="C1146" s="19" t="s">
        <v>13</v>
      </c>
      <c r="D1146" s="19" t="s">
        <v>42</v>
      </c>
      <c r="E1146" s="19" t="s">
        <v>146</v>
      </c>
      <c r="F1146" s="20" t="n">
        <v>286813</v>
      </c>
      <c r="G1146" s="20" t="n">
        <v>1233591</v>
      </c>
    </row>
    <row r="1147" customFormat="false" ht="15" hidden="false" customHeight="false" outlineLevel="0" collapsed="false">
      <c r="A1147" s="22" t="n">
        <v>46179</v>
      </c>
      <c r="B1147" s="19" t="s">
        <v>51</v>
      </c>
      <c r="C1147" s="19" t="s">
        <v>12</v>
      </c>
      <c r="D1147" s="19" t="s">
        <v>35</v>
      </c>
      <c r="E1147" s="19" t="s">
        <v>122</v>
      </c>
      <c r="F1147" s="20" t="n">
        <v>100000</v>
      </c>
      <c r="G1147" s="20" t="n">
        <v>199000</v>
      </c>
    </row>
    <row r="1148" customFormat="false" ht="15" hidden="false" customHeight="false" outlineLevel="0" collapsed="false">
      <c r="A1148" s="22" t="n">
        <v>46179</v>
      </c>
      <c r="B1148" s="19" t="s">
        <v>51</v>
      </c>
      <c r="C1148" s="19" t="s">
        <v>14</v>
      </c>
      <c r="D1148" s="19" t="s">
        <v>40</v>
      </c>
      <c r="E1148" s="19" t="s">
        <v>147</v>
      </c>
      <c r="F1148" s="20" t="n">
        <v>1374</v>
      </c>
      <c r="G1148" s="20" t="n">
        <v>0</v>
      </c>
    </row>
    <row r="1149" customFormat="false" ht="15" hidden="false" customHeight="false" outlineLevel="0" collapsed="false">
      <c r="A1149" s="22" t="n">
        <v>46179</v>
      </c>
      <c r="B1149" s="19" t="s">
        <v>51</v>
      </c>
      <c r="C1149" s="19" t="s">
        <v>13</v>
      </c>
      <c r="D1149" s="19" t="s">
        <v>42</v>
      </c>
      <c r="E1149" s="19" t="s">
        <v>148</v>
      </c>
      <c r="F1149" s="20" t="n">
        <v>286029</v>
      </c>
      <c r="G1149" s="20" t="n">
        <v>887100</v>
      </c>
    </row>
    <row r="1150" customFormat="false" ht="15" hidden="false" customHeight="false" outlineLevel="0" collapsed="false">
      <c r="A1150" s="22" t="n">
        <v>46179</v>
      </c>
      <c r="B1150" s="19" t="s">
        <v>51</v>
      </c>
      <c r="C1150" s="19" t="s">
        <v>12</v>
      </c>
      <c r="D1150" s="19" t="s">
        <v>34</v>
      </c>
      <c r="E1150" s="19" t="s">
        <v>126</v>
      </c>
      <c r="F1150" s="20" t="n">
        <v>200000</v>
      </c>
      <c r="G1150" s="20" t="n">
        <v>579500</v>
      </c>
    </row>
    <row r="1151" customFormat="false" ht="15" hidden="false" customHeight="false" outlineLevel="0" collapsed="false">
      <c r="A1151" s="22" t="n">
        <v>46179</v>
      </c>
      <c r="B1151" s="19" t="s">
        <v>51</v>
      </c>
      <c r="C1151" s="19" t="s">
        <v>13</v>
      </c>
      <c r="D1151" s="19" t="s">
        <v>41</v>
      </c>
      <c r="E1151" s="19" t="s">
        <v>149</v>
      </c>
      <c r="F1151" s="20" t="n">
        <v>145398</v>
      </c>
      <c r="G1151" s="20" t="n">
        <v>866100</v>
      </c>
    </row>
    <row r="1152" customFormat="false" ht="15" hidden="false" customHeight="false" outlineLevel="0" collapsed="false">
      <c r="A1152" s="22" t="n">
        <v>46179</v>
      </c>
      <c r="B1152" s="19" t="s">
        <v>51</v>
      </c>
      <c r="C1152" s="19" t="s">
        <v>13</v>
      </c>
      <c r="D1152" s="19" t="s">
        <v>42</v>
      </c>
      <c r="E1152" s="19" t="s">
        <v>150</v>
      </c>
      <c r="F1152" s="20" t="n">
        <v>165094</v>
      </c>
      <c r="G1152" s="20" t="n">
        <v>581100</v>
      </c>
    </row>
    <row r="1153" customFormat="false" ht="15" hidden="false" customHeight="false" outlineLevel="0" collapsed="false">
      <c r="A1153" s="22" t="n">
        <v>46179</v>
      </c>
      <c r="B1153" s="19" t="s">
        <v>51</v>
      </c>
      <c r="C1153" s="19" t="s">
        <v>12</v>
      </c>
      <c r="D1153" s="19" t="s">
        <v>37</v>
      </c>
      <c r="E1153" s="19" t="s">
        <v>151</v>
      </c>
      <c r="F1153" s="20" t="n">
        <v>25759</v>
      </c>
      <c r="G1153" s="20" t="n">
        <v>0</v>
      </c>
    </row>
    <row r="1154" customFormat="false" ht="15" hidden="false" customHeight="false" outlineLevel="0" collapsed="false">
      <c r="A1154" s="22" t="n">
        <v>46179</v>
      </c>
      <c r="B1154" s="19" t="s">
        <v>51</v>
      </c>
      <c r="C1154" s="19" t="s">
        <v>13</v>
      </c>
      <c r="D1154" s="19" t="s">
        <v>42</v>
      </c>
      <c r="E1154" s="19" t="s">
        <v>146</v>
      </c>
      <c r="F1154" s="20" t="n">
        <v>186374</v>
      </c>
      <c r="G1154" s="20" t="n">
        <v>991780</v>
      </c>
    </row>
    <row r="1155" customFormat="false" ht="15" hidden="false" customHeight="false" outlineLevel="0" collapsed="false">
      <c r="A1155" s="22" t="n">
        <v>46179</v>
      </c>
      <c r="B1155" s="19" t="s">
        <v>51</v>
      </c>
      <c r="C1155" s="19" t="s">
        <v>12</v>
      </c>
      <c r="D1155" s="19" t="s">
        <v>32</v>
      </c>
      <c r="E1155" s="19" t="s">
        <v>152</v>
      </c>
      <c r="F1155" s="20" t="n">
        <v>48757</v>
      </c>
      <c r="G1155" s="20" t="n">
        <v>0</v>
      </c>
    </row>
    <row r="1156" customFormat="false" ht="15" hidden="false" customHeight="false" outlineLevel="0" collapsed="false">
      <c r="A1156" s="22" t="n">
        <v>46179</v>
      </c>
      <c r="B1156" s="19" t="s">
        <v>51</v>
      </c>
      <c r="C1156" s="19" t="s">
        <v>13</v>
      </c>
      <c r="D1156" s="19" t="s">
        <v>41</v>
      </c>
      <c r="E1156" s="19" t="s">
        <v>153</v>
      </c>
      <c r="F1156" s="20" t="n">
        <v>52088</v>
      </c>
      <c r="G1156" s="20" t="n">
        <v>0</v>
      </c>
    </row>
    <row r="1157" customFormat="false" ht="15" hidden="false" customHeight="false" outlineLevel="0" collapsed="false">
      <c r="A1157" s="22" t="n">
        <v>46179</v>
      </c>
      <c r="B1157" s="19" t="s">
        <v>51</v>
      </c>
      <c r="C1157" s="19" t="s">
        <v>13</v>
      </c>
      <c r="D1157" s="19" t="s">
        <v>42</v>
      </c>
      <c r="E1157" s="19" t="s">
        <v>154</v>
      </c>
      <c r="F1157" s="20" t="n">
        <v>35075</v>
      </c>
      <c r="G1157" s="20" t="n">
        <v>0</v>
      </c>
    </row>
    <row r="1158" customFormat="false" ht="15" hidden="false" customHeight="false" outlineLevel="0" collapsed="false">
      <c r="A1158" s="22" t="n">
        <v>46179</v>
      </c>
      <c r="B1158" s="19" t="s">
        <v>51</v>
      </c>
      <c r="C1158" s="19" t="s">
        <v>12</v>
      </c>
      <c r="D1158" s="19" t="s">
        <v>31</v>
      </c>
      <c r="E1158" s="19" t="s">
        <v>155</v>
      </c>
      <c r="F1158" s="20" t="n">
        <v>21374</v>
      </c>
      <c r="G1158" s="20" t="n">
        <v>0</v>
      </c>
    </row>
    <row r="1159" customFormat="false" ht="15" hidden="false" customHeight="false" outlineLevel="0" collapsed="false">
      <c r="A1159" s="22" t="n">
        <v>46179</v>
      </c>
      <c r="B1159" s="19" t="s">
        <v>51</v>
      </c>
      <c r="C1159" s="19" t="s">
        <v>12</v>
      </c>
      <c r="D1159" s="19" t="s">
        <v>30</v>
      </c>
      <c r="E1159" s="19" t="s">
        <v>156</v>
      </c>
      <c r="F1159" s="20" t="n">
        <v>8119</v>
      </c>
      <c r="G1159" s="20" t="n">
        <v>0</v>
      </c>
    </row>
    <row r="1160" customFormat="false" ht="15" hidden="false" customHeight="false" outlineLevel="0" collapsed="false">
      <c r="A1160" s="22" t="n">
        <v>46179</v>
      </c>
      <c r="B1160" s="19" t="s">
        <v>51</v>
      </c>
      <c r="C1160" s="19" t="s">
        <v>13</v>
      </c>
      <c r="D1160" s="19" t="s">
        <v>42</v>
      </c>
      <c r="E1160" s="19" t="s">
        <v>157</v>
      </c>
      <c r="F1160" s="20" t="n">
        <v>17813</v>
      </c>
      <c r="G1160" s="20" t="n">
        <v>0</v>
      </c>
    </row>
    <row r="1161" customFormat="false" ht="15" hidden="false" customHeight="false" outlineLevel="0" collapsed="false">
      <c r="A1161" s="22" t="n">
        <v>46179</v>
      </c>
      <c r="B1161" s="19" t="s">
        <v>51</v>
      </c>
      <c r="C1161" s="19" t="s">
        <v>12</v>
      </c>
      <c r="D1161" s="19" t="s">
        <v>37</v>
      </c>
      <c r="E1161" s="19" t="s">
        <v>158</v>
      </c>
      <c r="F1161" s="20" t="n">
        <v>1846</v>
      </c>
      <c r="G1161" s="20" t="n">
        <v>0</v>
      </c>
    </row>
    <row r="1162" customFormat="false" ht="15" hidden="false" customHeight="false" outlineLevel="0" collapsed="false">
      <c r="A1162" s="22" t="n">
        <v>46179</v>
      </c>
      <c r="B1162" s="19" t="s">
        <v>51</v>
      </c>
      <c r="C1162" s="19" t="s">
        <v>12</v>
      </c>
      <c r="D1162" s="19" t="s">
        <v>33</v>
      </c>
      <c r="E1162" s="19" t="s">
        <v>159</v>
      </c>
      <c r="F1162" s="20" t="n">
        <v>4525</v>
      </c>
      <c r="G1162" s="20" t="n">
        <v>0</v>
      </c>
    </row>
    <row r="1163" customFormat="false" ht="15" hidden="false" customHeight="false" outlineLevel="0" collapsed="false">
      <c r="A1163" s="22" t="n">
        <v>46179</v>
      </c>
      <c r="B1163" s="19" t="s">
        <v>51</v>
      </c>
      <c r="C1163" s="19" t="s">
        <v>13</v>
      </c>
      <c r="D1163" s="19" t="s">
        <v>41</v>
      </c>
      <c r="E1163" s="19" t="s">
        <v>160</v>
      </c>
      <c r="F1163" s="20" t="n">
        <v>41</v>
      </c>
      <c r="G1163" s="20" t="n">
        <v>0</v>
      </c>
    </row>
    <row r="1164" customFormat="false" ht="15" hidden="false" customHeight="false" outlineLevel="0" collapsed="false">
      <c r="A1164" s="22" t="n">
        <v>46180</v>
      </c>
      <c r="B1164" s="19" t="s">
        <v>51</v>
      </c>
      <c r="C1164" s="19" t="s">
        <v>12</v>
      </c>
      <c r="D1164" s="19" t="s">
        <v>35</v>
      </c>
      <c r="E1164" s="19" t="s">
        <v>122</v>
      </c>
      <c r="F1164" s="20" t="n">
        <v>67997</v>
      </c>
      <c r="G1164" s="20" t="n">
        <v>199000</v>
      </c>
    </row>
    <row r="1165" customFormat="false" ht="15" hidden="false" customHeight="false" outlineLevel="0" collapsed="false">
      <c r="A1165" s="22" t="n">
        <v>46180</v>
      </c>
      <c r="B1165" s="19" t="s">
        <v>51</v>
      </c>
      <c r="C1165" s="19" t="s">
        <v>14</v>
      </c>
      <c r="D1165" s="19" t="s">
        <v>40</v>
      </c>
      <c r="E1165" s="19" t="s">
        <v>147</v>
      </c>
      <c r="F1165" s="20" t="n">
        <v>164108</v>
      </c>
      <c r="G1165" s="20" t="n">
        <v>690260</v>
      </c>
    </row>
    <row r="1166" customFormat="false" ht="15" hidden="false" customHeight="false" outlineLevel="0" collapsed="false">
      <c r="A1166" s="22" t="n">
        <v>46180</v>
      </c>
      <c r="B1166" s="19" t="s">
        <v>51</v>
      </c>
      <c r="C1166" s="19" t="s">
        <v>12</v>
      </c>
      <c r="D1166" s="19" t="s">
        <v>37</v>
      </c>
      <c r="E1166" s="19" t="s">
        <v>151</v>
      </c>
      <c r="F1166" s="20" t="n">
        <v>225201</v>
      </c>
      <c r="G1166" s="20" t="n">
        <v>1108000</v>
      </c>
    </row>
    <row r="1167" customFormat="false" ht="15" hidden="false" customHeight="false" outlineLevel="0" collapsed="false">
      <c r="A1167" s="22" t="n">
        <v>46180</v>
      </c>
      <c r="B1167" s="19" t="s">
        <v>51</v>
      </c>
      <c r="C1167" s="19" t="s">
        <v>12</v>
      </c>
      <c r="D1167" s="19" t="s">
        <v>32</v>
      </c>
      <c r="E1167" s="19" t="s">
        <v>152</v>
      </c>
      <c r="F1167" s="20" t="n">
        <v>145470</v>
      </c>
      <c r="G1167" s="20" t="n">
        <v>445360</v>
      </c>
    </row>
    <row r="1168" customFormat="false" ht="15" hidden="false" customHeight="false" outlineLevel="0" collapsed="false">
      <c r="A1168" s="22" t="n">
        <v>46180</v>
      </c>
      <c r="B1168" s="19" t="s">
        <v>51</v>
      </c>
      <c r="C1168" s="19" t="s">
        <v>13</v>
      </c>
      <c r="D1168" s="19" t="s">
        <v>42</v>
      </c>
      <c r="E1168" s="19" t="s">
        <v>161</v>
      </c>
      <c r="F1168" s="20" t="n">
        <v>300000</v>
      </c>
      <c r="G1168" s="20" t="n">
        <v>1472320</v>
      </c>
    </row>
    <row r="1169" customFormat="false" ht="15" hidden="false" customHeight="false" outlineLevel="0" collapsed="false">
      <c r="A1169" s="22" t="n">
        <v>46180</v>
      </c>
      <c r="B1169" s="19" t="s">
        <v>51</v>
      </c>
      <c r="C1169" s="19" t="s">
        <v>12</v>
      </c>
      <c r="D1169" s="19" t="s">
        <v>34</v>
      </c>
      <c r="E1169" s="19" t="s">
        <v>162</v>
      </c>
      <c r="F1169" s="20" t="n">
        <v>69510</v>
      </c>
      <c r="G1169" s="20" t="n">
        <v>207200</v>
      </c>
    </row>
    <row r="1170" customFormat="false" ht="15" hidden="false" customHeight="false" outlineLevel="0" collapsed="false">
      <c r="A1170" s="22" t="n">
        <v>46180</v>
      </c>
      <c r="B1170" s="19" t="s">
        <v>51</v>
      </c>
      <c r="C1170" s="19" t="s">
        <v>13</v>
      </c>
      <c r="D1170" s="19" t="s">
        <v>41</v>
      </c>
      <c r="E1170" s="19" t="s">
        <v>160</v>
      </c>
      <c r="F1170" s="20" t="n">
        <v>28892</v>
      </c>
      <c r="G1170" s="20" t="n">
        <v>0</v>
      </c>
    </row>
    <row r="1171" customFormat="false" ht="15" hidden="false" customHeight="false" outlineLevel="0" collapsed="false">
      <c r="A1171" s="22" t="n">
        <v>46180</v>
      </c>
      <c r="B1171" s="19" t="s">
        <v>51</v>
      </c>
      <c r="C1171" s="19" t="s">
        <v>12</v>
      </c>
      <c r="D1171" s="19" t="s">
        <v>37</v>
      </c>
      <c r="E1171" s="19" t="s">
        <v>158</v>
      </c>
      <c r="F1171" s="20" t="n">
        <v>58649</v>
      </c>
      <c r="G1171" s="20" t="n">
        <v>0</v>
      </c>
    </row>
    <row r="1172" customFormat="false" ht="15" hidden="false" customHeight="false" outlineLevel="0" collapsed="false">
      <c r="A1172" s="22" t="n">
        <v>46180</v>
      </c>
      <c r="B1172" s="19" t="s">
        <v>51</v>
      </c>
      <c r="C1172" s="19" t="s">
        <v>12</v>
      </c>
      <c r="D1172" s="19" t="s">
        <v>30</v>
      </c>
      <c r="E1172" s="19" t="s">
        <v>156</v>
      </c>
      <c r="F1172" s="20" t="n">
        <v>44910</v>
      </c>
      <c r="G1172" s="20" t="n">
        <v>195000</v>
      </c>
    </row>
    <row r="1173" customFormat="false" ht="15" hidden="false" customHeight="false" outlineLevel="0" collapsed="false">
      <c r="A1173" s="22" t="n">
        <v>46180</v>
      </c>
      <c r="B1173" s="19" t="s">
        <v>51</v>
      </c>
      <c r="C1173" s="19" t="s">
        <v>12</v>
      </c>
      <c r="D1173" s="19" t="s">
        <v>33</v>
      </c>
      <c r="E1173" s="19" t="s">
        <v>159</v>
      </c>
      <c r="F1173" s="20" t="n">
        <v>29724</v>
      </c>
      <c r="G1173" s="20" t="n">
        <v>44000</v>
      </c>
    </row>
    <row r="1174" customFormat="false" ht="15" hidden="false" customHeight="false" outlineLevel="0" collapsed="false">
      <c r="A1174" s="22" t="n">
        <v>46180</v>
      </c>
      <c r="B1174" s="19" t="s">
        <v>51</v>
      </c>
      <c r="C1174" s="19" t="s">
        <v>13</v>
      </c>
      <c r="D1174" s="19" t="s">
        <v>42</v>
      </c>
      <c r="E1174" s="19" t="s">
        <v>157</v>
      </c>
      <c r="F1174" s="20" t="n">
        <v>61655</v>
      </c>
      <c r="G1174" s="20" t="n">
        <v>0</v>
      </c>
    </row>
    <row r="1175" customFormat="false" ht="15" hidden="false" customHeight="false" outlineLevel="0" collapsed="false">
      <c r="A1175" s="22" t="n">
        <v>46180</v>
      </c>
      <c r="B1175" s="19" t="s">
        <v>51</v>
      </c>
      <c r="C1175" s="19" t="s">
        <v>12</v>
      </c>
      <c r="D1175" s="19" t="s">
        <v>31</v>
      </c>
      <c r="E1175" s="19" t="s">
        <v>155</v>
      </c>
      <c r="F1175" s="20" t="n">
        <v>94671</v>
      </c>
      <c r="G1175" s="20" t="n">
        <v>325000</v>
      </c>
    </row>
    <row r="1176" customFormat="false" ht="15" hidden="false" customHeight="false" outlineLevel="0" collapsed="false">
      <c r="A1176" s="22" t="n">
        <v>46180</v>
      </c>
      <c r="B1176" s="19" t="s">
        <v>51</v>
      </c>
      <c r="C1176" s="19" t="s">
        <v>12</v>
      </c>
      <c r="D1176" s="19" t="s">
        <v>34</v>
      </c>
      <c r="E1176" s="19" t="s">
        <v>126</v>
      </c>
      <c r="F1176" s="20" t="n">
        <v>200000</v>
      </c>
      <c r="G1176" s="20" t="n">
        <v>135000</v>
      </c>
    </row>
    <row r="1177" customFormat="false" ht="15" hidden="false" customHeight="false" outlineLevel="0" collapsed="false">
      <c r="A1177" s="22" t="n">
        <v>46181</v>
      </c>
      <c r="B1177" s="19" t="s">
        <v>51</v>
      </c>
      <c r="C1177" s="19" t="s">
        <v>12</v>
      </c>
      <c r="D1177" s="19" t="s">
        <v>35</v>
      </c>
      <c r="E1177" s="19" t="s">
        <v>122</v>
      </c>
      <c r="F1177" s="20" t="n">
        <v>124748</v>
      </c>
      <c r="G1177" s="20" t="n">
        <v>597000</v>
      </c>
    </row>
    <row r="1178" customFormat="false" ht="15" hidden="false" customHeight="false" outlineLevel="0" collapsed="false">
      <c r="A1178" s="22" t="n">
        <v>46181</v>
      </c>
      <c r="B1178" s="19" t="s">
        <v>51</v>
      </c>
      <c r="C1178" s="19" t="s">
        <v>14</v>
      </c>
      <c r="D1178" s="19" t="s">
        <v>40</v>
      </c>
      <c r="E1178" s="19" t="s">
        <v>147</v>
      </c>
      <c r="F1178" s="20" t="n">
        <v>54005</v>
      </c>
      <c r="G1178" s="20" t="n">
        <v>106820</v>
      </c>
    </row>
    <row r="1179" customFormat="false" ht="15" hidden="false" customHeight="false" outlineLevel="0" collapsed="false">
      <c r="A1179" s="22" t="n">
        <v>46181</v>
      </c>
      <c r="B1179" s="19" t="s">
        <v>51</v>
      </c>
      <c r="C1179" s="19" t="s">
        <v>12</v>
      </c>
      <c r="D1179" s="19" t="s">
        <v>32</v>
      </c>
      <c r="E1179" s="19" t="s">
        <v>152</v>
      </c>
      <c r="F1179" s="20" t="n">
        <v>161101</v>
      </c>
      <c r="G1179" s="20" t="n">
        <v>637000</v>
      </c>
    </row>
    <row r="1180" customFormat="false" ht="15" hidden="false" customHeight="false" outlineLevel="0" collapsed="false">
      <c r="A1180" s="22" t="n">
        <v>46181</v>
      </c>
      <c r="B1180" s="19" t="s">
        <v>51</v>
      </c>
      <c r="C1180" s="19" t="s">
        <v>12</v>
      </c>
      <c r="D1180" s="19" t="s">
        <v>37</v>
      </c>
      <c r="E1180" s="19" t="s">
        <v>151</v>
      </c>
      <c r="F1180" s="20" t="n">
        <v>42590</v>
      </c>
      <c r="G1180" s="20" t="n">
        <v>0</v>
      </c>
    </row>
    <row r="1181" customFormat="false" ht="15" hidden="false" customHeight="false" outlineLevel="0" collapsed="false">
      <c r="A1181" s="22" t="n">
        <v>46181</v>
      </c>
      <c r="B1181" s="19" t="s">
        <v>51</v>
      </c>
      <c r="C1181" s="19" t="s">
        <v>13</v>
      </c>
      <c r="D1181" s="19" t="s">
        <v>42</v>
      </c>
      <c r="E1181" s="19" t="s">
        <v>161</v>
      </c>
      <c r="F1181" s="20" t="n">
        <v>321909</v>
      </c>
      <c r="G1181" s="20" t="n">
        <v>1329640</v>
      </c>
    </row>
    <row r="1182" customFormat="false" ht="15" hidden="false" customHeight="false" outlineLevel="0" collapsed="false">
      <c r="A1182" s="22" t="n">
        <v>46181</v>
      </c>
      <c r="B1182" s="19" t="s">
        <v>51</v>
      </c>
      <c r="C1182" s="19" t="s">
        <v>12</v>
      </c>
      <c r="D1182" s="19" t="s">
        <v>33</v>
      </c>
      <c r="E1182" s="19" t="s">
        <v>159</v>
      </c>
      <c r="F1182" s="20" t="n">
        <v>189617</v>
      </c>
      <c r="G1182" s="20" t="n">
        <v>1398700</v>
      </c>
    </row>
    <row r="1183" customFormat="false" ht="15" hidden="false" customHeight="false" outlineLevel="0" collapsed="false">
      <c r="A1183" s="22" t="n">
        <v>46181</v>
      </c>
      <c r="B1183" s="19" t="s">
        <v>51</v>
      </c>
      <c r="C1183" s="19" t="s">
        <v>13</v>
      </c>
      <c r="D1183" s="19" t="s">
        <v>41</v>
      </c>
      <c r="E1183" s="19" t="s">
        <v>160</v>
      </c>
      <c r="F1183" s="20" t="n">
        <v>80884</v>
      </c>
      <c r="G1183" s="20" t="n">
        <v>390000</v>
      </c>
    </row>
    <row r="1184" customFormat="false" ht="15" hidden="false" customHeight="false" outlineLevel="0" collapsed="false">
      <c r="A1184" s="22" t="n">
        <v>46181</v>
      </c>
      <c r="B1184" s="19" t="s">
        <v>51</v>
      </c>
      <c r="C1184" s="19" t="s">
        <v>12</v>
      </c>
      <c r="D1184" s="19" t="s">
        <v>30</v>
      </c>
      <c r="E1184" s="19" t="s">
        <v>156</v>
      </c>
      <c r="F1184" s="20" t="n">
        <v>198365</v>
      </c>
      <c r="G1184" s="20" t="n">
        <v>1362540</v>
      </c>
    </row>
    <row r="1185" customFormat="false" ht="15" hidden="false" customHeight="false" outlineLevel="0" collapsed="false">
      <c r="A1185" s="22" t="n">
        <v>46181</v>
      </c>
      <c r="B1185" s="19" t="s">
        <v>51</v>
      </c>
      <c r="C1185" s="19" t="s">
        <v>12</v>
      </c>
      <c r="D1185" s="19" t="s">
        <v>34</v>
      </c>
      <c r="E1185" s="19" t="s">
        <v>162</v>
      </c>
      <c r="F1185" s="20" t="n">
        <v>69301</v>
      </c>
      <c r="G1185" s="20" t="n">
        <v>355000</v>
      </c>
    </row>
    <row r="1186" customFormat="false" ht="15" hidden="false" customHeight="false" outlineLevel="0" collapsed="false">
      <c r="A1186" s="22" t="n">
        <v>46181</v>
      </c>
      <c r="B1186" s="19" t="s">
        <v>51</v>
      </c>
      <c r="C1186" s="19" t="s">
        <v>12</v>
      </c>
      <c r="D1186" s="19" t="s">
        <v>31</v>
      </c>
      <c r="E1186" s="19" t="s">
        <v>155</v>
      </c>
      <c r="F1186" s="20" t="n">
        <v>35115</v>
      </c>
      <c r="G1186" s="20" t="n">
        <v>0</v>
      </c>
    </row>
    <row r="1187" customFormat="false" ht="15" hidden="false" customHeight="false" outlineLevel="0" collapsed="false">
      <c r="A1187" s="22" t="n">
        <v>46181</v>
      </c>
      <c r="B1187" s="19" t="s">
        <v>51</v>
      </c>
      <c r="C1187" s="19" t="s">
        <v>13</v>
      </c>
      <c r="D1187" s="19" t="s">
        <v>44</v>
      </c>
      <c r="E1187" s="19" t="s">
        <v>44</v>
      </c>
      <c r="F1187" s="20" t="n">
        <v>68671</v>
      </c>
      <c r="G1187" s="20" t="n">
        <v>0</v>
      </c>
    </row>
    <row r="1188" customFormat="false" ht="15" hidden="false" customHeight="false" outlineLevel="0" collapsed="false">
      <c r="A1188" s="22" t="n">
        <v>46181</v>
      </c>
      <c r="B1188" s="19" t="s">
        <v>51</v>
      </c>
      <c r="C1188" s="19" t="s">
        <v>12</v>
      </c>
      <c r="D1188" s="19" t="s">
        <v>37</v>
      </c>
      <c r="E1188" s="19" t="s">
        <v>158</v>
      </c>
      <c r="F1188" s="20" t="n">
        <v>43837</v>
      </c>
      <c r="G1188" s="20" t="n">
        <v>0</v>
      </c>
    </row>
    <row r="1189" customFormat="false" ht="15" hidden="false" customHeight="false" outlineLevel="0" collapsed="false">
      <c r="A1189" s="22" t="n">
        <v>46182</v>
      </c>
      <c r="B1189" s="19" t="s">
        <v>51</v>
      </c>
      <c r="C1189" s="19" t="s">
        <v>14</v>
      </c>
      <c r="D1189" s="19" t="s">
        <v>40</v>
      </c>
      <c r="E1189" s="19" t="s">
        <v>147</v>
      </c>
      <c r="F1189" s="20" t="n">
        <v>174649</v>
      </c>
      <c r="G1189" s="20" t="n">
        <v>729960</v>
      </c>
    </row>
    <row r="1190" customFormat="false" ht="15" hidden="false" customHeight="false" outlineLevel="0" collapsed="false">
      <c r="A1190" s="22" t="n">
        <v>46182</v>
      </c>
      <c r="B1190" s="19" t="s">
        <v>51</v>
      </c>
      <c r="C1190" s="19" t="s">
        <v>12</v>
      </c>
      <c r="D1190" s="19" t="s">
        <v>35</v>
      </c>
      <c r="E1190" s="19" t="s">
        <v>122</v>
      </c>
      <c r="F1190" s="20" t="n">
        <v>29477</v>
      </c>
      <c r="G1190" s="20" t="n">
        <v>0</v>
      </c>
    </row>
    <row r="1191" customFormat="false" ht="15" hidden="false" customHeight="false" outlineLevel="0" collapsed="false">
      <c r="A1191" s="22" t="n">
        <v>46182</v>
      </c>
      <c r="B1191" s="19" t="s">
        <v>51</v>
      </c>
      <c r="C1191" s="19" t="s">
        <v>13</v>
      </c>
      <c r="D1191" s="19" t="s">
        <v>42</v>
      </c>
      <c r="E1191" s="19" t="s">
        <v>161</v>
      </c>
      <c r="F1191" s="20" t="n">
        <v>700000</v>
      </c>
      <c r="G1191" s="20" t="n">
        <v>3317730</v>
      </c>
    </row>
    <row r="1192" customFormat="false" ht="15" hidden="false" customHeight="false" outlineLevel="0" collapsed="false">
      <c r="A1192" s="22" t="n">
        <v>46182</v>
      </c>
      <c r="B1192" s="19" t="s">
        <v>51</v>
      </c>
      <c r="C1192" s="19" t="s">
        <v>12</v>
      </c>
      <c r="D1192" s="19" t="s">
        <v>37</v>
      </c>
      <c r="E1192" s="19" t="s">
        <v>151</v>
      </c>
      <c r="F1192" s="20" t="n">
        <v>78430</v>
      </c>
      <c r="G1192" s="20" t="n">
        <v>388000</v>
      </c>
    </row>
    <row r="1193" customFormat="false" ht="15" hidden="false" customHeight="false" outlineLevel="0" collapsed="false">
      <c r="A1193" s="22" t="n">
        <v>46182</v>
      </c>
      <c r="B1193" s="19" t="s">
        <v>51</v>
      </c>
      <c r="C1193" s="19" t="s">
        <v>12</v>
      </c>
      <c r="D1193" s="19" t="s">
        <v>32</v>
      </c>
      <c r="E1193" s="19" t="s">
        <v>152</v>
      </c>
      <c r="F1193" s="20" t="n">
        <v>58701</v>
      </c>
      <c r="G1193" s="20" t="n">
        <v>188000</v>
      </c>
    </row>
    <row r="1194" customFormat="false" ht="15" hidden="false" customHeight="false" outlineLevel="0" collapsed="false">
      <c r="A1194" s="22" t="n">
        <v>46182</v>
      </c>
      <c r="B1194" s="19" t="s">
        <v>51</v>
      </c>
      <c r="C1194" s="19" t="s">
        <v>12</v>
      </c>
      <c r="D1194" s="19" t="s">
        <v>30</v>
      </c>
      <c r="E1194" s="19" t="s">
        <v>156</v>
      </c>
      <c r="F1194" s="20" t="n">
        <v>200000</v>
      </c>
      <c r="G1194" s="20" t="n">
        <v>1242000</v>
      </c>
    </row>
    <row r="1195" customFormat="false" ht="15" hidden="false" customHeight="false" outlineLevel="0" collapsed="false">
      <c r="A1195" s="22" t="n">
        <v>46182</v>
      </c>
      <c r="B1195" s="19" t="s">
        <v>51</v>
      </c>
      <c r="C1195" s="19" t="s">
        <v>12</v>
      </c>
      <c r="D1195" s="19" t="s">
        <v>37</v>
      </c>
      <c r="E1195" s="19" t="s">
        <v>158</v>
      </c>
      <c r="F1195" s="20" t="n">
        <v>28857</v>
      </c>
      <c r="G1195" s="20" t="n">
        <v>0</v>
      </c>
    </row>
    <row r="1196" customFormat="false" ht="15" hidden="false" customHeight="false" outlineLevel="0" collapsed="false">
      <c r="A1196" s="22" t="n">
        <v>46182</v>
      </c>
      <c r="B1196" s="19" t="s">
        <v>51</v>
      </c>
      <c r="C1196" s="19" t="s">
        <v>12</v>
      </c>
      <c r="D1196" s="19" t="s">
        <v>34</v>
      </c>
      <c r="E1196" s="19" t="s">
        <v>162</v>
      </c>
      <c r="F1196" s="20" t="n">
        <v>41866</v>
      </c>
      <c r="G1196" s="20" t="n">
        <v>215000</v>
      </c>
    </row>
    <row r="1197" customFormat="false" ht="15" hidden="false" customHeight="false" outlineLevel="0" collapsed="false">
      <c r="A1197" s="22" t="n">
        <v>46182</v>
      </c>
      <c r="B1197" s="19" t="s">
        <v>51</v>
      </c>
      <c r="C1197" s="19" t="s">
        <v>12</v>
      </c>
      <c r="D1197" s="19" t="s">
        <v>33</v>
      </c>
      <c r="E1197" s="19" t="s">
        <v>159</v>
      </c>
      <c r="F1197" s="20" t="n">
        <v>68796</v>
      </c>
      <c r="G1197" s="20" t="n">
        <v>0</v>
      </c>
    </row>
    <row r="1198" customFormat="false" ht="15" hidden="false" customHeight="false" outlineLevel="0" collapsed="false">
      <c r="A1198" s="22" t="n">
        <v>46182</v>
      </c>
      <c r="B1198" s="19" t="s">
        <v>51</v>
      </c>
      <c r="C1198" s="19" t="s">
        <v>13</v>
      </c>
      <c r="D1198" s="19" t="s">
        <v>44</v>
      </c>
      <c r="E1198" s="19" t="s">
        <v>44</v>
      </c>
      <c r="F1198" s="20" t="n">
        <v>31573</v>
      </c>
      <c r="G1198" s="20" t="n">
        <v>0</v>
      </c>
    </row>
    <row r="1199" customFormat="false" ht="15" hidden="false" customHeight="false" outlineLevel="0" collapsed="false">
      <c r="A1199" s="22" t="n">
        <v>46182</v>
      </c>
      <c r="B1199" s="19" t="s">
        <v>51</v>
      </c>
      <c r="C1199" s="19" t="s">
        <v>13</v>
      </c>
      <c r="D1199" s="19" t="s">
        <v>41</v>
      </c>
      <c r="E1199" s="19" t="s">
        <v>160</v>
      </c>
      <c r="F1199" s="20" t="n">
        <v>33448</v>
      </c>
      <c r="G1199" s="20" t="n">
        <v>94300</v>
      </c>
    </row>
    <row r="1200" customFormat="false" ht="15" hidden="false" customHeight="false" outlineLevel="0" collapsed="false">
      <c r="A1200" s="22" t="n">
        <v>46182</v>
      </c>
      <c r="B1200" s="19" t="s">
        <v>51</v>
      </c>
      <c r="C1200" s="19" t="s">
        <v>12</v>
      </c>
      <c r="D1200" s="19" t="s">
        <v>31</v>
      </c>
      <c r="E1200" s="19" t="s">
        <v>155</v>
      </c>
      <c r="F1200" s="20" t="n">
        <v>51630</v>
      </c>
      <c r="G1200" s="20" t="n">
        <v>0</v>
      </c>
    </row>
    <row r="1201" customFormat="false" ht="15" hidden="false" customHeight="false" outlineLevel="0" collapsed="false">
      <c r="A1201" s="22" t="n">
        <v>46183</v>
      </c>
      <c r="B1201" s="19" t="s">
        <v>51</v>
      </c>
      <c r="C1201" s="19" t="s">
        <v>12</v>
      </c>
      <c r="D1201" s="19" t="s">
        <v>35</v>
      </c>
      <c r="E1201" s="19" t="s">
        <v>122</v>
      </c>
      <c r="F1201" s="20" t="n">
        <v>150000</v>
      </c>
      <c r="G1201" s="20" t="n">
        <v>1001040</v>
      </c>
    </row>
    <row r="1202" customFormat="false" ht="15" hidden="false" customHeight="false" outlineLevel="0" collapsed="false">
      <c r="A1202" s="22" t="n">
        <v>46183</v>
      </c>
      <c r="B1202" s="19" t="s">
        <v>51</v>
      </c>
      <c r="C1202" s="19" t="s">
        <v>14</v>
      </c>
      <c r="D1202" s="19" t="s">
        <v>40</v>
      </c>
      <c r="E1202" s="19" t="s">
        <v>147</v>
      </c>
      <c r="F1202" s="20" t="n">
        <v>37876</v>
      </c>
      <c r="G1202" s="20" t="n">
        <v>39000</v>
      </c>
    </row>
    <row r="1203" customFormat="false" ht="15" hidden="false" customHeight="false" outlineLevel="0" collapsed="false">
      <c r="A1203" s="22" t="n">
        <v>46183</v>
      </c>
      <c r="B1203" s="19" t="s">
        <v>51</v>
      </c>
      <c r="C1203" s="19" t="s">
        <v>12</v>
      </c>
      <c r="D1203" s="19" t="s">
        <v>34</v>
      </c>
      <c r="E1203" s="19" t="s">
        <v>162</v>
      </c>
      <c r="F1203" s="20" t="n">
        <v>544995</v>
      </c>
      <c r="G1203" s="20" t="n">
        <v>3207800</v>
      </c>
    </row>
    <row r="1204" customFormat="false" ht="15" hidden="false" customHeight="false" outlineLevel="0" collapsed="false">
      <c r="A1204" s="22" t="n">
        <v>46183</v>
      </c>
      <c r="B1204" s="19" t="s">
        <v>51</v>
      </c>
      <c r="C1204" s="19" t="s">
        <v>13</v>
      </c>
      <c r="D1204" s="19" t="s">
        <v>42</v>
      </c>
      <c r="E1204" s="19" t="s">
        <v>163</v>
      </c>
      <c r="F1204" s="20" t="n">
        <v>227435</v>
      </c>
      <c r="G1204" s="20" t="n">
        <v>1745020</v>
      </c>
    </row>
    <row r="1205" customFormat="false" ht="15" hidden="false" customHeight="false" outlineLevel="0" collapsed="false">
      <c r="A1205" s="22" t="n">
        <v>46183</v>
      </c>
      <c r="B1205" s="19" t="s">
        <v>51</v>
      </c>
      <c r="C1205" s="19" t="s">
        <v>12</v>
      </c>
      <c r="D1205" s="19" t="s">
        <v>32</v>
      </c>
      <c r="E1205" s="19" t="s">
        <v>152</v>
      </c>
      <c r="F1205" s="20" t="n">
        <v>47295</v>
      </c>
      <c r="G1205" s="20" t="n">
        <v>207760</v>
      </c>
    </row>
    <row r="1206" customFormat="false" ht="15" hidden="false" customHeight="false" outlineLevel="0" collapsed="false">
      <c r="A1206" s="22" t="n">
        <v>46183</v>
      </c>
      <c r="B1206" s="19" t="s">
        <v>51</v>
      </c>
      <c r="C1206" s="19" t="s">
        <v>12</v>
      </c>
      <c r="D1206" s="19" t="s">
        <v>37</v>
      </c>
      <c r="E1206" s="19" t="s">
        <v>158</v>
      </c>
      <c r="F1206" s="20" t="n">
        <v>58805</v>
      </c>
      <c r="G1206" s="20" t="n">
        <v>905000</v>
      </c>
    </row>
    <row r="1207" customFormat="false" ht="15" hidden="false" customHeight="false" outlineLevel="0" collapsed="false">
      <c r="A1207" s="22" t="n">
        <v>46183</v>
      </c>
      <c r="B1207" s="19" t="s">
        <v>51</v>
      </c>
      <c r="C1207" s="19" t="s">
        <v>12</v>
      </c>
      <c r="D1207" s="19" t="s">
        <v>37</v>
      </c>
      <c r="E1207" s="19" t="s">
        <v>151</v>
      </c>
      <c r="F1207" s="20" t="n">
        <v>36188</v>
      </c>
      <c r="G1207" s="20" t="n">
        <v>0</v>
      </c>
    </row>
    <row r="1208" customFormat="false" ht="15" hidden="false" customHeight="false" outlineLevel="0" collapsed="false">
      <c r="A1208" s="22" t="n">
        <v>46183</v>
      </c>
      <c r="B1208" s="19" t="s">
        <v>51</v>
      </c>
      <c r="C1208" s="19" t="s">
        <v>13</v>
      </c>
      <c r="D1208" s="19" t="s">
        <v>42</v>
      </c>
      <c r="E1208" s="19" t="s">
        <v>161</v>
      </c>
      <c r="F1208" s="20" t="n">
        <v>315461</v>
      </c>
      <c r="G1208" s="20" t="n">
        <v>862300</v>
      </c>
    </row>
    <row r="1209" customFormat="false" ht="15" hidden="false" customHeight="false" outlineLevel="0" collapsed="false">
      <c r="A1209" s="22" t="n">
        <v>46183</v>
      </c>
      <c r="B1209" s="19" t="s">
        <v>51</v>
      </c>
      <c r="C1209" s="19" t="s">
        <v>12</v>
      </c>
      <c r="D1209" s="19" t="s">
        <v>33</v>
      </c>
      <c r="E1209" s="19" t="s">
        <v>159</v>
      </c>
      <c r="F1209" s="20" t="n">
        <v>72292</v>
      </c>
      <c r="G1209" s="20" t="n">
        <v>0</v>
      </c>
    </row>
    <row r="1210" customFormat="false" ht="15" hidden="false" customHeight="false" outlineLevel="0" collapsed="false">
      <c r="A1210" s="22" t="n">
        <v>46183</v>
      </c>
      <c r="B1210" s="19" t="s">
        <v>51</v>
      </c>
      <c r="C1210" s="19" t="s">
        <v>12</v>
      </c>
      <c r="D1210" s="19" t="s">
        <v>30</v>
      </c>
      <c r="E1210" s="19" t="s">
        <v>156</v>
      </c>
      <c r="F1210" s="20" t="n">
        <v>103749</v>
      </c>
      <c r="G1210" s="20" t="n">
        <v>230300</v>
      </c>
    </row>
    <row r="1211" customFormat="false" ht="15" hidden="false" customHeight="false" outlineLevel="0" collapsed="false">
      <c r="A1211" s="22" t="n">
        <v>46183</v>
      </c>
      <c r="B1211" s="19" t="s">
        <v>51</v>
      </c>
      <c r="C1211" s="19" t="s">
        <v>13</v>
      </c>
      <c r="D1211" s="19" t="s">
        <v>41</v>
      </c>
      <c r="E1211" s="19" t="s">
        <v>160</v>
      </c>
      <c r="F1211" s="20" t="n">
        <v>35455</v>
      </c>
      <c r="G1211" s="20" t="n">
        <v>195000</v>
      </c>
    </row>
    <row r="1212" customFormat="false" ht="15" hidden="false" customHeight="false" outlineLevel="0" collapsed="false">
      <c r="A1212" s="22" t="n">
        <v>46183</v>
      </c>
      <c r="B1212" s="19" t="s">
        <v>51</v>
      </c>
      <c r="C1212" s="19" t="s">
        <v>12</v>
      </c>
      <c r="D1212" s="19" t="s">
        <v>31</v>
      </c>
      <c r="E1212" s="19" t="s">
        <v>155</v>
      </c>
      <c r="F1212" s="20" t="n">
        <v>20637</v>
      </c>
      <c r="G1212" s="20" t="n">
        <v>0</v>
      </c>
    </row>
    <row r="1213" customFormat="false" ht="15" hidden="false" customHeight="false" outlineLevel="0" collapsed="false">
      <c r="A1213" s="22" t="n">
        <v>46183</v>
      </c>
      <c r="B1213" s="19" t="s">
        <v>51</v>
      </c>
      <c r="C1213" s="19" t="s">
        <v>13</v>
      </c>
      <c r="D1213" s="19" t="s">
        <v>44</v>
      </c>
      <c r="E1213" s="19" t="s">
        <v>44</v>
      </c>
      <c r="F1213" s="20" t="n">
        <v>11000</v>
      </c>
      <c r="G1213" s="20" t="n">
        <v>0</v>
      </c>
    </row>
    <row r="1214" customFormat="false" ht="15" hidden="false" customHeight="false" outlineLevel="0" collapsed="false">
      <c r="A1214" s="22" t="n">
        <v>46184</v>
      </c>
      <c r="B1214" s="19" t="s">
        <v>51</v>
      </c>
      <c r="C1214" s="19" t="s">
        <v>12</v>
      </c>
      <c r="D1214" s="19" t="s">
        <v>35</v>
      </c>
      <c r="E1214" s="19" t="s">
        <v>122</v>
      </c>
      <c r="F1214" s="20" t="n">
        <v>150000</v>
      </c>
      <c r="G1214" s="20" t="n">
        <v>806020</v>
      </c>
    </row>
    <row r="1215" customFormat="false" ht="15" hidden="false" customHeight="false" outlineLevel="0" collapsed="false">
      <c r="A1215" s="22" t="n">
        <v>46184</v>
      </c>
      <c r="B1215" s="19" t="s">
        <v>51</v>
      </c>
      <c r="C1215" s="19" t="s">
        <v>14</v>
      </c>
      <c r="D1215" s="19" t="s">
        <v>40</v>
      </c>
      <c r="E1215" s="19" t="s">
        <v>147</v>
      </c>
      <c r="F1215" s="20" t="n">
        <v>139204</v>
      </c>
      <c r="G1215" s="20" t="n">
        <v>584460</v>
      </c>
    </row>
    <row r="1216" customFormat="false" ht="15" hidden="false" customHeight="false" outlineLevel="0" collapsed="false">
      <c r="A1216" s="22" t="n">
        <v>46184</v>
      </c>
      <c r="B1216" s="19" t="s">
        <v>51</v>
      </c>
      <c r="C1216" s="19" t="s">
        <v>12</v>
      </c>
      <c r="D1216" s="19" t="s">
        <v>37</v>
      </c>
      <c r="E1216" s="19" t="s">
        <v>151</v>
      </c>
      <c r="F1216" s="20" t="n">
        <v>400000</v>
      </c>
      <c r="G1216" s="20" t="n">
        <v>2410680</v>
      </c>
    </row>
    <row r="1217" customFormat="false" ht="15" hidden="false" customHeight="false" outlineLevel="0" collapsed="false">
      <c r="A1217" s="22" t="n">
        <v>46184</v>
      </c>
      <c r="B1217" s="19" t="s">
        <v>51</v>
      </c>
      <c r="C1217" s="19" t="s">
        <v>13</v>
      </c>
      <c r="D1217" s="19" t="s">
        <v>42</v>
      </c>
      <c r="E1217" s="19" t="s">
        <v>163</v>
      </c>
      <c r="F1217" s="20" t="n">
        <v>400000</v>
      </c>
      <c r="G1217" s="20" t="n">
        <v>2455208</v>
      </c>
    </row>
    <row r="1218" customFormat="false" ht="15" hidden="false" customHeight="false" outlineLevel="0" collapsed="false">
      <c r="A1218" s="22" t="n">
        <v>46184</v>
      </c>
      <c r="B1218" s="19" t="s">
        <v>51</v>
      </c>
      <c r="C1218" s="19" t="s">
        <v>12</v>
      </c>
      <c r="D1218" s="19" t="s">
        <v>34</v>
      </c>
      <c r="E1218" s="19" t="s">
        <v>162</v>
      </c>
      <c r="F1218" s="20" t="n">
        <v>399639</v>
      </c>
      <c r="G1218" s="20" t="n">
        <v>1125500</v>
      </c>
    </row>
    <row r="1219" customFormat="false" ht="15" hidden="false" customHeight="false" outlineLevel="0" collapsed="false">
      <c r="A1219" s="22" t="n">
        <v>46184</v>
      </c>
      <c r="B1219" s="19" t="s">
        <v>51</v>
      </c>
      <c r="C1219" s="19" t="s">
        <v>12</v>
      </c>
      <c r="D1219" s="19" t="s">
        <v>32</v>
      </c>
      <c r="E1219" s="19" t="s">
        <v>152</v>
      </c>
      <c r="F1219" s="20" t="n">
        <v>54891</v>
      </c>
      <c r="G1219" s="20" t="n">
        <v>207760</v>
      </c>
    </row>
    <row r="1220" customFormat="false" ht="15" hidden="false" customHeight="false" outlineLevel="0" collapsed="false">
      <c r="A1220" s="22" t="n">
        <v>46184</v>
      </c>
      <c r="B1220" s="19" t="s">
        <v>51</v>
      </c>
      <c r="C1220" s="19" t="s">
        <v>12</v>
      </c>
      <c r="D1220" s="19" t="s">
        <v>37</v>
      </c>
      <c r="E1220" s="19" t="s">
        <v>158</v>
      </c>
      <c r="F1220" s="20" t="n">
        <v>44819</v>
      </c>
      <c r="G1220" s="20" t="n">
        <v>0</v>
      </c>
    </row>
    <row r="1221" customFormat="false" ht="15" hidden="false" customHeight="false" outlineLevel="0" collapsed="false">
      <c r="A1221" s="22" t="n">
        <v>46184</v>
      </c>
      <c r="B1221" s="19" t="s">
        <v>51</v>
      </c>
      <c r="C1221" s="19" t="s">
        <v>12</v>
      </c>
      <c r="D1221" s="19" t="s">
        <v>33</v>
      </c>
      <c r="E1221" s="19" t="s">
        <v>159</v>
      </c>
      <c r="F1221" s="20" t="n">
        <v>68325</v>
      </c>
      <c r="G1221" s="20" t="n">
        <v>552720</v>
      </c>
    </row>
    <row r="1222" customFormat="false" ht="15" hidden="false" customHeight="false" outlineLevel="0" collapsed="false">
      <c r="A1222" s="22" t="n">
        <v>46184</v>
      </c>
      <c r="B1222" s="19" t="s">
        <v>51</v>
      </c>
      <c r="C1222" s="19" t="s">
        <v>12</v>
      </c>
      <c r="D1222" s="19" t="s">
        <v>30</v>
      </c>
      <c r="E1222" s="19" t="s">
        <v>156</v>
      </c>
      <c r="F1222" s="20" t="n">
        <v>47155</v>
      </c>
      <c r="G1222" s="20" t="n">
        <v>195000</v>
      </c>
    </row>
    <row r="1223" customFormat="false" ht="15" hidden="false" customHeight="false" outlineLevel="0" collapsed="false">
      <c r="A1223" s="22" t="n">
        <v>46184</v>
      </c>
      <c r="B1223" s="19" t="s">
        <v>51</v>
      </c>
      <c r="C1223" s="19" t="s">
        <v>13</v>
      </c>
      <c r="D1223" s="19" t="s">
        <v>41</v>
      </c>
      <c r="E1223" s="19" t="s">
        <v>160</v>
      </c>
      <c r="F1223" s="20" t="n">
        <v>28478</v>
      </c>
      <c r="G1223" s="20" t="n">
        <v>0</v>
      </c>
    </row>
    <row r="1224" customFormat="false" ht="15" hidden="false" customHeight="false" outlineLevel="0" collapsed="false">
      <c r="A1224" s="22" t="n">
        <v>46185</v>
      </c>
      <c r="B1224" s="19" t="s">
        <v>51</v>
      </c>
      <c r="C1224" s="19" t="s">
        <v>12</v>
      </c>
      <c r="D1224" s="19" t="s">
        <v>35</v>
      </c>
      <c r="E1224" s="19" t="s">
        <v>122</v>
      </c>
      <c r="F1224" s="20" t="n">
        <v>114896</v>
      </c>
      <c r="G1224" s="20" t="n">
        <v>398000</v>
      </c>
    </row>
    <row r="1225" customFormat="false" ht="15" hidden="false" customHeight="false" outlineLevel="0" collapsed="false">
      <c r="A1225" s="22" t="n">
        <v>46185</v>
      </c>
      <c r="B1225" s="19" t="s">
        <v>51</v>
      </c>
      <c r="C1225" s="19" t="s">
        <v>14</v>
      </c>
      <c r="D1225" s="19" t="s">
        <v>40</v>
      </c>
      <c r="E1225" s="19" t="s">
        <v>147</v>
      </c>
      <c r="F1225" s="20" t="n">
        <v>226305</v>
      </c>
      <c r="G1225" s="20" t="n">
        <v>1038500</v>
      </c>
    </row>
    <row r="1226" customFormat="false" ht="15" hidden="false" customHeight="false" outlineLevel="0" collapsed="false">
      <c r="A1226" s="22" t="n">
        <v>46185</v>
      </c>
      <c r="B1226" s="19" t="s">
        <v>51</v>
      </c>
      <c r="C1226" s="19" t="s">
        <v>12</v>
      </c>
      <c r="D1226" s="19" t="s">
        <v>37</v>
      </c>
      <c r="E1226" s="19" t="s">
        <v>151</v>
      </c>
      <c r="F1226" s="20" t="n">
        <v>206000</v>
      </c>
      <c r="G1226" s="20" t="n">
        <v>389000</v>
      </c>
    </row>
    <row r="1227" customFormat="false" ht="15" hidden="false" customHeight="false" outlineLevel="0" collapsed="false">
      <c r="A1227" s="22" t="n">
        <v>46185</v>
      </c>
      <c r="B1227" s="19" t="s">
        <v>51</v>
      </c>
      <c r="C1227" s="19" t="s">
        <v>13</v>
      </c>
      <c r="D1227" s="19" t="s">
        <v>42</v>
      </c>
      <c r="E1227" s="19" t="s">
        <v>163</v>
      </c>
      <c r="F1227" s="20" t="n">
        <v>603581</v>
      </c>
      <c r="G1227" s="20" t="n">
        <v>3063500</v>
      </c>
    </row>
    <row r="1228" customFormat="false" ht="15" hidden="false" customHeight="false" outlineLevel="0" collapsed="false">
      <c r="A1228" s="22" t="n">
        <v>46185</v>
      </c>
      <c r="B1228" s="19" t="s">
        <v>51</v>
      </c>
      <c r="C1228" s="19" t="s">
        <v>12</v>
      </c>
      <c r="D1228" s="19" t="s">
        <v>37</v>
      </c>
      <c r="E1228" s="19" t="s">
        <v>158</v>
      </c>
      <c r="F1228" s="20" t="n">
        <v>63086</v>
      </c>
      <c r="G1228" s="20" t="n">
        <v>142000</v>
      </c>
    </row>
    <row r="1229" customFormat="false" ht="15" hidden="false" customHeight="false" outlineLevel="0" collapsed="false">
      <c r="A1229" s="22" t="n">
        <v>46185</v>
      </c>
      <c r="B1229" s="19" t="s">
        <v>51</v>
      </c>
      <c r="C1229" s="19" t="s">
        <v>12</v>
      </c>
      <c r="D1229" s="19" t="s">
        <v>30</v>
      </c>
      <c r="E1229" s="19" t="s">
        <v>156</v>
      </c>
      <c r="F1229" s="20" t="n">
        <v>119134</v>
      </c>
      <c r="G1229" s="20" t="n">
        <v>607600</v>
      </c>
    </row>
    <row r="1230" customFormat="false" ht="15" hidden="false" customHeight="false" outlineLevel="0" collapsed="false">
      <c r="A1230" s="22" t="n">
        <v>46185</v>
      </c>
      <c r="B1230" s="19" t="s">
        <v>51</v>
      </c>
      <c r="C1230" s="19" t="s">
        <v>12</v>
      </c>
      <c r="D1230" s="19" t="s">
        <v>34</v>
      </c>
      <c r="E1230" s="19" t="s">
        <v>162</v>
      </c>
      <c r="F1230" s="20" t="n">
        <v>44868</v>
      </c>
      <c r="G1230" s="20" t="n">
        <v>130000</v>
      </c>
    </row>
    <row r="1231" customFormat="false" ht="15" hidden="false" customHeight="false" outlineLevel="0" collapsed="false">
      <c r="A1231" s="22" t="n">
        <v>46185</v>
      </c>
      <c r="B1231" s="19" t="s">
        <v>51</v>
      </c>
      <c r="C1231" s="19" t="s">
        <v>12</v>
      </c>
      <c r="D1231" s="19" t="s">
        <v>33</v>
      </c>
      <c r="E1231" s="19" t="s">
        <v>159</v>
      </c>
      <c r="F1231" s="20" t="n">
        <v>44672</v>
      </c>
      <c r="G1231" s="20" t="n">
        <v>212000</v>
      </c>
    </row>
    <row r="1232" customFormat="false" ht="15" hidden="false" customHeight="false" outlineLevel="0" collapsed="false">
      <c r="A1232" s="22" t="n">
        <v>46185</v>
      </c>
      <c r="B1232" s="19" t="s">
        <v>51</v>
      </c>
      <c r="C1232" s="19" t="s">
        <v>12</v>
      </c>
      <c r="D1232" s="19" t="s">
        <v>32</v>
      </c>
      <c r="E1232" s="19" t="s">
        <v>152</v>
      </c>
      <c r="F1232" s="20" t="n">
        <v>11320</v>
      </c>
      <c r="G1232" s="20" t="n">
        <v>213640</v>
      </c>
    </row>
    <row r="1233" customFormat="false" ht="15" hidden="false" customHeight="false" outlineLevel="0" collapsed="false">
      <c r="A1233" s="22" t="n">
        <v>46185</v>
      </c>
      <c r="B1233" s="19" t="s">
        <v>51</v>
      </c>
      <c r="C1233" s="19" t="s">
        <v>13</v>
      </c>
      <c r="D1233" s="19" t="s">
        <v>41</v>
      </c>
      <c r="E1233" s="19" t="s">
        <v>160</v>
      </c>
      <c r="F1233" s="20" t="n">
        <v>20203</v>
      </c>
      <c r="G1233" s="20" t="n">
        <v>0</v>
      </c>
    </row>
    <row r="1234" customFormat="false" ht="15" hidden="false" customHeight="false" outlineLevel="0" collapsed="false">
      <c r="A1234" s="22" t="n">
        <v>46186</v>
      </c>
      <c r="B1234" s="19" t="s">
        <v>51</v>
      </c>
      <c r="C1234" s="19" t="s">
        <v>12</v>
      </c>
      <c r="D1234" s="19" t="s">
        <v>35</v>
      </c>
      <c r="E1234" s="19" t="s">
        <v>122</v>
      </c>
      <c r="F1234" s="20" t="n">
        <v>42836</v>
      </c>
      <c r="G1234" s="20" t="n">
        <v>0</v>
      </c>
    </row>
    <row r="1235" customFormat="false" ht="15" hidden="false" customHeight="false" outlineLevel="0" collapsed="false">
      <c r="A1235" s="22" t="n">
        <v>46186</v>
      </c>
      <c r="B1235" s="19" t="s">
        <v>51</v>
      </c>
      <c r="C1235" s="19" t="s">
        <v>14</v>
      </c>
      <c r="D1235" s="19" t="s">
        <v>40</v>
      </c>
      <c r="E1235" s="19" t="s">
        <v>147</v>
      </c>
      <c r="F1235" s="20" t="n">
        <v>38002</v>
      </c>
      <c r="G1235" s="20" t="n">
        <v>252640</v>
      </c>
    </row>
    <row r="1236" customFormat="false" ht="15" hidden="false" customHeight="false" outlineLevel="0" collapsed="false">
      <c r="A1236" s="22" t="n">
        <v>46186</v>
      </c>
      <c r="B1236" s="19" t="s">
        <v>51</v>
      </c>
      <c r="C1236" s="19" t="s">
        <v>13</v>
      </c>
      <c r="D1236" s="19" t="s">
        <v>42</v>
      </c>
      <c r="E1236" s="19" t="s">
        <v>163</v>
      </c>
      <c r="F1236" s="20" t="n">
        <v>529966</v>
      </c>
      <c r="G1236" s="20" t="n">
        <v>2982620</v>
      </c>
    </row>
    <row r="1237" customFormat="false" ht="15" hidden="false" customHeight="false" outlineLevel="0" collapsed="false">
      <c r="A1237" s="22" t="n">
        <v>46186</v>
      </c>
      <c r="B1237" s="19" t="s">
        <v>51</v>
      </c>
      <c r="C1237" s="19" t="s">
        <v>12</v>
      </c>
      <c r="D1237" s="19" t="s">
        <v>37</v>
      </c>
      <c r="E1237" s="19" t="s">
        <v>151</v>
      </c>
      <c r="F1237" s="20" t="n">
        <v>42748</v>
      </c>
      <c r="G1237" s="20" t="n">
        <v>0</v>
      </c>
    </row>
    <row r="1238" customFormat="false" ht="15" hidden="false" customHeight="false" outlineLevel="0" collapsed="false">
      <c r="A1238" s="22" t="n">
        <v>46186</v>
      </c>
      <c r="B1238" s="19" t="s">
        <v>51</v>
      </c>
      <c r="C1238" s="19" t="s">
        <v>12</v>
      </c>
      <c r="D1238" s="19" t="s">
        <v>33</v>
      </c>
      <c r="E1238" s="19" t="s">
        <v>159</v>
      </c>
      <c r="F1238" s="20" t="n">
        <v>132891</v>
      </c>
      <c r="G1238" s="20" t="n">
        <v>623000</v>
      </c>
    </row>
    <row r="1239" customFormat="false" ht="15" hidden="false" customHeight="false" outlineLevel="0" collapsed="false">
      <c r="A1239" s="22" t="n">
        <v>46186</v>
      </c>
      <c r="B1239" s="19" t="s">
        <v>51</v>
      </c>
      <c r="C1239" s="19" t="s">
        <v>12</v>
      </c>
      <c r="D1239" s="19" t="s">
        <v>34</v>
      </c>
      <c r="E1239" s="19" t="s">
        <v>162</v>
      </c>
      <c r="F1239" s="20" t="n">
        <v>107103</v>
      </c>
      <c r="G1239" s="20" t="n">
        <v>560800</v>
      </c>
    </row>
    <row r="1240" customFormat="false" ht="15" hidden="false" customHeight="false" outlineLevel="0" collapsed="false">
      <c r="A1240" s="22" t="n">
        <v>46186</v>
      </c>
      <c r="B1240" s="19" t="s">
        <v>51</v>
      </c>
      <c r="C1240" s="19" t="s">
        <v>12</v>
      </c>
      <c r="D1240" s="19" t="s">
        <v>37</v>
      </c>
      <c r="E1240" s="19" t="s">
        <v>158</v>
      </c>
      <c r="F1240" s="20" t="n">
        <v>59995</v>
      </c>
      <c r="G1240" s="20" t="n">
        <v>390040</v>
      </c>
    </row>
    <row r="1241" customFormat="false" ht="15" hidden="false" customHeight="false" outlineLevel="0" collapsed="false">
      <c r="A1241" s="22" t="n">
        <v>46186</v>
      </c>
      <c r="B1241" s="19" t="s">
        <v>51</v>
      </c>
      <c r="C1241" s="19" t="s">
        <v>12</v>
      </c>
      <c r="D1241" s="19" t="s">
        <v>30</v>
      </c>
      <c r="E1241" s="19" t="s">
        <v>156</v>
      </c>
      <c r="F1241" s="20" t="n">
        <v>105724</v>
      </c>
      <c r="G1241" s="20" t="n">
        <v>480200</v>
      </c>
    </row>
    <row r="1242" customFormat="false" ht="15" hidden="false" customHeight="false" outlineLevel="0" collapsed="false">
      <c r="A1242" s="22" t="n">
        <v>46186</v>
      </c>
      <c r="B1242" s="19" t="s">
        <v>51</v>
      </c>
      <c r="C1242" s="19" t="s">
        <v>13</v>
      </c>
      <c r="D1242" s="19" t="s">
        <v>41</v>
      </c>
      <c r="E1242" s="19" t="s">
        <v>160</v>
      </c>
      <c r="F1242" s="20" t="n">
        <v>52404</v>
      </c>
      <c r="G1242" s="20" t="n">
        <v>675000</v>
      </c>
    </row>
    <row r="1243" customFormat="false" ht="15" hidden="false" customHeight="false" outlineLevel="0" collapsed="false">
      <c r="A1243" s="22" t="n">
        <v>46187</v>
      </c>
      <c r="B1243" s="19" t="s">
        <v>51</v>
      </c>
      <c r="C1243" s="19" t="s">
        <v>14</v>
      </c>
      <c r="D1243" s="19" t="s">
        <v>40</v>
      </c>
      <c r="E1243" s="19" t="s">
        <v>147</v>
      </c>
      <c r="F1243" s="20" t="n">
        <v>158718</v>
      </c>
      <c r="G1243" s="20" t="n">
        <v>651920</v>
      </c>
    </row>
    <row r="1244" customFormat="false" ht="15" hidden="false" customHeight="false" outlineLevel="0" collapsed="false">
      <c r="A1244" s="22" t="n">
        <v>46187</v>
      </c>
      <c r="B1244" s="19" t="s">
        <v>51</v>
      </c>
      <c r="C1244" s="19" t="s">
        <v>12</v>
      </c>
      <c r="D1244" s="19" t="s">
        <v>35</v>
      </c>
      <c r="E1244" s="19" t="s">
        <v>122</v>
      </c>
      <c r="F1244" s="20" t="n">
        <v>51574</v>
      </c>
      <c r="G1244" s="20" t="n">
        <v>199000</v>
      </c>
    </row>
    <row r="1245" customFormat="false" ht="15" hidden="false" customHeight="false" outlineLevel="0" collapsed="false">
      <c r="A1245" s="22" t="n">
        <v>46187</v>
      </c>
      <c r="B1245" s="19" t="s">
        <v>51</v>
      </c>
      <c r="C1245" s="19" t="s">
        <v>13</v>
      </c>
      <c r="D1245" s="19" t="s">
        <v>42</v>
      </c>
      <c r="E1245" s="19" t="s">
        <v>163</v>
      </c>
      <c r="F1245" s="20" t="n">
        <v>649125</v>
      </c>
      <c r="G1245" s="20" t="n">
        <v>3218710</v>
      </c>
    </row>
    <row r="1246" customFormat="false" ht="15" hidden="false" customHeight="false" outlineLevel="0" collapsed="false">
      <c r="A1246" s="22" t="n">
        <v>46187</v>
      </c>
      <c r="B1246" s="19" t="s">
        <v>51</v>
      </c>
      <c r="C1246" s="19" t="s">
        <v>13</v>
      </c>
      <c r="D1246" s="19" t="s">
        <v>41</v>
      </c>
      <c r="E1246" s="19" t="s">
        <v>160</v>
      </c>
      <c r="F1246" s="20" t="n">
        <v>415445</v>
      </c>
      <c r="G1246" s="20" t="n">
        <v>2222320</v>
      </c>
    </row>
    <row r="1247" customFormat="false" ht="15" hidden="false" customHeight="false" outlineLevel="0" collapsed="false">
      <c r="A1247" s="22" t="n">
        <v>46187</v>
      </c>
      <c r="B1247" s="19" t="s">
        <v>51</v>
      </c>
      <c r="C1247" s="19" t="s">
        <v>12</v>
      </c>
      <c r="D1247" s="19" t="s">
        <v>30</v>
      </c>
      <c r="E1247" s="19" t="s">
        <v>156</v>
      </c>
      <c r="F1247" s="20" t="n">
        <v>345902</v>
      </c>
      <c r="G1247" s="20" t="n">
        <v>1827300</v>
      </c>
    </row>
    <row r="1248" customFormat="false" ht="15" hidden="false" customHeight="false" outlineLevel="0" collapsed="false">
      <c r="A1248" s="22" t="n">
        <v>46187</v>
      </c>
      <c r="B1248" s="19" t="s">
        <v>51</v>
      </c>
      <c r="C1248" s="19" t="s">
        <v>12</v>
      </c>
      <c r="D1248" s="19" t="s">
        <v>33</v>
      </c>
      <c r="E1248" s="19" t="s">
        <v>159</v>
      </c>
      <c r="F1248" s="20" t="n">
        <v>152060</v>
      </c>
      <c r="G1248" s="20" t="n">
        <v>767120</v>
      </c>
    </row>
    <row r="1249" customFormat="false" ht="15" hidden="false" customHeight="false" outlineLevel="0" collapsed="false">
      <c r="A1249" s="22" t="n">
        <v>46187</v>
      </c>
      <c r="B1249" s="19" t="s">
        <v>51</v>
      </c>
      <c r="C1249" s="19" t="s">
        <v>12</v>
      </c>
      <c r="D1249" s="19" t="s">
        <v>37</v>
      </c>
      <c r="E1249" s="19" t="s">
        <v>151</v>
      </c>
      <c r="F1249" s="20" t="n">
        <v>34681</v>
      </c>
      <c r="G1249" s="20" t="n">
        <v>0</v>
      </c>
    </row>
    <row r="1250" customFormat="false" ht="15" hidden="false" customHeight="false" outlineLevel="0" collapsed="false">
      <c r="A1250" s="22" t="n">
        <v>46187</v>
      </c>
      <c r="B1250" s="19" t="s">
        <v>51</v>
      </c>
      <c r="C1250" s="19" t="s">
        <v>12</v>
      </c>
      <c r="D1250" s="19" t="s">
        <v>37</v>
      </c>
      <c r="E1250" s="19" t="s">
        <v>158</v>
      </c>
      <c r="F1250" s="20" t="n">
        <v>99558</v>
      </c>
      <c r="G1250" s="20" t="n">
        <v>782100</v>
      </c>
    </row>
    <row r="1251" customFormat="false" ht="15" hidden="false" customHeight="false" outlineLevel="0" collapsed="false">
      <c r="A1251" s="22" t="n">
        <v>46187</v>
      </c>
      <c r="B1251" s="19" t="s">
        <v>51</v>
      </c>
      <c r="C1251" s="19" t="s">
        <v>12</v>
      </c>
      <c r="D1251" s="19" t="s">
        <v>34</v>
      </c>
      <c r="E1251" s="19" t="s">
        <v>162</v>
      </c>
      <c r="F1251" s="20" t="n">
        <v>101962</v>
      </c>
      <c r="G1251" s="20" t="n">
        <v>465000</v>
      </c>
    </row>
    <row r="1252" customFormat="false" ht="15" hidden="false" customHeight="false" outlineLevel="0" collapsed="false">
      <c r="A1252" s="22" t="n">
        <v>46188</v>
      </c>
      <c r="B1252" s="19" t="s">
        <v>51</v>
      </c>
      <c r="C1252" s="19" t="s">
        <v>12</v>
      </c>
      <c r="D1252" s="19" t="s">
        <v>35</v>
      </c>
      <c r="E1252" s="19" t="s">
        <v>122</v>
      </c>
      <c r="F1252" s="20" t="n">
        <v>400000</v>
      </c>
      <c r="G1252" s="20" t="n">
        <v>1960200</v>
      </c>
    </row>
    <row r="1253" customFormat="false" ht="15" hidden="false" customHeight="false" outlineLevel="0" collapsed="false">
      <c r="A1253" s="22" t="n">
        <v>46188</v>
      </c>
      <c r="B1253" s="19" t="s">
        <v>51</v>
      </c>
      <c r="C1253" s="19" t="s">
        <v>13</v>
      </c>
      <c r="D1253" s="19" t="s">
        <v>42</v>
      </c>
      <c r="E1253" s="19" t="s">
        <v>166</v>
      </c>
      <c r="F1253" s="20" t="n">
        <v>499463</v>
      </c>
      <c r="G1253" s="20" t="n">
        <v>2536740</v>
      </c>
    </row>
    <row r="1254" customFormat="false" ht="15" hidden="false" customHeight="false" outlineLevel="0" collapsed="false">
      <c r="A1254" s="22" t="n">
        <v>46188</v>
      </c>
      <c r="B1254" s="19" t="s">
        <v>51</v>
      </c>
      <c r="C1254" s="19" t="s">
        <v>14</v>
      </c>
      <c r="D1254" s="19" t="s">
        <v>40</v>
      </c>
      <c r="E1254" s="19" t="s">
        <v>147</v>
      </c>
      <c r="F1254" s="20" t="n">
        <v>149040</v>
      </c>
      <c r="G1254" s="20" t="n">
        <v>618640</v>
      </c>
    </row>
    <row r="1255" customFormat="false" ht="15" hidden="false" customHeight="false" outlineLevel="0" collapsed="false">
      <c r="A1255" s="22" t="n">
        <v>46188</v>
      </c>
      <c r="B1255" s="19" t="s">
        <v>51</v>
      </c>
      <c r="C1255" s="19" t="s">
        <v>13</v>
      </c>
      <c r="D1255" s="19" t="s">
        <v>41</v>
      </c>
      <c r="E1255" s="19" t="s">
        <v>167</v>
      </c>
      <c r="F1255" s="20" t="n">
        <v>31048</v>
      </c>
      <c r="G1255" s="20" t="n">
        <v>195000</v>
      </c>
    </row>
    <row r="1256" customFormat="false" ht="15" hidden="false" customHeight="false" outlineLevel="0" collapsed="false">
      <c r="A1256" s="22" t="n">
        <v>46188</v>
      </c>
      <c r="B1256" s="19" t="s">
        <v>51</v>
      </c>
      <c r="C1256" s="19" t="s">
        <v>12</v>
      </c>
      <c r="D1256" s="19" t="s">
        <v>37</v>
      </c>
      <c r="E1256" s="19" t="s">
        <v>151</v>
      </c>
      <c r="F1256" s="20" t="n">
        <v>251561</v>
      </c>
      <c r="G1256" s="20" t="n">
        <v>1481780</v>
      </c>
    </row>
    <row r="1257" customFormat="false" ht="15" hidden="false" customHeight="false" outlineLevel="0" collapsed="false">
      <c r="A1257" s="22" t="n">
        <v>46188</v>
      </c>
      <c r="B1257" s="19" t="s">
        <v>51</v>
      </c>
      <c r="C1257" s="19" t="s">
        <v>12</v>
      </c>
      <c r="D1257" s="19" t="s">
        <v>34</v>
      </c>
      <c r="E1257" s="19" t="s">
        <v>162</v>
      </c>
      <c r="F1257" s="20" t="n">
        <v>225152</v>
      </c>
      <c r="G1257" s="20" t="n">
        <v>1000560</v>
      </c>
    </row>
    <row r="1258" customFormat="false" ht="15" hidden="false" customHeight="false" outlineLevel="0" collapsed="false">
      <c r="A1258" s="22" t="n">
        <v>46188</v>
      </c>
      <c r="B1258" s="19" t="s">
        <v>51</v>
      </c>
      <c r="C1258" s="19" t="s">
        <v>12</v>
      </c>
      <c r="D1258" s="19" t="s">
        <v>30</v>
      </c>
      <c r="E1258" s="19" t="s">
        <v>168</v>
      </c>
      <c r="F1258" s="20" t="n">
        <v>138331</v>
      </c>
      <c r="G1258" s="20" t="n">
        <v>1150000</v>
      </c>
    </row>
    <row r="1259" customFormat="false" ht="15" hidden="false" customHeight="false" outlineLevel="0" collapsed="false">
      <c r="A1259" s="22" t="n">
        <v>46188</v>
      </c>
      <c r="B1259" s="19" t="s">
        <v>51</v>
      </c>
      <c r="C1259" s="19" t="s">
        <v>13</v>
      </c>
      <c r="D1259" s="19" t="s">
        <v>42</v>
      </c>
      <c r="E1259" s="19" t="s">
        <v>163</v>
      </c>
      <c r="F1259" s="20" t="n">
        <v>102573</v>
      </c>
      <c r="G1259" s="20" t="n">
        <v>501740</v>
      </c>
    </row>
    <row r="1260" customFormat="false" ht="15" hidden="false" customHeight="false" outlineLevel="0" collapsed="false">
      <c r="A1260" s="22" t="n">
        <v>46188</v>
      </c>
      <c r="B1260" s="19" t="s">
        <v>51</v>
      </c>
      <c r="C1260" s="19" t="s">
        <v>12</v>
      </c>
      <c r="D1260" s="19" t="s">
        <v>33</v>
      </c>
      <c r="E1260" s="19" t="s">
        <v>159</v>
      </c>
      <c r="F1260" s="20" t="n">
        <v>64679</v>
      </c>
      <c r="G1260" s="20" t="n">
        <v>207760</v>
      </c>
    </row>
    <row r="1261" customFormat="false" ht="15" hidden="false" customHeight="false" outlineLevel="0" collapsed="false">
      <c r="A1261" s="22" t="n">
        <v>46188</v>
      </c>
      <c r="B1261" s="19" t="s">
        <v>51</v>
      </c>
      <c r="C1261" s="19" t="s">
        <v>13</v>
      </c>
      <c r="D1261" s="19" t="s">
        <v>41</v>
      </c>
      <c r="E1261" s="19" t="s">
        <v>160</v>
      </c>
      <c r="F1261" s="20" t="n">
        <v>69684</v>
      </c>
      <c r="G1261" s="20" t="n">
        <v>0</v>
      </c>
    </row>
    <row r="1262" customFormat="false" ht="15" hidden="false" customHeight="false" outlineLevel="0" collapsed="false">
      <c r="A1262" s="22" t="n">
        <v>46188</v>
      </c>
      <c r="B1262" s="19" t="s">
        <v>51</v>
      </c>
      <c r="C1262" s="19" t="s">
        <v>12</v>
      </c>
      <c r="D1262" s="19" t="s">
        <v>37</v>
      </c>
      <c r="E1262" s="19" t="s">
        <v>158</v>
      </c>
      <c r="F1262" s="20" t="n">
        <v>56928</v>
      </c>
      <c r="G1262" s="20" t="n">
        <v>0</v>
      </c>
    </row>
    <row r="1263" customFormat="false" ht="15" hidden="false" customHeight="false" outlineLevel="0" collapsed="false">
      <c r="A1263" s="22" t="n">
        <v>46188</v>
      </c>
      <c r="B1263" s="19" t="s">
        <v>51</v>
      </c>
      <c r="C1263" s="19" t="s">
        <v>12</v>
      </c>
      <c r="D1263" s="19" t="s">
        <v>30</v>
      </c>
      <c r="E1263" s="19" t="s">
        <v>156</v>
      </c>
      <c r="F1263" s="20" t="n">
        <v>94620</v>
      </c>
      <c r="G1263" s="20" t="n">
        <v>0</v>
      </c>
    </row>
    <row r="1264" customFormat="false" ht="15" hidden="false" customHeight="false" outlineLevel="0" collapsed="false">
      <c r="A1264" s="22" t="n">
        <v>46188</v>
      </c>
      <c r="B1264" s="19" t="s">
        <v>51</v>
      </c>
      <c r="C1264" s="19" t="s">
        <v>12</v>
      </c>
      <c r="D1264" s="19" t="s">
        <v>32</v>
      </c>
      <c r="E1264" s="19" t="s">
        <v>152</v>
      </c>
      <c r="F1264" s="20" t="n">
        <v>3033</v>
      </c>
      <c r="G1264" s="20" t="n">
        <v>0</v>
      </c>
    </row>
    <row r="1265" customFormat="false" ht="15" hidden="false" customHeight="false" outlineLevel="0" collapsed="false">
      <c r="A1265" s="22" t="n">
        <v>46189</v>
      </c>
      <c r="B1265" s="19" t="s">
        <v>51</v>
      </c>
      <c r="C1265" s="19" t="s">
        <v>12</v>
      </c>
      <c r="D1265" s="19" t="s">
        <v>35</v>
      </c>
      <c r="E1265" s="19" t="s">
        <v>122</v>
      </c>
      <c r="F1265" s="20" t="n">
        <v>367376</v>
      </c>
      <c r="G1265" s="20" t="n">
        <v>1698000</v>
      </c>
    </row>
    <row r="1266" customFormat="false" ht="15" hidden="false" customHeight="false" outlineLevel="0" collapsed="false">
      <c r="A1266" s="22" t="n">
        <v>46189</v>
      </c>
      <c r="B1266" s="19" t="s">
        <v>51</v>
      </c>
      <c r="C1266" s="19" t="s">
        <v>13</v>
      </c>
      <c r="D1266" s="19" t="s">
        <v>42</v>
      </c>
      <c r="E1266" s="19" t="s">
        <v>166</v>
      </c>
      <c r="F1266" s="20" t="n">
        <v>697709</v>
      </c>
      <c r="G1266" s="20" t="n">
        <v>3662532</v>
      </c>
    </row>
    <row r="1267" customFormat="false" ht="15" hidden="false" customHeight="false" outlineLevel="0" collapsed="false">
      <c r="A1267" s="22" t="n">
        <v>46189</v>
      </c>
      <c r="B1267" s="19" t="s">
        <v>51</v>
      </c>
      <c r="C1267" s="19" t="s">
        <v>13</v>
      </c>
      <c r="D1267" s="19" t="s">
        <v>41</v>
      </c>
      <c r="E1267" s="19" t="s">
        <v>167</v>
      </c>
      <c r="F1267" s="20" t="n">
        <v>199669</v>
      </c>
      <c r="G1267" s="20" t="n">
        <v>1567000</v>
      </c>
    </row>
    <row r="1268" customFormat="false" ht="15" hidden="false" customHeight="false" outlineLevel="0" collapsed="false">
      <c r="A1268" s="22" t="n">
        <v>46189</v>
      </c>
      <c r="B1268" s="19" t="s">
        <v>51</v>
      </c>
      <c r="C1268" s="19" t="s">
        <v>14</v>
      </c>
      <c r="D1268" s="19" t="s">
        <v>40</v>
      </c>
      <c r="E1268" s="19" t="s">
        <v>147</v>
      </c>
      <c r="F1268" s="20" t="n">
        <v>88947</v>
      </c>
      <c r="G1268" s="20" t="n">
        <v>482000</v>
      </c>
    </row>
    <row r="1269" customFormat="false" ht="15" hidden="false" customHeight="false" outlineLevel="0" collapsed="false">
      <c r="A1269" s="22" t="n">
        <v>46189</v>
      </c>
      <c r="B1269" s="19" t="s">
        <v>51</v>
      </c>
      <c r="C1269" s="19" t="s">
        <v>12</v>
      </c>
      <c r="D1269" s="19" t="s">
        <v>30</v>
      </c>
      <c r="E1269" s="19" t="s">
        <v>168</v>
      </c>
      <c r="F1269" s="20" t="n">
        <v>369288</v>
      </c>
      <c r="G1269" s="20" t="n">
        <v>1752500</v>
      </c>
    </row>
    <row r="1270" customFormat="false" ht="15" hidden="false" customHeight="false" outlineLevel="0" collapsed="false">
      <c r="A1270" s="22" t="n">
        <v>46189</v>
      </c>
      <c r="B1270" s="19" t="s">
        <v>51</v>
      </c>
      <c r="C1270" s="19" t="s">
        <v>12</v>
      </c>
      <c r="D1270" s="19" t="s">
        <v>34</v>
      </c>
      <c r="E1270" s="19" t="s">
        <v>162</v>
      </c>
      <c r="F1270" s="20" t="n">
        <v>188761</v>
      </c>
      <c r="G1270" s="20" t="n">
        <v>890000</v>
      </c>
    </row>
    <row r="1271" customFormat="false" ht="15" hidden="false" customHeight="false" outlineLevel="0" collapsed="false">
      <c r="A1271" s="22" t="n">
        <v>46190</v>
      </c>
      <c r="B1271" s="19" t="s">
        <v>51</v>
      </c>
      <c r="C1271" s="19" t="s">
        <v>12</v>
      </c>
      <c r="D1271" s="19" t="s">
        <v>35</v>
      </c>
      <c r="E1271" s="19" t="s">
        <v>122</v>
      </c>
      <c r="F1271" s="20" t="n">
        <v>364020</v>
      </c>
      <c r="G1271" s="20" t="n">
        <v>1393000</v>
      </c>
    </row>
    <row r="1272" customFormat="false" ht="15" hidden="false" customHeight="false" outlineLevel="0" collapsed="false">
      <c r="A1272" s="22" t="n">
        <v>46190</v>
      </c>
      <c r="B1272" s="19" t="s">
        <v>51</v>
      </c>
      <c r="C1272" s="19" t="s">
        <v>14</v>
      </c>
      <c r="D1272" s="19" t="s">
        <v>40</v>
      </c>
      <c r="E1272" s="19" t="s">
        <v>147</v>
      </c>
      <c r="F1272" s="20" t="n">
        <v>399448</v>
      </c>
      <c r="G1272" s="20" t="n">
        <v>1459260</v>
      </c>
    </row>
    <row r="1273" customFormat="false" ht="15" hidden="false" customHeight="false" outlineLevel="0" collapsed="false">
      <c r="A1273" s="22" t="n">
        <v>46190</v>
      </c>
      <c r="B1273" s="19" t="s">
        <v>51</v>
      </c>
      <c r="C1273" s="19" t="s">
        <v>13</v>
      </c>
      <c r="D1273" s="19" t="s">
        <v>42</v>
      </c>
      <c r="E1273" s="19" t="s">
        <v>166</v>
      </c>
      <c r="F1273" s="20" t="n">
        <v>319483</v>
      </c>
      <c r="G1273" s="20" t="n">
        <v>1468300</v>
      </c>
    </row>
    <row r="1274" customFormat="false" ht="15" hidden="false" customHeight="false" outlineLevel="0" collapsed="false">
      <c r="A1274" s="22" t="n">
        <v>46190</v>
      </c>
      <c r="B1274" s="19" t="s">
        <v>51</v>
      </c>
      <c r="C1274" s="19" t="s">
        <v>13</v>
      </c>
      <c r="D1274" s="19" t="s">
        <v>41</v>
      </c>
      <c r="E1274" s="19" t="s">
        <v>167</v>
      </c>
      <c r="F1274" s="20" t="n">
        <v>202763</v>
      </c>
      <c r="G1274" s="20" t="n">
        <v>997600</v>
      </c>
    </row>
    <row r="1275" customFormat="false" ht="15" hidden="false" customHeight="false" outlineLevel="0" collapsed="false">
      <c r="A1275" s="22" t="n">
        <v>46190</v>
      </c>
      <c r="B1275" s="19" t="s">
        <v>51</v>
      </c>
      <c r="C1275" s="19" t="s">
        <v>12</v>
      </c>
      <c r="D1275" s="19" t="s">
        <v>30</v>
      </c>
      <c r="E1275" s="19" t="s">
        <v>168</v>
      </c>
      <c r="F1275" s="20" t="n">
        <v>549256</v>
      </c>
      <c r="G1275" s="20" t="n">
        <v>2691100</v>
      </c>
    </row>
    <row r="1276" customFormat="false" ht="15" hidden="false" customHeight="false" outlineLevel="0" collapsed="false">
      <c r="A1276" s="22" t="n">
        <v>46190</v>
      </c>
      <c r="B1276" s="19" t="s">
        <v>51</v>
      </c>
      <c r="C1276" s="19" t="s">
        <v>12</v>
      </c>
      <c r="D1276" s="19" t="s">
        <v>34</v>
      </c>
      <c r="E1276" s="19" t="s">
        <v>162</v>
      </c>
      <c r="F1276" s="20" t="n">
        <v>43208</v>
      </c>
      <c r="G1276" s="20" t="n">
        <v>215000</v>
      </c>
    </row>
    <row r="1277" customFormat="false" ht="15" hidden="false" customHeight="false" outlineLevel="0" collapsed="false">
      <c r="A1277" s="22" t="n">
        <v>46191</v>
      </c>
      <c r="B1277" s="19" t="s">
        <v>51</v>
      </c>
      <c r="C1277" s="19" t="s">
        <v>12</v>
      </c>
      <c r="D1277" s="19" t="s">
        <v>35</v>
      </c>
      <c r="E1277" s="19" t="s">
        <v>122</v>
      </c>
      <c r="F1277" s="20" t="n">
        <v>450000</v>
      </c>
      <c r="G1277" s="20" t="n">
        <v>2198740</v>
      </c>
    </row>
    <row r="1278" customFormat="false" ht="15" hidden="false" customHeight="false" outlineLevel="0" collapsed="false">
      <c r="A1278" s="22" t="n">
        <v>46191</v>
      </c>
      <c r="B1278" s="19" t="s">
        <v>51</v>
      </c>
      <c r="C1278" s="19" t="s">
        <v>13</v>
      </c>
      <c r="D1278" s="19" t="s">
        <v>42</v>
      </c>
      <c r="E1278" s="19" t="s">
        <v>166</v>
      </c>
      <c r="F1278" s="20" t="n">
        <v>650000</v>
      </c>
      <c r="G1278" s="20" t="n">
        <v>4647897</v>
      </c>
    </row>
    <row r="1279" customFormat="false" ht="15" hidden="false" customHeight="false" outlineLevel="0" collapsed="false">
      <c r="A1279" s="22" t="n">
        <v>46191</v>
      </c>
      <c r="B1279" s="19" t="s">
        <v>51</v>
      </c>
      <c r="C1279" s="19" t="s">
        <v>14</v>
      </c>
      <c r="D1279" s="19" t="s">
        <v>40</v>
      </c>
      <c r="E1279" s="19" t="s">
        <v>147</v>
      </c>
      <c r="F1279" s="20" t="n">
        <v>160846</v>
      </c>
      <c r="G1279" s="20" t="n">
        <v>939000</v>
      </c>
    </row>
    <row r="1280" customFormat="false" ht="15" hidden="false" customHeight="false" outlineLevel="0" collapsed="false">
      <c r="A1280" s="22" t="n">
        <v>46191</v>
      </c>
      <c r="B1280" s="19" t="s">
        <v>51</v>
      </c>
      <c r="C1280" s="19" t="s">
        <v>13</v>
      </c>
      <c r="D1280" s="19" t="s">
        <v>41</v>
      </c>
      <c r="E1280" s="19" t="s">
        <v>167</v>
      </c>
      <c r="F1280" s="20" t="n">
        <v>100315</v>
      </c>
      <c r="G1280" s="20" t="n">
        <v>539000</v>
      </c>
    </row>
    <row r="1281" customFormat="false" ht="15" hidden="false" customHeight="false" outlineLevel="0" collapsed="false">
      <c r="A1281" s="22" t="n">
        <v>46191</v>
      </c>
      <c r="B1281" s="19" t="s">
        <v>51</v>
      </c>
      <c r="C1281" s="19" t="s">
        <v>12</v>
      </c>
      <c r="D1281" s="19" t="s">
        <v>30</v>
      </c>
      <c r="E1281" s="19" t="s">
        <v>169</v>
      </c>
      <c r="F1281" s="20" t="n">
        <v>33959</v>
      </c>
      <c r="G1281" s="20" t="n">
        <v>0</v>
      </c>
    </row>
    <row r="1282" customFormat="false" ht="15" hidden="false" customHeight="false" outlineLevel="0" collapsed="false">
      <c r="A1282" s="22" t="n">
        <v>46191</v>
      </c>
      <c r="B1282" s="19" t="s">
        <v>51</v>
      </c>
      <c r="C1282" s="19" t="s">
        <v>12</v>
      </c>
      <c r="D1282" s="19" t="s">
        <v>34</v>
      </c>
      <c r="E1282" s="19" t="s">
        <v>162</v>
      </c>
      <c r="F1282" s="20" t="n">
        <v>230572</v>
      </c>
      <c r="G1282" s="20" t="n">
        <v>1338500</v>
      </c>
    </row>
    <row r="1283" customFormat="false" ht="15" hidden="false" customHeight="false" outlineLevel="0" collapsed="false">
      <c r="A1283" s="22" t="n">
        <v>46191</v>
      </c>
      <c r="B1283" s="19" t="s">
        <v>51</v>
      </c>
      <c r="C1283" s="19" t="s">
        <v>12</v>
      </c>
      <c r="D1283" s="19" t="s">
        <v>30</v>
      </c>
      <c r="E1283" s="19" t="s">
        <v>168</v>
      </c>
      <c r="F1283" s="20" t="n">
        <v>120763</v>
      </c>
      <c r="G1283" s="20" t="n">
        <v>809089</v>
      </c>
    </row>
    <row r="1284" customFormat="false" ht="15" hidden="false" customHeight="false" outlineLevel="0" collapsed="false">
      <c r="A1284" s="22" t="n">
        <v>46192</v>
      </c>
      <c r="B1284" s="19" t="s">
        <v>51</v>
      </c>
      <c r="C1284" s="19" t="s">
        <v>12</v>
      </c>
      <c r="D1284" s="19" t="s">
        <v>35</v>
      </c>
      <c r="E1284" s="19" t="s">
        <v>122</v>
      </c>
      <c r="F1284" s="20" t="n">
        <v>121962</v>
      </c>
      <c r="G1284" s="20" t="n">
        <v>398000</v>
      </c>
    </row>
    <row r="1285" customFormat="false" ht="15" hidden="false" customHeight="false" outlineLevel="0" collapsed="false">
      <c r="A1285" s="22" t="n">
        <v>46192</v>
      </c>
      <c r="B1285" s="19" t="s">
        <v>51</v>
      </c>
      <c r="C1285" s="19" t="s">
        <v>13</v>
      </c>
      <c r="D1285" s="19" t="s">
        <v>42</v>
      </c>
      <c r="E1285" s="19" t="s">
        <v>166</v>
      </c>
      <c r="F1285" s="20" t="n">
        <v>140546</v>
      </c>
      <c r="G1285" s="20" t="n">
        <v>777500</v>
      </c>
    </row>
    <row r="1286" customFormat="false" ht="15" hidden="false" customHeight="false" outlineLevel="0" collapsed="false">
      <c r="A1286" s="22" t="n">
        <v>46192</v>
      </c>
      <c r="B1286" s="19" t="s">
        <v>51</v>
      </c>
      <c r="C1286" s="19" t="s">
        <v>12</v>
      </c>
      <c r="D1286" s="19" t="s">
        <v>34</v>
      </c>
      <c r="E1286" s="19" t="s">
        <v>162</v>
      </c>
      <c r="F1286" s="20" t="n">
        <v>51649</v>
      </c>
      <c r="G1286" s="20" t="n">
        <v>270000</v>
      </c>
    </row>
    <row r="1287" customFormat="false" ht="15" hidden="false" customHeight="false" outlineLevel="0" collapsed="false">
      <c r="A1287" s="22" t="n">
        <v>46192</v>
      </c>
      <c r="B1287" s="19" t="s">
        <v>51</v>
      </c>
      <c r="C1287" s="19" t="s">
        <v>14</v>
      </c>
      <c r="D1287" s="19" t="s">
        <v>40</v>
      </c>
      <c r="E1287" s="19" t="s">
        <v>147</v>
      </c>
      <c r="F1287" s="20" t="n">
        <v>13293</v>
      </c>
      <c r="G1287" s="20" t="n">
        <v>39000</v>
      </c>
    </row>
    <row r="1288" customFormat="false" ht="15" hidden="false" customHeight="false" outlineLevel="0" collapsed="false">
      <c r="A1288" s="22" t="n">
        <v>46192</v>
      </c>
      <c r="B1288" s="19" t="s">
        <v>51</v>
      </c>
      <c r="C1288" s="19" t="s">
        <v>12</v>
      </c>
      <c r="D1288" s="19" t="s">
        <v>30</v>
      </c>
      <c r="E1288" s="19" t="s">
        <v>169</v>
      </c>
      <c r="F1288" s="20" t="n">
        <v>9010</v>
      </c>
      <c r="G1288" s="20" t="n">
        <v>0</v>
      </c>
    </row>
    <row r="1289" customFormat="false" ht="15" hidden="false" customHeight="false" outlineLevel="0" collapsed="false">
      <c r="A1289" s="22" t="n">
        <v>46192</v>
      </c>
      <c r="B1289" s="19" t="s">
        <v>51</v>
      </c>
      <c r="C1289" s="19" t="s">
        <v>13</v>
      </c>
      <c r="D1289" s="19" t="s">
        <v>41</v>
      </c>
      <c r="E1289" s="19" t="s">
        <v>167</v>
      </c>
      <c r="F1289" s="20" t="n">
        <v>3996</v>
      </c>
      <c r="G1289" s="20" t="n">
        <v>0</v>
      </c>
    </row>
    <row r="1290" customFormat="false" ht="15" hidden="false" customHeight="false" outlineLevel="0" collapsed="false">
      <c r="A1290" s="22" t="n">
        <v>46193</v>
      </c>
      <c r="B1290" s="19" t="s">
        <v>51</v>
      </c>
      <c r="C1290" s="19" t="s">
        <v>12</v>
      </c>
      <c r="D1290" s="19" t="s">
        <v>35</v>
      </c>
      <c r="E1290" s="19" t="s">
        <v>122</v>
      </c>
      <c r="F1290" s="20" t="n">
        <v>600000</v>
      </c>
      <c r="G1290" s="20" t="n">
        <v>2770760</v>
      </c>
    </row>
    <row r="1291" customFormat="false" ht="15" hidden="false" customHeight="false" outlineLevel="0" collapsed="false">
      <c r="A1291" s="22" t="n">
        <v>46193</v>
      </c>
      <c r="B1291" s="19" t="s">
        <v>51</v>
      </c>
      <c r="C1291" s="19" t="s">
        <v>13</v>
      </c>
      <c r="D1291" s="19" t="s">
        <v>42</v>
      </c>
      <c r="E1291" s="19" t="s">
        <v>166</v>
      </c>
      <c r="F1291" s="20" t="n">
        <v>800000</v>
      </c>
      <c r="G1291" s="20" t="n">
        <v>4332060</v>
      </c>
    </row>
    <row r="1292" customFormat="false" ht="15" hidden="false" customHeight="false" outlineLevel="0" collapsed="false">
      <c r="A1292" s="22" t="n">
        <v>46193</v>
      </c>
      <c r="B1292" s="19" t="s">
        <v>51</v>
      </c>
      <c r="C1292" s="19" t="s">
        <v>14</v>
      </c>
      <c r="D1292" s="19" t="s">
        <v>40</v>
      </c>
      <c r="E1292" s="19" t="s">
        <v>147</v>
      </c>
      <c r="F1292" s="20" t="n">
        <v>105386</v>
      </c>
      <c r="G1292" s="20" t="n">
        <v>188000</v>
      </c>
    </row>
    <row r="1293" customFormat="false" ht="15" hidden="false" customHeight="false" outlineLevel="0" collapsed="false">
      <c r="A1293" s="22" t="n">
        <v>46193</v>
      </c>
      <c r="B1293" s="19" t="s">
        <v>51</v>
      </c>
      <c r="C1293" s="19" t="s">
        <v>13</v>
      </c>
      <c r="D1293" s="19" t="s">
        <v>41</v>
      </c>
      <c r="E1293" s="19" t="s">
        <v>167</v>
      </c>
      <c r="F1293" s="20" t="n">
        <v>42161</v>
      </c>
      <c r="G1293" s="20" t="n">
        <v>195000</v>
      </c>
    </row>
    <row r="1294" customFormat="false" ht="15" hidden="false" customHeight="false" outlineLevel="0" collapsed="false">
      <c r="A1294" s="22" t="n">
        <v>46193</v>
      </c>
      <c r="B1294" s="19" t="s">
        <v>51</v>
      </c>
      <c r="C1294" s="19" t="s">
        <v>12</v>
      </c>
      <c r="D1294" s="19" t="s">
        <v>30</v>
      </c>
      <c r="E1294" s="19" t="s">
        <v>169</v>
      </c>
      <c r="F1294" s="20" t="n">
        <v>86116</v>
      </c>
      <c r="G1294" s="20" t="n">
        <v>518000</v>
      </c>
    </row>
    <row r="1295" customFormat="false" ht="15" hidden="false" customHeight="false" outlineLevel="0" collapsed="false">
      <c r="A1295" s="22" t="n">
        <v>46193</v>
      </c>
      <c r="B1295" s="19" t="s">
        <v>51</v>
      </c>
      <c r="C1295" s="19" t="s">
        <v>12</v>
      </c>
      <c r="D1295" s="19" t="s">
        <v>34</v>
      </c>
      <c r="E1295" s="19" t="s">
        <v>162</v>
      </c>
      <c r="F1295" s="20" t="n">
        <v>123288</v>
      </c>
      <c r="G1295" s="20" t="n">
        <v>670000</v>
      </c>
    </row>
    <row r="1296" customFormat="false" ht="15" hidden="false" customHeight="false" outlineLevel="0" collapsed="false">
      <c r="A1296" s="22" t="n">
        <v>46194</v>
      </c>
      <c r="B1296" s="19" t="s">
        <v>51</v>
      </c>
      <c r="C1296" s="19" t="s">
        <v>12</v>
      </c>
      <c r="D1296" s="19" t="s">
        <v>35</v>
      </c>
      <c r="E1296" s="19" t="s">
        <v>122</v>
      </c>
      <c r="F1296" s="20" t="n">
        <v>436697</v>
      </c>
      <c r="G1296" s="20" t="n">
        <v>1194000</v>
      </c>
    </row>
    <row r="1297" customFormat="false" ht="15" hidden="false" customHeight="false" outlineLevel="0" collapsed="false">
      <c r="A1297" s="22" t="n">
        <v>46194</v>
      </c>
      <c r="B1297" s="19" t="s">
        <v>51</v>
      </c>
      <c r="C1297" s="19" t="s">
        <v>13</v>
      </c>
      <c r="D1297" s="19" t="s">
        <v>42</v>
      </c>
      <c r="E1297" s="19" t="s">
        <v>166</v>
      </c>
      <c r="F1297" s="20" t="n">
        <v>641439</v>
      </c>
      <c r="G1297" s="20" t="n">
        <v>2855562</v>
      </c>
    </row>
    <row r="1298" customFormat="false" ht="15" hidden="false" customHeight="false" outlineLevel="0" collapsed="false">
      <c r="A1298" s="22" t="n">
        <v>46194</v>
      </c>
      <c r="B1298" s="19" t="s">
        <v>51</v>
      </c>
      <c r="C1298" s="19" t="s">
        <v>12</v>
      </c>
      <c r="D1298" s="19" t="s">
        <v>30</v>
      </c>
      <c r="E1298" s="19" t="s">
        <v>169</v>
      </c>
      <c r="F1298" s="20" t="n">
        <v>399771</v>
      </c>
      <c r="G1298" s="20" t="n">
        <v>2495800</v>
      </c>
    </row>
    <row r="1299" customFormat="false" ht="15" hidden="false" customHeight="false" outlineLevel="0" collapsed="false">
      <c r="A1299" s="22" t="n">
        <v>46194</v>
      </c>
      <c r="B1299" s="19" t="s">
        <v>51</v>
      </c>
      <c r="C1299" s="19" t="s">
        <v>13</v>
      </c>
      <c r="D1299" s="19" t="s">
        <v>41</v>
      </c>
      <c r="E1299" s="19" t="s">
        <v>167</v>
      </c>
      <c r="F1299" s="20" t="n">
        <v>73163</v>
      </c>
      <c r="G1299" s="20" t="n">
        <v>382200</v>
      </c>
    </row>
    <row r="1300" customFormat="false" ht="15" hidden="false" customHeight="false" outlineLevel="0" collapsed="false">
      <c r="A1300" s="22" t="n">
        <v>46194</v>
      </c>
      <c r="B1300" s="19" t="s">
        <v>51</v>
      </c>
      <c r="C1300" s="19" t="s">
        <v>14</v>
      </c>
      <c r="D1300" s="19" t="s">
        <v>40</v>
      </c>
      <c r="E1300" s="19" t="s">
        <v>147</v>
      </c>
      <c r="F1300" s="20" t="n">
        <v>16515</v>
      </c>
      <c r="G1300" s="20" t="n">
        <v>0</v>
      </c>
    </row>
    <row r="1301" customFormat="false" ht="15" hidden="false" customHeight="false" outlineLevel="0" collapsed="false">
      <c r="A1301" s="22" t="n">
        <v>46194</v>
      </c>
      <c r="B1301" s="19" t="s">
        <v>51</v>
      </c>
      <c r="C1301" s="19" t="s">
        <v>12</v>
      </c>
      <c r="D1301" s="19" t="s">
        <v>34</v>
      </c>
      <c r="E1301" s="19" t="s">
        <v>162</v>
      </c>
      <c r="F1301" s="20" t="n">
        <v>129309</v>
      </c>
      <c r="G1301" s="20" t="n">
        <v>770000</v>
      </c>
    </row>
    <row r="1302" customFormat="false" ht="15" hidden="false" customHeight="false" outlineLevel="0" collapsed="false">
      <c r="A1302" s="22" t="n">
        <v>46195</v>
      </c>
      <c r="B1302" s="19" t="s">
        <v>51</v>
      </c>
      <c r="C1302" s="19" t="s">
        <v>13</v>
      </c>
      <c r="D1302" s="19" t="s">
        <v>42</v>
      </c>
      <c r="E1302" s="19" t="s">
        <v>166</v>
      </c>
      <c r="F1302" s="20" t="n">
        <v>672027</v>
      </c>
      <c r="G1302" s="20" t="n">
        <v>3931100</v>
      </c>
    </row>
    <row r="1303" customFormat="false" ht="15" hidden="false" customHeight="false" outlineLevel="0" collapsed="false">
      <c r="A1303" s="22" t="n">
        <v>46195</v>
      </c>
      <c r="B1303" s="19" t="s">
        <v>51</v>
      </c>
      <c r="C1303" s="19" t="s">
        <v>12</v>
      </c>
      <c r="D1303" s="19" t="s">
        <v>35</v>
      </c>
      <c r="E1303" s="19" t="s">
        <v>122</v>
      </c>
      <c r="F1303" s="20" t="n">
        <v>186590</v>
      </c>
      <c r="G1303" s="20" t="n">
        <v>1378000</v>
      </c>
    </row>
    <row r="1304" customFormat="false" ht="15" hidden="false" customHeight="false" outlineLevel="0" collapsed="false">
      <c r="A1304" s="22" t="n">
        <v>46195</v>
      </c>
      <c r="B1304" s="19" t="s">
        <v>51</v>
      </c>
      <c r="C1304" s="19" t="s">
        <v>13</v>
      </c>
      <c r="D1304" s="19" t="s">
        <v>41</v>
      </c>
      <c r="E1304" s="19" t="s">
        <v>167</v>
      </c>
      <c r="F1304" s="20" t="n">
        <v>250000</v>
      </c>
      <c r="G1304" s="20" t="n">
        <v>1727300</v>
      </c>
    </row>
    <row r="1305" customFormat="false" ht="15" hidden="false" customHeight="false" outlineLevel="0" collapsed="false">
      <c r="A1305" s="22" t="n">
        <v>46195</v>
      </c>
      <c r="B1305" s="19" t="s">
        <v>51</v>
      </c>
      <c r="C1305" s="19" t="s">
        <v>12</v>
      </c>
      <c r="D1305" s="19" t="s">
        <v>30</v>
      </c>
      <c r="E1305" s="19" t="s">
        <v>169</v>
      </c>
      <c r="F1305" s="20" t="n">
        <v>261355</v>
      </c>
      <c r="G1305" s="20" t="n">
        <v>1217300</v>
      </c>
    </row>
    <row r="1306" customFormat="false" ht="15" hidden="false" customHeight="false" outlineLevel="0" collapsed="false">
      <c r="A1306" s="22" t="n">
        <v>46195</v>
      </c>
      <c r="B1306" s="19" t="s">
        <v>51</v>
      </c>
      <c r="C1306" s="19" t="s">
        <v>14</v>
      </c>
      <c r="D1306" s="19" t="s">
        <v>40</v>
      </c>
      <c r="E1306" s="19" t="s">
        <v>147</v>
      </c>
      <c r="F1306" s="20" t="n">
        <v>54870</v>
      </c>
      <c r="G1306" s="20" t="n">
        <v>236000</v>
      </c>
    </row>
    <row r="1307" customFormat="false" ht="15" hidden="false" customHeight="false" outlineLevel="0" collapsed="false">
      <c r="A1307" s="22" t="n">
        <v>46195</v>
      </c>
      <c r="B1307" s="19" t="s">
        <v>51</v>
      </c>
      <c r="C1307" s="19" t="s">
        <v>12</v>
      </c>
      <c r="D1307" s="19" t="s">
        <v>34</v>
      </c>
      <c r="E1307" s="19" t="s">
        <v>162</v>
      </c>
      <c r="F1307" s="20" t="n">
        <v>227797</v>
      </c>
      <c r="G1307" s="20" t="n">
        <v>1281600</v>
      </c>
    </row>
    <row r="1308" customFormat="false" ht="15" hidden="false" customHeight="false" outlineLevel="0" collapsed="false">
      <c r="A1308" s="22" t="n">
        <v>46196</v>
      </c>
      <c r="B1308" s="19" t="s">
        <v>51</v>
      </c>
      <c r="C1308" s="19" t="s">
        <v>12</v>
      </c>
      <c r="D1308" s="19" t="s">
        <v>35</v>
      </c>
      <c r="E1308" s="19" t="s">
        <v>122</v>
      </c>
      <c r="F1308" s="20" t="n">
        <v>422249</v>
      </c>
      <c r="G1308" s="20" t="n">
        <v>2119000</v>
      </c>
    </row>
    <row r="1309" customFormat="false" ht="15" hidden="false" customHeight="false" outlineLevel="0" collapsed="false">
      <c r="A1309" s="22" t="n">
        <v>46196</v>
      </c>
      <c r="B1309" s="19" t="s">
        <v>51</v>
      </c>
      <c r="C1309" s="19" t="s">
        <v>13</v>
      </c>
      <c r="D1309" s="19" t="s">
        <v>42</v>
      </c>
      <c r="E1309" s="19" t="s">
        <v>166</v>
      </c>
      <c r="F1309" s="20" t="n">
        <v>471923</v>
      </c>
      <c r="G1309" s="20" t="n">
        <v>2447400</v>
      </c>
    </row>
    <row r="1310" customFormat="false" ht="15" hidden="false" customHeight="false" outlineLevel="0" collapsed="false">
      <c r="A1310" s="22" t="n">
        <v>46196</v>
      </c>
      <c r="B1310" s="19" t="s">
        <v>51</v>
      </c>
      <c r="C1310" s="19" t="s">
        <v>12</v>
      </c>
      <c r="D1310" s="19" t="s">
        <v>30</v>
      </c>
      <c r="E1310" s="19" t="s">
        <v>169</v>
      </c>
      <c r="F1310" s="20" t="n">
        <v>423670</v>
      </c>
      <c r="G1310" s="20" t="n">
        <v>2370800</v>
      </c>
    </row>
    <row r="1311" customFormat="false" ht="15" hidden="false" customHeight="false" outlineLevel="0" collapsed="false">
      <c r="A1311" s="22" t="n">
        <v>46196</v>
      </c>
      <c r="B1311" s="19" t="s">
        <v>51</v>
      </c>
      <c r="C1311" s="19" t="s">
        <v>13</v>
      </c>
      <c r="D1311" s="19" t="s">
        <v>41</v>
      </c>
      <c r="E1311" s="19" t="s">
        <v>167</v>
      </c>
      <c r="F1311" s="20" t="n">
        <v>188681</v>
      </c>
      <c r="G1311" s="20" t="n">
        <v>1035800</v>
      </c>
    </row>
    <row r="1312" customFormat="false" ht="15" hidden="false" customHeight="false" outlineLevel="0" collapsed="false">
      <c r="A1312" s="22" t="n">
        <v>46196</v>
      </c>
      <c r="B1312" s="19" t="s">
        <v>51</v>
      </c>
      <c r="C1312" s="19" t="s">
        <v>14</v>
      </c>
      <c r="D1312" s="19" t="s">
        <v>40</v>
      </c>
      <c r="E1312" s="19" t="s">
        <v>147</v>
      </c>
      <c r="F1312" s="20" t="n">
        <v>23171</v>
      </c>
      <c r="G1312" s="20" t="n">
        <v>117220</v>
      </c>
    </row>
    <row r="1313" customFormat="false" ht="15" hidden="false" customHeight="false" outlineLevel="0" collapsed="false">
      <c r="A1313" s="22" t="n">
        <v>46196</v>
      </c>
      <c r="B1313" s="19" t="s">
        <v>51</v>
      </c>
      <c r="C1313" s="19" t="s">
        <v>12</v>
      </c>
      <c r="D1313" s="19" t="s">
        <v>34</v>
      </c>
      <c r="E1313" s="19" t="s">
        <v>162</v>
      </c>
      <c r="F1313" s="20" t="n">
        <v>220905</v>
      </c>
      <c r="G1313" s="20" t="n">
        <v>1312000</v>
      </c>
    </row>
    <row r="1314" customFormat="false" ht="15" hidden="false" customHeight="false" outlineLevel="0" collapsed="false">
      <c r="A1314" s="22" t="n">
        <v>46197</v>
      </c>
      <c r="B1314" s="19" t="s">
        <v>51</v>
      </c>
      <c r="C1314" s="19" t="s">
        <v>12</v>
      </c>
      <c r="D1314" s="19" t="s">
        <v>35</v>
      </c>
      <c r="E1314" s="19" t="s">
        <v>122</v>
      </c>
      <c r="F1314" s="20" t="n">
        <v>200000</v>
      </c>
      <c r="G1314" s="20" t="n">
        <v>573000</v>
      </c>
    </row>
    <row r="1315" customFormat="false" ht="15" hidden="false" customHeight="false" outlineLevel="0" collapsed="false">
      <c r="A1315" s="22" t="n">
        <v>46197</v>
      </c>
      <c r="B1315" s="19" t="s">
        <v>51</v>
      </c>
      <c r="C1315" s="19" t="s">
        <v>13</v>
      </c>
      <c r="D1315" s="19" t="s">
        <v>42</v>
      </c>
      <c r="E1315" s="19" t="s">
        <v>166</v>
      </c>
      <c r="F1315" s="20" t="n">
        <v>445840</v>
      </c>
      <c r="G1315" s="20" t="n">
        <v>2829000</v>
      </c>
    </row>
    <row r="1316" customFormat="false" ht="15" hidden="false" customHeight="false" outlineLevel="0" collapsed="false">
      <c r="A1316" s="22" t="n">
        <v>46197</v>
      </c>
      <c r="B1316" s="19" t="s">
        <v>51</v>
      </c>
      <c r="C1316" s="19" t="s">
        <v>12</v>
      </c>
      <c r="D1316" s="19" t="s">
        <v>30</v>
      </c>
      <c r="E1316" s="19" t="s">
        <v>169</v>
      </c>
      <c r="F1316" s="20" t="n">
        <v>448688</v>
      </c>
      <c r="G1316" s="20" t="n">
        <v>2501740</v>
      </c>
    </row>
    <row r="1317" customFormat="false" ht="15" hidden="false" customHeight="false" outlineLevel="0" collapsed="false">
      <c r="A1317" s="22" t="n">
        <v>46197</v>
      </c>
      <c r="B1317" s="19" t="s">
        <v>51</v>
      </c>
      <c r="C1317" s="19" t="s">
        <v>14</v>
      </c>
      <c r="D1317" s="19" t="s">
        <v>40</v>
      </c>
      <c r="E1317" s="19" t="s">
        <v>147</v>
      </c>
      <c r="F1317" s="20" t="n">
        <v>153027</v>
      </c>
      <c r="G1317" s="20" t="n">
        <v>794060</v>
      </c>
    </row>
    <row r="1318" customFormat="false" ht="15" hidden="false" customHeight="false" outlineLevel="0" collapsed="false">
      <c r="A1318" s="22" t="n">
        <v>46197</v>
      </c>
      <c r="B1318" s="19" t="s">
        <v>51</v>
      </c>
      <c r="C1318" s="19" t="s">
        <v>13</v>
      </c>
      <c r="D1318" s="19" t="s">
        <v>41</v>
      </c>
      <c r="E1318" s="19" t="s">
        <v>167</v>
      </c>
      <c r="F1318" s="20" t="n">
        <v>157213</v>
      </c>
      <c r="G1318" s="20" t="n">
        <v>869000</v>
      </c>
    </row>
    <row r="1319" customFormat="false" ht="15" hidden="false" customHeight="false" outlineLevel="0" collapsed="false">
      <c r="A1319" s="22" t="n">
        <v>46197</v>
      </c>
      <c r="B1319" s="19" t="s">
        <v>51</v>
      </c>
      <c r="C1319" s="19" t="s">
        <v>12</v>
      </c>
      <c r="D1319" s="19" t="s">
        <v>34</v>
      </c>
      <c r="E1319" s="19" t="s">
        <v>162</v>
      </c>
      <c r="F1319" s="20" t="n">
        <v>46953</v>
      </c>
      <c r="G1319" s="20" t="n">
        <v>215000</v>
      </c>
    </row>
    <row r="1320" customFormat="false" ht="15" hidden="false" customHeight="false" outlineLevel="0" collapsed="false">
      <c r="A1320" s="22" t="n">
        <v>46198</v>
      </c>
      <c r="B1320" s="19" t="s">
        <v>51</v>
      </c>
      <c r="C1320" s="19" t="s">
        <v>12</v>
      </c>
      <c r="D1320" s="19" t="s">
        <v>35</v>
      </c>
      <c r="E1320" s="19" t="s">
        <v>122</v>
      </c>
      <c r="F1320" s="20" t="n">
        <v>450000</v>
      </c>
      <c r="G1320" s="20" t="n">
        <v>2786000</v>
      </c>
    </row>
    <row r="1321" customFormat="false" ht="15" hidden="false" customHeight="false" outlineLevel="0" collapsed="false">
      <c r="A1321" s="22" t="n">
        <v>46198</v>
      </c>
      <c r="B1321" s="19" t="s">
        <v>51</v>
      </c>
      <c r="C1321" s="19" t="s">
        <v>13</v>
      </c>
      <c r="D1321" s="19" t="s">
        <v>42</v>
      </c>
      <c r="E1321" s="19" t="s">
        <v>166</v>
      </c>
      <c r="F1321" s="20" t="n">
        <v>826154</v>
      </c>
      <c r="G1321" s="20" t="n">
        <v>4102180</v>
      </c>
    </row>
    <row r="1322" customFormat="false" ht="15" hidden="false" customHeight="false" outlineLevel="0" collapsed="false">
      <c r="A1322" s="22" t="n">
        <v>46198</v>
      </c>
      <c r="B1322" s="19" t="s">
        <v>51</v>
      </c>
      <c r="C1322" s="19" t="s">
        <v>13</v>
      </c>
      <c r="D1322" s="19" t="s">
        <v>41</v>
      </c>
      <c r="E1322" s="19" t="s">
        <v>167</v>
      </c>
      <c r="F1322" s="20" t="n">
        <v>632119</v>
      </c>
      <c r="G1322" s="20" t="n">
        <v>3505100</v>
      </c>
    </row>
    <row r="1323" customFormat="false" ht="15" hidden="false" customHeight="false" outlineLevel="0" collapsed="false">
      <c r="A1323" s="22" t="n">
        <v>46198</v>
      </c>
      <c r="B1323" s="19" t="s">
        <v>51</v>
      </c>
      <c r="C1323" s="19" t="s">
        <v>12</v>
      </c>
      <c r="D1323" s="19" t="s">
        <v>30</v>
      </c>
      <c r="E1323" s="19" t="s">
        <v>169</v>
      </c>
      <c r="F1323" s="20" t="n">
        <v>262051</v>
      </c>
      <c r="G1323" s="20" t="n">
        <v>1046200</v>
      </c>
    </row>
    <row r="1324" customFormat="false" ht="15" hidden="false" customHeight="false" outlineLevel="0" collapsed="false">
      <c r="A1324" s="22" t="n">
        <v>46198</v>
      </c>
      <c r="B1324" s="19" t="s">
        <v>51</v>
      </c>
      <c r="C1324" s="19" t="s">
        <v>14</v>
      </c>
      <c r="D1324" s="19" t="s">
        <v>40</v>
      </c>
      <c r="E1324" s="19" t="s">
        <v>147</v>
      </c>
      <c r="F1324" s="20" t="n">
        <v>89597</v>
      </c>
      <c r="G1324" s="20" t="n">
        <v>356000</v>
      </c>
    </row>
    <row r="1325" customFormat="false" ht="15" hidden="false" customHeight="false" outlineLevel="0" collapsed="false">
      <c r="A1325" s="22" t="n">
        <v>46198</v>
      </c>
      <c r="B1325" s="19" t="s">
        <v>51</v>
      </c>
      <c r="C1325" s="19" t="s">
        <v>12</v>
      </c>
      <c r="D1325" s="19" t="s">
        <v>34</v>
      </c>
      <c r="E1325" s="19" t="s">
        <v>162</v>
      </c>
      <c r="F1325" s="20" t="n">
        <v>86031</v>
      </c>
      <c r="G1325" s="20" t="n">
        <v>130000</v>
      </c>
    </row>
    <row r="1326" customFormat="false" ht="15" hidden="false" customHeight="false" outlineLevel="0" collapsed="false">
      <c r="A1326" s="22" t="n">
        <v>46199</v>
      </c>
      <c r="B1326" s="19" t="s">
        <v>51</v>
      </c>
      <c r="C1326" s="19" t="s">
        <v>12</v>
      </c>
      <c r="D1326" s="19" t="s">
        <v>35</v>
      </c>
      <c r="E1326" s="19" t="s">
        <v>122</v>
      </c>
      <c r="F1326" s="20" t="n">
        <v>500000</v>
      </c>
      <c r="G1326" s="20" t="n">
        <v>2507500</v>
      </c>
    </row>
    <row r="1327" customFormat="false" ht="15" hidden="false" customHeight="false" outlineLevel="0" collapsed="false">
      <c r="A1327" s="22" t="n">
        <v>46199</v>
      </c>
      <c r="B1327" s="19" t="s">
        <v>51</v>
      </c>
      <c r="C1327" s="19" t="s">
        <v>13</v>
      </c>
      <c r="D1327" s="19" t="s">
        <v>42</v>
      </c>
      <c r="E1327" s="19" t="s">
        <v>166</v>
      </c>
      <c r="F1327" s="20" t="n">
        <v>775399</v>
      </c>
      <c r="G1327" s="20" t="n">
        <v>4182500</v>
      </c>
    </row>
    <row r="1328" customFormat="false" ht="15" hidden="false" customHeight="false" outlineLevel="0" collapsed="false">
      <c r="A1328" s="22" t="n">
        <v>46199</v>
      </c>
      <c r="B1328" s="19" t="s">
        <v>51</v>
      </c>
      <c r="C1328" s="19" t="s">
        <v>12</v>
      </c>
      <c r="D1328" s="19" t="s">
        <v>30</v>
      </c>
      <c r="E1328" s="19" t="s">
        <v>169</v>
      </c>
      <c r="F1328" s="20" t="n">
        <v>351419</v>
      </c>
      <c r="G1328" s="20" t="n">
        <v>2085800</v>
      </c>
    </row>
    <row r="1329" customFormat="false" ht="15" hidden="false" customHeight="false" outlineLevel="0" collapsed="false">
      <c r="A1329" s="22" t="n">
        <v>46199</v>
      </c>
      <c r="B1329" s="19" t="s">
        <v>51</v>
      </c>
      <c r="C1329" s="19" t="s">
        <v>13</v>
      </c>
      <c r="D1329" s="19" t="s">
        <v>41</v>
      </c>
      <c r="E1329" s="19" t="s">
        <v>167</v>
      </c>
      <c r="F1329" s="20" t="n">
        <v>191665</v>
      </c>
      <c r="G1329" s="20" t="n">
        <v>983100</v>
      </c>
    </row>
    <row r="1330" customFormat="false" ht="15" hidden="false" customHeight="false" outlineLevel="0" collapsed="false">
      <c r="A1330" s="22" t="n">
        <v>46199</v>
      </c>
      <c r="B1330" s="19" t="s">
        <v>51</v>
      </c>
      <c r="C1330" s="19" t="s">
        <v>12</v>
      </c>
      <c r="D1330" s="19" t="s">
        <v>34</v>
      </c>
      <c r="E1330" s="19" t="s">
        <v>162</v>
      </c>
      <c r="F1330" s="20" t="n">
        <v>47803</v>
      </c>
      <c r="G1330" s="20" t="n">
        <v>199000</v>
      </c>
    </row>
    <row r="1331" customFormat="false" ht="15" hidden="false" customHeight="false" outlineLevel="0" collapsed="false">
      <c r="A1331" s="22" t="n">
        <v>46199</v>
      </c>
      <c r="B1331" s="19" t="s">
        <v>51</v>
      </c>
      <c r="C1331" s="19" t="s">
        <v>14</v>
      </c>
      <c r="D1331" s="19" t="s">
        <v>40</v>
      </c>
      <c r="E1331" s="19" t="s">
        <v>147</v>
      </c>
      <c r="F1331" s="20" t="n">
        <v>15156</v>
      </c>
      <c r="G1331" s="20" t="n">
        <v>0</v>
      </c>
    </row>
    <row r="1332" customFormat="false" ht="15" hidden="false" customHeight="false" outlineLevel="0" collapsed="false">
      <c r="A1332" s="22" t="n">
        <v>46200</v>
      </c>
      <c r="B1332" s="19" t="s">
        <v>51</v>
      </c>
      <c r="C1332" s="19" t="s">
        <v>12</v>
      </c>
      <c r="D1332" s="19" t="s">
        <v>35</v>
      </c>
      <c r="E1332" s="19" t="s">
        <v>122</v>
      </c>
      <c r="F1332" s="20" t="n">
        <v>500000</v>
      </c>
      <c r="G1332" s="20" t="n">
        <v>1698000</v>
      </c>
    </row>
    <row r="1333" customFormat="false" ht="15" hidden="false" customHeight="false" outlineLevel="0" collapsed="false">
      <c r="A1333" s="22" t="n">
        <v>46200</v>
      </c>
      <c r="B1333" s="19" t="s">
        <v>51</v>
      </c>
      <c r="C1333" s="19" t="s">
        <v>12</v>
      </c>
      <c r="D1333" s="19" t="s">
        <v>34</v>
      </c>
      <c r="E1333" s="19" t="s">
        <v>162</v>
      </c>
      <c r="F1333" s="20" t="n">
        <v>98346</v>
      </c>
      <c r="G1333" s="20" t="n">
        <v>556744</v>
      </c>
    </row>
    <row r="1334" customFormat="false" ht="15" hidden="false" customHeight="false" outlineLevel="0" collapsed="false">
      <c r="A1334" s="22" t="n">
        <v>46200</v>
      </c>
      <c r="B1334" s="19" t="s">
        <v>51</v>
      </c>
      <c r="C1334" s="19" t="s">
        <v>12</v>
      </c>
      <c r="D1334" s="19" t="s">
        <v>30</v>
      </c>
      <c r="E1334" s="19" t="s">
        <v>169</v>
      </c>
      <c r="F1334" s="20" t="n">
        <v>93499</v>
      </c>
      <c r="G1334" s="20" t="n">
        <v>405300</v>
      </c>
    </row>
    <row r="1335" customFormat="false" ht="15" hidden="false" customHeight="false" outlineLevel="0" collapsed="false">
      <c r="A1335" s="22" t="n">
        <v>46200</v>
      </c>
      <c r="B1335" s="19" t="s">
        <v>51</v>
      </c>
      <c r="C1335" s="19" t="s">
        <v>13</v>
      </c>
      <c r="D1335" s="19" t="s">
        <v>41</v>
      </c>
      <c r="E1335" s="19" t="s">
        <v>167</v>
      </c>
      <c r="F1335" s="20" t="n">
        <v>78736</v>
      </c>
      <c r="G1335" s="20" t="n">
        <v>390000</v>
      </c>
    </row>
    <row r="1336" customFormat="false" ht="15" hidden="false" customHeight="false" outlineLevel="0" collapsed="false">
      <c r="A1336" s="22" t="n">
        <v>46200</v>
      </c>
      <c r="B1336" s="19" t="s">
        <v>51</v>
      </c>
      <c r="C1336" s="19" t="s">
        <v>14</v>
      </c>
      <c r="D1336" s="19" t="s">
        <v>40</v>
      </c>
      <c r="E1336" s="19" t="s">
        <v>147</v>
      </c>
      <c r="F1336" s="20" t="n">
        <v>16835</v>
      </c>
      <c r="G1336" s="20" t="n">
        <v>0</v>
      </c>
    </row>
    <row r="1337" customFormat="false" ht="15" hidden="false" customHeight="false" outlineLevel="0" collapsed="false">
      <c r="A1337" s="22" t="n">
        <v>46200</v>
      </c>
      <c r="B1337" s="19" t="s">
        <v>51</v>
      </c>
      <c r="C1337" s="19" t="s">
        <v>13</v>
      </c>
      <c r="D1337" s="19" t="s">
        <v>42</v>
      </c>
      <c r="E1337" s="19" t="s">
        <v>166</v>
      </c>
      <c r="F1337" s="20" t="n">
        <v>699391</v>
      </c>
      <c r="G1337" s="20" t="n">
        <v>3775300</v>
      </c>
    </row>
    <row r="1338" customFormat="false" ht="15" hidden="false" customHeight="false" outlineLevel="0" collapsed="false">
      <c r="A1338" s="22" t="n">
        <v>46201</v>
      </c>
      <c r="B1338" s="19" t="s">
        <v>51</v>
      </c>
      <c r="C1338" s="19" t="s">
        <v>12</v>
      </c>
      <c r="D1338" s="19" t="s">
        <v>35</v>
      </c>
      <c r="E1338" s="19" t="s">
        <v>122</v>
      </c>
      <c r="F1338" s="20" t="n">
        <v>135618</v>
      </c>
      <c r="G1338" s="20" t="n">
        <v>597000</v>
      </c>
    </row>
    <row r="1339" customFormat="false" ht="15" hidden="false" customHeight="false" outlineLevel="0" collapsed="false">
      <c r="A1339" s="22" t="n">
        <v>46201</v>
      </c>
      <c r="B1339" s="19" t="s">
        <v>51</v>
      </c>
      <c r="C1339" s="19" t="s">
        <v>13</v>
      </c>
      <c r="D1339" s="19" t="s">
        <v>42</v>
      </c>
      <c r="E1339" s="19" t="s">
        <v>166</v>
      </c>
      <c r="F1339" s="20" t="n">
        <v>143411</v>
      </c>
      <c r="G1339" s="20" t="n">
        <v>383000</v>
      </c>
    </row>
    <row r="1340" customFormat="false" ht="15" hidden="false" customHeight="false" outlineLevel="0" collapsed="false">
      <c r="A1340" s="22" t="n">
        <v>46201</v>
      </c>
      <c r="B1340" s="19" t="s">
        <v>51</v>
      </c>
      <c r="C1340" s="19" t="s">
        <v>12</v>
      </c>
      <c r="D1340" s="19" t="s">
        <v>34</v>
      </c>
      <c r="E1340" s="19" t="s">
        <v>162</v>
      </c>
      <c r="F1340" s="20" t="n">
        <v>39927</v>
      </c>
      <c r="G1340" s="20" t="n">
        <v>195000</v>
      </c>
    </row>
    <row r="1341" customFormat="false" ht="15" hidden="false" customHeight="false" outlineLevel="0" collapsed="false">
      <c r="A1341" s="22" t="n">
        <v>46201</v>
      </c>
      <c r="B1341" s="19" t="s">
        <v>51</v>
      </c>
      <c r="C1341" s="19" t="s">
        <v>14</v>
      </c>
      <c r="D1341" s="19" t="s">
        <v>40</v>
      </c>
      <c r="E1341" s="19" t="s">
        <v>147</v>
      </c>
      <c r="F1341" s="20" t="n">
        <v>12882</v>
      </c>
      <c r="G1341" s="20" t="n">
        <v>39000</v>
      </c>
    </row>
    <row r="1342" customFormat="false" ht="15" hidden="false" customHeight="false" outlineLevel="0" collapsed="false">
      <c r="A1342" s="22" t="n">
        <v>46201</v>
      </c>
      <c r="B1342" s="19" t="s">
        <v>51</v>
      </c>
      <c r="C1342" s="19" t="s">
        <v>12</v>
      </c>
      <c r="D1342" s="19" t="s">
        <v>30</v>
      </c>
      <c r="E1342" s="19" t="s">
        <v>169</v>
      </c>
      <c r="F1342" s="20" t="n">
        <v>42544</v>
      </c>
      <c r="G1342" s="20" t="n">
        <v>175000</v>
      </c>
    </row>
    <row r="1343" customFormat="false" ht="15" hidden="false" customHeight="false" outlineLevel="0" collapsed="false">
      <c r="A1343" s="22" t="n">
        <v>46201</v>
      </c>
      <c r="B1343" s="19" t="s">
        <v>51</v>
      </c>
      <c r="C1343" s="19" t="s">
        <v>13</v>
      </c>
      <c r="D1343" s="19" t="s">
        <v>41</v>
      </c>
      <c r="E1343" s="19" t="s">
        <v>167</v>
      </c>
      <c r="F1343" s="20" t="n">
        <v>38449</v>
      </c>
      <c r="G1343" s="20" t="n">
        <v>195000</v>
      </c>
    </row>
    <row r="1344" customFormat="false" ht="15" hidden="false" customHeight="false" outlineLevel="0" collapsed="false">
      <c r="A1344" s="22" t="n">
        <v>46202</v>
      </c>
      <c r="B1344" s="19" t="s">
        <v>51</v>
      </c>
      <c r="C1344" s="19" t="s">
        <v>13</v>
      </c>
      <c r="D1344" s="19" t="s">
        <v>42</v>
      </c>
      <c r="E1344" s="19" t="s">
        <v>166</v>
      </c>
      <c r="F1344" s="20" t="n">
        <v>593520</v>
      </c>
      <c r="G1344" s="20" t="n">
        <v>3275100</v>
      </c>
    </row>
    <row r="1345" customFormat="false" ht="15" hidden="false" customHeight="false" outlineLevel="0" collapsed="false">
      <c r="A1345" s="22" t="n">
        <v>46202</v>
      </c>
      <c r="B1345" s="19" t="s">
        <v>51</v>
      </c>
      <c r="C1345" s="19" t="s">
        <v>12</v>
      </c>
      <c r="D1345" s="19" t="s">
        <v>35</v>
      </c>
      <c r="E1345" s="19" t="s">
        <v>122</v>
      </c>
      <c r="F1345" s="20" t="n">
        <v>162661</v>
      </c>
      <c r="G1345" s="20" t="n">
        <v>398000</v>
      </c>
    </row>
    <row r="1346" customFormat="false" ht="15" hidden="false" customHeight="false" outlineLevel="0" collapsed="false">
      <c r="A1346" s="22" t="n">
        <v>46202</v>
      </c>
      <c r="B1346" s="19" t="s">
        <v>51</v>
      </c>
      <c r="C1346" s="19" t="s">
        <v>13</v>
      </c>
      <c r="D1346" s="19" t="s">
        <v>41</v>
      </c>
      <c r="E1346" s="19" t="s">
        <v>167</v>
      </c>
      <c r="F1346" s="20" t="n">
        <v>106771</v>
      </c>
      <c r="G1346" s="20" t="n">
        <v>653000</v>
      </c>
    </row>
    <row r="1347" customFormat="false" ht="15" hidden="false" customHeight="false" outlineLevel="0" collapsed="false">
      <c r="A1347" s="22" t="n">
        <v>46202</v>
      </c>
      <c r="B1347" s="19" t="s">
        <v>51</v>
      </c>
      <c r="C1347" s="19" t="s">
        <v>12</v>
      </c>
      <c r="D1347" s="19" t="s">
        <v>30</v>
      </c>
      <c r="E1347" s="19" t="s">
        <v>169</v>
      </c>
      <c r="F1347" s="20" t="n">
        <v>144230</v>
      </c>
      <c r="G1347" s="20" t="n">
        <v>821900</v>
      </c>
    </row>
    <row r="1348" customFormat="false" ht="15" hidden="false" customHeight="false" outlineLevel="0" collapsed="false">
      <c r="A1348" s="22" t="n">
        <v>46202</v>
      </c>
      <c r="B1348" s="19" t="s">
        <v>51</v>
      </c>
      <c r="C1348" s="19" t="s">
        <v>14</v>
      </c>
      <c r="D1348" s="19" t="s">
        <v>40</v>
      </c>
      <c r="E1348" s="19" t="s">
        <v>147</v>
      </c>
      <c r="F1348" s="20" t="n">
        <v>31448</v>
      </c>
      <c r="G1348" s="20" t="n">
        <v>148000</v>
      </c>
    </row>
    <row r="1349" customFormat="false" ht="15" hidden="false" customHeight="false" outlineLevel="0" collapsed="false">
      <c r="A1349" s="22" t="n">
        <v>46203</v>
      </c>
      <c r="B1349" s="19" t="s">
        <v>51</v>
      </c>
      <c r="C1349" s="19" t="s">
        <v>13</v>
      </c>
      <c r="D1349" s="19" t="s">
        <v>42</v>
      </c>
      <c r="E1349" s="19" t="s">
        <v>166</v>
      </c>
      <c r="F1349" s="20" t="n">
        <v>738775</v>
      </c>
      <c r="G1349" s="20" t="n">
        <v>3866640</v>
      </c>
    </row>
    <row r="1350" customFormat="false" ht="15" hidden="false" customHeight="false" outlineLevel="0" collapsed="false">
      <c r="A1350" s="22" t="n">
        <v>46203</v>
      </c>
      <c r="B1350" s="19" t="s">
        <v>51</v>
      </c>
      <c r="C1350" s="19" t="s">
        <v>12</v>
      </c>
      <c r="D1350" s="19" t="s">
        <v>30</v>
      </c>
      <c r="E1350" s="19" t="s">
        <v>169</v>
      </c>
      <c r="F1350" s="20" t="n">
        <v>550000</v>
      </c>
      <c r="G1350" s="20" t="n">
        <v>3603800</v>
      </c>
    </row>
    <row r="1351" customFormat="false" ht="15" hidden="false" customHeight="false" outlineLevel="0" collapsed="false">
      <c r="A1351" s="22" t="n">
        <v>46203</v>
      </c>
      <c r="B1351" s="19" t="s">
        <v>51</v>
      </c>
      <c r="C1351" s="19" t="s">
        <v>12</v>
      </c>
      <c r="D1351" s="19" t="s">
        <v>35</v>
      </c>
      <c r="E1351" s="19" t="s">
        <v>122</v>
      </c>
      <c r="F1351" s="20" t="n">
        <v>54507</v>
      </c>
      <c r="G1351" s="20" t="n">
        <v>0</v>
      </c>
    </row>
    <row r="1352" customFormat="false" ht="15" hidden="false" customHeight="false" outlineLevel="0" collapsed="false">
      <c r="A1352" s="22" t="n">
        <v>46203</v>
      </c>
      <c r="B1352" s="19" t="s">
        <v>51</v>
      </c>
      <c r="C1352" s="19" t="s">
        <v>13</v>
      </c>
      <c r="D1352" s="19" t="s">
        <v>41</v>
      </c>
      <c r="E1352" s="19" t="s">
        <v>167</v>
      </c>
      <c r="F1352" s="20" t="n">
        <v>243719</v>
      </c>
      <c r="G1352" s="20" t="n">
        <v>984500</v>
      </c>
    </row>
    <row r="1353" customFormat="false" ht="15" hidden="false" customHeight="false" outlineLevel="0" collapsed="false">
      <c r="A1353" s="22" t="n">
        <v>46203</v>
      </c>
      <c r="B1353" s="19" t="s">
        <v>51</v>
      </c>
      <c r="C1353" s="19" t="s">
        <v>14</v>
      </c>
      <c r="D1353" s="19" t="s">
        <v>40</v>
      </c>
      <c r="E1353" s="19" t="s">
        <v>147</v>
      </c>
      <c r="F1353" s="20" t="n">
        <v>51683</v>
      </c>
      <c r="G1353" s="20" t="n">
        <v>257000</v>
      </c>
    </row>
    <row r="1354" customFormat="false" ht="15" hidden="false" customHeight="false" outlineLevel="0" collapsed="false">
      <c r="A1354" s="22" t="n">
        <v>46203</v>
      </c>
      <c r="B1354" s="19" t="s">
        <v>51</v>
      </c>
      <c r="C1354" s="19" t="s">
        <v>12</v>
      </c>
      <c r="D1354" s="19" t="s">
        <v>34</v>
      </c>
      <c r="E1354" s="19" t="s">
        <v>162</v>
      </c>
      <c r="F1354" s="20" t="n">
        <v>10804</v>
      </c>
      <c r="G1354" s="20" t="n">
        <v>0</v>
      </c>
    </row>
    <row r="1355" customFormat="false" ht="15" hidden="false" customHeight="false" outlineLevel="0" collapsed="false">
      <c r="A1355" s="22" t="n">
        <v>46204</v>
      </c>
      <c r="B1355" s="19" t="s">
        <v>51</v>
      </c>
      <c r="C1355" s="19" t="s">
        <v>12</v>
      </c>
      <c r="D1355" s="19" t="s">
        <v>35</v>
      </c>
      <c r="E1355" s="19" t="s">
        <v>122</v>
      </c>
      <c r="F1355" s="20" t="n">
        <v>260686</v>
      </c>
      <c r="G1355" s="20" t="n">
        <v>597000</v>
      </c>
    </row>
    <row r="1356" customFormat="false" ht="15" hidden="false" customHeight="false" outlineLevel="0" collapsed="false">
      <c r="A1356" s="22" t="n">
        <v>46204</v>
      </c>
      <c r="B1356" s="19" t="s">
        <v>51</v>
      </c>
      <c r="C1356" s="19" t="s">
        <v>13</v>
      </c>
      <c r="D1356" s="19" t="s">
        <v>42</v>
      </c>
      <c r="E1356" s="19" t="s">
        <v>166</v>
      </c>
      <c r="F1356" s="20" t="n">
        <v>516854</v>
      </c>
      <c r="G1356" s="20" t="n">
        <v>2507000</v>
      </c>
    </row>
    <row r="1357" customFormat="false" ht="15" hidden="false" customHeight="false" outlineLevel="0" collapsed="false">
      <c r="A1357" s="22" t="n">
        <v>46204</v>
      </c>
      <c r="B1357" s="19" t="s">
        <v>51</v>
      </c>
      <c r="C1357" s="19" t="s">
        <v>14</v>
      </c>
      <c r="D1357" s="19" t="s">
        <v>40</v>
      </c>
      <c r="E1357" s="19" t="s">
        <v>147</v>
      </c>
      <c r="F1357" s="20" t="n">
        <v>129071</v>
      </c>
      <c r="G1357" s="20" t="n">
        <v>559640</v>
      </c>
    </row>
    <row r="1358" customFormat="false" ht="15" hidden="false" customHeight="false" outlineLevel="0" collapsed="false">
      <c r="A1358" s="22" t="n">
        <v>46204</v>
      </c>
      <c r="B1358" s="19" t="s">
        <v>51</v>
      </c>
      <c r="C1358" s="19" t="s">
        <v>12</v>
      </c>
      <c r="D1358" s="19" t="s">
        <v>30</v>
      </c>
      <c r="E1358" s="19" t="s">
        <v>169</v>
      </c>
      <c r="F1358" s="20" t="n">
        <v>161752</v>
      </c>
      <c r="G1358" s="20" t="n">
        <v>0</v>
      </c>
    </row>
    <row r="1359" customFormat="false" ht="15" hidden="false" customHeight="false" outlineLevel="0" collapsed="false">
      <c r="A1359" s="22" t="n">
        <v>46204</v>
      </c>
      <c r="B1359" s="19" t="s">
        <v>51</v>
      </c>
      <c r="C1359" s="19" t="s">
        <v>13</v>
      </c>
      <c r="D1359" s="19" t="s">
        <v>41</v>
      </c>
      <c r="E1359" s="19" t="s">
        <v>167</v>
      </c>
      <c r="F1359" s="20" t="n">
        <v>64521</v>
      </c>
      <c r="G1359" s="20" t="n">
        <v>338100</v>
      </c>
    </row>
    <row r="1360" customFormat="false" ht="15" hidden="false" customHeight="false" outlineLevel="0" collapsed="false">
      <c r="A1360" s="22" t="n">
        <v>46204</v>
      </c>
      <c r="B1360" s="19" t="s">
        <v>51</v>
      </c>
      <c r="C1360" s="19" t="s">
        <v>12</v>
      </c>
      <c r="D1360" s="19" t="s">
        <v>34</v>
      </c>
      <c r="E1360" s="19" t="s">
        <v>162</v>
      </c>
      <c r="F1360" s="20" t="n">
        <v>16061</v>
      </c>
      <c r="G1360" s="20" t="n">
        <v>0</v>
      </c>
    </row>
    <row r="1361" customFormat="false" ht="15" hidden="false" customHeight="false" outlineLevel="0" collapsed="false">
      <c r="A1361" s="22" t="n">
        <v>46205</v>
      </c>
      <c r="B1361" s="19" t="s">
        <v>51</v>
      </c>
      <c r="C1361" s="19" t="s">
        <v>12</v>
      </c>
      <c r="D1361" s="19" t="s">
        <v>35</v>
      </c>
      <c r="E1361" s="19" t="s">
        <v>122</v>
      </c>
      <c r="F1361" s="20" t="n">
        <v>445144</v>
      </c>
      <c r="G1361" s="20" t="n">
        <v>2183000</v>
      </c>
    </row>
    <row r="1362" customFormat="false" ht="15" hidden="false" customHeight="false" outlineLevel="0" collapsed="false">
      <c r="A1362" s="22" t="n">
        <v>46205</v>
      </c>
      <c r="B1362" s="19" t="s">
        <v>51</v>
      </c>
      <c r="C1362" s="19" t="s">
        <v>13</v>
      </c>
      <c r="D1362" s="19" t="s">
        <v>42</v>
      </c>
      <c r="E1362" s="19" t="s">
        <v>166</v>
      </c>
      <c r="F1362" s="20" t="n">
        <v>486620</v>
      </c>
      <c r="G1362" s="20" t="n">
        <v>2829120</v>
      </c>
    </row>
    <row r="1363" customFormat="false" ht="15" hidden="false" customHeight="false" outlineLevel="0" collapsed="false">
      <c r="A1363" s="22" t="n">
        <v>46205</v>
      </c>
      <c r="B1363" s="19" t="s">
        <v>51</v>
      </c>
      <c r="C1363" s="19" t="s">
        <v>12</v>
      </c>
      <c r="D1363" s="19" t="s">
        <v>30</v>
      </c>
      <c r="E1363" s="19" t="s">
        <v>169</v>
      </c>
      <c r="F1363" s="20" t="n">
        <v>220623</v>
      </c>
      <c r="G1363" s="20" t="n">
        <v>1142360</v>
      </c>
    </row>
    <row r="1364" customFormat="false" ht="15" hidden="false" customHeight="false" outlineLevel="0" collapsed="false">
      <c r="A1364" s="22" t="n">
        <v>46205</v>
      </c>
      <c r="B1364" s="19" t="s">
        <v>51</v>
      </c>
      <c r="C1364" s="19" t="s">
        <v>14</v>
      </c>
      <c r="D1364" s="19" t="s">
        <v>40</v>
      </c>
      <c r="E1364" s="19" t="s">
        <v>147</v>
      </c>
      <c r="F1364" s="20" t="n">
        <v>59957</v>
      </c>
      <c r="G1364" s="20" t="n">
        <v>297000</v>
      </c>
    </row>
    <row r="1365" customFormat="false" ht="15" hidden="false" customHeight="false" outlineLevel="0" collapsed="false">
      <c r="A1365" s="22" t="n">
        <v>46205</v>
      </c>
      <c r="B1365" s="19" t="s">
        <v>51</v>
      </c>
      <c r="C1365" s="19" t="s">
        <v>13</v>
      </c>
      <c r="D1365" s="19" t="s">
        <v>41</v>
      </c>
      <c r="E1365" s="19" t="s">
        <v>167</v>
      </c>
      <c r="F1365" s="20" t="n">
        <v>73113</v>
      </c>
      <c r="G1365" s="20" t="n">
        <v>390000</v>
      </c>
    </row>
    <row r="1366" customFormat="false" ht="15" hidden="false" customHeight="false" outlineLevel="0" collapsed="false">
      <c r="A1366" s="22" t="n">
        <v>46206</v>
      </c>
      <c r="B1366" s="19" t="s">
        <v>51</v>
      </c>
      <c r="C1366" s="19" t="s">
        <v>12</v>
      </c>
      <c r="D1366" s="19" t="s">
        <v>35</v>
      </c>
      <c r="E1366" s="19" t="s">
        <v>122</v>
      </c>
      <c r="F1366" s="20" t="n">
        <v>164420</v>
      </c>
      <c r="G1366" s="20" t="n">
        <v>605760</v>
      </c>
    </row>
    <row r="1367" customFormat="false" ht="15" hidden="false" customHeight="false" outlineLevel="0" collapsed="false">
      <c r="A1367" s="22" t="n">
        <v>46206</v>
      </c>
      <c r="B1367" s="19" t="s">
        <v>51</v>
      </c>
      <c r="C1367" s="19" t="s">
        <v>13</v>
      </c>
      <c r="D1367" s="19" t="s">
        <v>42</v>
      </c>
      <c r="E1367" s="19" t="s">
        <v>166</v>
      </c>
      <c r="F1367" s="20" t="n">
        <v>158920</v>
      </c>
      <c r="G1367" s="20" t="n">
        <v>874000</v>
      </c>
    </row>
    <row r="1368" customFormat="false" ht="15" hidden="false" customHeight="false" outlineLevel="0" collapsed="false">
      <c r="A1368" s="22" t="n">
        <v>46206</v>
      </c>
      <c r="B1368" s="19" t="s">
        <v>51</v>
      </c>
      <c r="C1368" s="19" t="s">
        <v>12</v>
      </c>
      <c r="D1368" s="19" t="s">
        <v>30</v>
      </c>
      <c r="E1368" s="19" t="s">
        <v>169</v>
      </c>
      <c r="F1368" s="20" t="n">
        <v>125120</v>
      </c>
      <c r="G1368" s="20" t="n">
        <v>841623</v>
      </c>
    </row>
    <row r="1369" customFormat="false" ht="15" hidden="false" customHeight="false" outlineLevel="0" collapsed="false">
      <c r="A1369" s="22" t="n">
        <v>46206</v>
      </c>
      <c r="B1369" s="19" t="s">
        <v>51</v>
      </c>
      <c r="C1369" s="19" t="s">
        <v>13</v>
      </c>
      <c r="D1369" s="19" t="s">
        <v>41</v>
      </c>
      <c r="E1369" s="19" t="s">
        <v>167</v>
      </c>
      <c r="F1369" s="20" t="n">
        <v>143071</v>
      </c>
      <c r="G1369" s="20" t="n">
        <v>780000</v>
      </c>
    </row>
    <row r="1370" customFormat="false" ht="15" hidden="false" customHeight="false" outlineLevel="0" collapsed="false">
      <c r="A1370" s="22" t="n">
        <v>46206</v>
      </c>
      <c r="B1370" s="19" t="s">
        <v>51</v>
      </c>
      <c r="C1370" s="19" t="s">
        <v>14</v>
      </c>
      <c r="D1370" s="19" t="s">
        <v>40</v>
      </c>
      <c r="E1370" s="19" t="s">
        <v>147</v>
      </c>
      <c r="F1370" s="20" t="n">
        <v>20316</v>
      </c>
      <c r="G1370" s="20" t="n">
        <v>0</v>
      </c>
    </row>
    <row r="1371" customFormat="false" ht="15" hidden="false" customHeight="false" outlineLevel="0" collapsed="false">
      <c r="A1371" s="22" t="n">
        <v>46206</v>
      </c>
      <c r="B1371" s="19" t="s">
        <v>51</v>
      </c>
      <c r="C1371" s="19" t="s">
        <v>13</v>
      </c>
      <c r="D1371" s="19" t="s">
        <v>42</v>
      </c>
      <c r="E1371" s="19" t="s">
        <v>163</v>
      </c>
      <c r="F1371" s="20" t="n">
        <v>71360</v>
      </c>
      <c r="G1371" s="20" t="n">
        <v>0</v>
      </c>
    </row>
    <row r="1372" customFormat="false" ht="15" hidden="false" customHeight="false" outlineLevel="0" collapsed="false">
      <c r="A1372" s="22" t="n">
        <v>46207</v>
      </c>
      <c r="B1372" s="19" t="s">
        <v>51</v>
      </c>
      <c r="C1372" s="19" t="s">
        <v>13</v>
      </c>
      <c r="D1372" s="19" t="s">
        <v>42</v>
      </c>
      <c r="E1372" s="19" t="s">
        <v>166</v>
      </c>
      <c r="F1372" s="20" t="n">
        <v>986129</v>
      </c>
      <c r="G1372" s="20" t="n">
        <v>5053000</v>
      </c>
    </row>
    <row r="1373" customFormat="false" ht="15" hidden="false" customHeight="false" outlineLevel="0" collapsed="false">
      <c r="A1373" s="22" t="n">
        <v>46207</v>
      </c>
      <c r="B1373" s="19" t="s">
        <v>51</v>
      </c>
      <c r="C1373" s="19" t="s">
        <v>12</v>
      </c>
      <c r="D1373" s="19" t="s">
        <v>35</v>
      </c>
      <c r="E1373" s="19" t="s">
        <v>122</v>
      </c>
      <c r="F1373" s="20" t="n">
        <v>126760</v>
      </c>
      <c r="G1373" s="20" t="n">
        <v>597000</v>
      </c>
    </row>
    <row r="1374" customFormat="false" ht="15" hidden="false" customHeight="false" outlineLevel="0" collapsed="false">
      <c r="A1374" s="22" t="n">
        <v>46207</v>
      </c>
      <c r="B1374" s="19" t="s">
        <v>51</v>
      </c>
      <c r="C1374" s="19" t="s">
        <v>12</v>
      </c>
      <c r="D1374" s="19" t="s">
        <v>30</v>
      </c>
      <c r="E1374" s="19" t="s">
        <v>169</v>
      </c>
      <c r="F1374" s="20" t="n">
        <v>175718</v>
      </c>
      <c r="G1374" s="20" t="n">
        <v>797500</v>
      </c>
    </row>
    <row r="1375" customFormat="false" ht="15" hidden="false" customHeight="false" outlineLevel="0" collapsed="false">
      <c r="A1375" s="22" t="n">
        <v>46207</v>
      </c>
      <c r="B1375" s="19" t="s">
        <v>51</v>
      </c>
      <c r="C1375" s="19" t="s">
        <v>14</v>
      </c>
      <c r="D1375" s="19" t="s">
        <v>40</v>
      </c>
      <c r="E1375" s="19" t="s">
        <v>147</v>
      </c>
      <c r="F1375" s="20" t="n">
        <v>61992</v>
      </c>
      <c r="G1375" s="20" t="n">
        <v>346000</v>
      </c>
    </row>
    <row r="1376" customFormat="false" ht="15" hidden="false" customHeight="false" outlineLevel="0" collapsed="false">
      <c r="A1376" s="22" t="n">
        <v>46207</v>
      </c>
      <c r="B1376" s="19" t="s">
        <v>51</v>
      </c>
      <c r="C1376" s="19" t="s">
        <v>13</v>
      </c>
      <c r="D1376" s="19" t="s">
        <v>41</v>
      </c>
      <c r="E1376" s="19" t="s">
        <v>167</v>
      </c>
      <c r="F1376" s="20" t="n">
        <v>108600</v>
      </c>
      <c r="G1376" s="20" t="n">
        <v>655398</v>
      </c>
    </row>
    <row r="1377" customFormat="false" ht="15" hidden="false" customHeight="false" outlineLevel="0" collapsed="false">
      <c r="A1377" s="22" t="n">
        <v>46208</v>
      </c>
      <c r="B1377" s="19" t="s">
        <v>51</v>
      </c>
      <c r="C1377" s="19" t="s">
        <v>13</v>
      </c>
      <c r="D1377" s="19" t="s">
        <v>42</v>
      </c>
      <c r="E1377" s="19" t="s">
        <v>166</v>
      </c>
      <c r="F1377" s="20" t="n">
        <v>537528</v>
      </c>
      <c r="G1377" s="20" t="n">
        <v>2004100</v>
      </c>
    </row>
    <row r="1378" customFormat="false" ht="15" hidden="false" customHeight="false" outlineLevel="0" collapsed="false">
      <c r="A1378" s="22" t="n">
        <v>46208</v>
      </c>
      <c r="B1378" s="19" t="s">
        <v>51</v>
      </c>
      <c r="C1378" s="19" t="s">
        <v>12</v>
      </c>
      <c r="D1378" s="19" t="s">
        <v>35</v>
      </c>
      <c r="E1378" s="19" t="s">
        <v>122</v>
      </c>
      <c r="F1378" s="20" t="n">
        <v>123861</v>
      </c>
      <c r="G1378" s="20" t="n">
        <v>398000</v>
      </c>
    </row>
    <row r="1379" customFormat="false" ht="15" hidden="false" customHeight="false" outlineLevel="0" collapsed="false">
      <c r="A1379" s="22" t="n">
        <v>46208</v>
      </c>
      <c r="B1379" s="19" t="s">
        <v>51</v>
      </c>
      <c r="C1379" s="19" t="s">
        <v>14</v>
      </c>
      <c r="D1379" s="19" t="s">
        <v>40</v>
      </c>
      <c r="E1379" s="19" t="s">
        <v>147</v>
      </c>
      <c r="F1379" s="20" t="n">
        <v>48107</v>
      </c>
      <c r="G1379" s="20" t="n">
        <v>310660</v>
      </c>
    </row>
    <row r="1380" customFormat="false" ht="15" hidden="false" customHeight="false" outlineLevel="0" collapsed="false">
      <c r="A1380" s="22" t="n">
        <v>46208</v>
      </c>
      <c r="B1380" s="19" t="s">
        <v>51</v>
      </c>
      <c r="C1380" s="19" t="s">
        <v>12</v>
      </c>
      <c r="D1380" s="19" t="s">
        <v>30</v>
      </c>
      <c r="E1380" s="19" t="s">
        <v>169</v>
      </c>
      <c r="F1380" s="20" t="n">
        <v>69747</v>
      </c>
      <c r="G1380" s="20" t="n">
        <v>289100</v>
      </c>
    </row>
    <row r="1381" customFormat="false" ht="15" hidden="false" customHeight="false" outlineLevel="0" collapsed="false">
      <c r="A1381" s="22" t="n">
        <v>46208</v>
      </c>
      <c r="B1381" s="19" t="s">
        <v>51</v>
      </c>
      <c r="C1381" s="19" t="s">
        <v>13</v>
      </c>
      <c r="D1381" s="19" t="s">
        <v>41</v>
      </c>
      <c r="E1381" s="19" t="s">
        <v>167</v>
      </c>
      <c r="F1381" s="20" t="n">
        <v>22272</v>
      </c>
      <c r="G1381" s="20" t="n">
        <v>0</v>
      </c>
    </row>
    <row r="1382" customFormat="false" ht="15" hidden="false" customHeight="false" outlineLevel="0" collapsed="false">
      <c r="A1382" s="22" t="n">
        <v>46209</v>
      </c>
      <c r="B1382" s="19" t="s">
        <v>51</v>
      </c>
      <c r="C1382" s="19" t="s">
        <v>12</v>
      </c>
      <c r="D1382" s="19" t="s">
        <v>35</v>
      </c>
      <c r="E1382" s="19" t="s">
        <v>122</v>
      </c>
      <c r="F1382" s="20" t="n">
        <v>465375</v>
      </c>
      <c r="G1382" s="20" t="n">
        <v>2456000</v>
      </c>
    </row>
    <row r="1383" customFormat="false" ht="15" hidden="false" customHeight="false" outlineLevel="0" collapsed="false">
      <c r="A1383" s="22" t="n">
        <v>46209</v>
      </c>
      <c r="B1383" s="19" t="s">
        <v>51</v>
      </c>
      <c r="C1383" s="19" t="s">
        <v>13</v>
      </c>
      <c r="D1383" s="19" t="s">
        <v>42</v>
      </c>
      <c r="E1383" s="19" t="s">
        <v>166</v>
      </c>
      <c r="F1383" s="20" t="n">
        <v>956795</v>
      </c>
      <c r="G1383" s="20" t="n">
        <v>5371200</v>
      </c>
    </row>
    <row r="1384" customFormat="false" ht="15" hidden="false" customHeight="false" outlineLevel="0" collapsed="false">
      <c r="A1384" s="22" t="n">
        <v>46209</v>
      </c>
      <c r="B1384" s="19" t="s">
        <v>51</v>
      </c>
      <c r="C1384" s="19" t="s">
        <v>12</v>
      </c>
      <c r="D1384" s="19" t="s">
        <v>30</v>
      </c>
      <c r="E1384" s="19" t="s">
        <v>169</v>
      </c>
      <c r="F1384" s="20" t="n">
        <v>574766</v>
      </c>
      <c r="G1384" s="20" t="n">
        <v>3200500</v>
      </c>
    </row>
    <row r="1385" customFormat="false" ht="15" hidden="false" customHeight="false" outlineLevel="0" collapsed="false">
      <c r="A1385" s="22" t="n">
        <v>46209</v>
      </c>
      <c r="B1385" s="19" t="s">
        <v>51</v>
      </c>
      <c r="C1385" s="19" t="s">
        <v>13</v>
      </c>
      <c r="D1385" s="19" t="s">
        <v>41</v>
      </c>
      <c r="E1385" s="19" t="s">
        <v>167</v>
      </c>
      <c r="F1385" s="20" t="n">
        <v>104248</v>
      </c>
      <c r="G1385" s="20" t="n">
        <v>585000</v>
      </c>
    </row>
    <row r="1386" customFormat="false" ht="15" hidden="false" customHeight="false" outlineLevel="0" collapsed="false">
      <c r="A1386" s="22" t="n">
        <v>46209</v>
      </c>
      <c r="B1386" s="19" t="s">
        <v>51</v>
      </c>
      <c r="C1386" s="19" t="s">
        <v>14</v>
      </c>
      <c r="D1386" s="19" t="s">
        <v>40</v>
      </c>
      <c r="E1386" s="19" t="s">
        <v>147</v>
      </c>
      <c r="F1386" s="20" t="n">
        <v>15159</v>
      </c>
      <c r="G1386" s="20" t="n">
        <v>0</v>
      </c>
    </row>
    <row r="1387" customFormat="false" ht="15" hidden="false" customHeight="false" outlineLevel="0" collapsed="false">
      <c r="A1387" s="22" t="n">
        <v>46210</v>
      </c>
      <c r="B1387" s="19" t="s">
        <v>51</v>
      </c>
      <c r="C1387" s="19" t="s">
        <v>12</v>
      </c>
      <c r="D1387" s="19" t="s">
        <v>35</v>
      </c>
      <c r="E1387" s="19" t="s">
        <v>170</v>
      </c>
      <c r="F1387" s="20" t="n">
        <v>300000</v>
      </c>
      <c r="G1387" s="20" t="n">
        <v>3529240</v>
      </c>
    </row>
    <row r="1388" customFormat="false" ht="15" hidden="false" customHeight="false" outlineLevel="0" collapsed="false">
      <c r="A1388" s="22" t="n">
        <v>46210</v>
      </c>
      <c r="B1388" s="19" t="s">
        <v>51</v>
      </c>
      <c r="C1388" s="19" t="s">
        <v>13</v>
      </c>
      <c r="D1388" s="19" t="s">
        <v>42</v>
      </c>
      <c r="E1388" s="19" t="s">
        <v>166</v>
      </c>
      <c r="F1388" s="20" t="n">
        <v>1000000</v>
      </c>
      <c r="G1388" s="20" t="n">
        <v>6631640</v>
      </c>
    </row>
    <row r="1389" customFormat="false" ht="15" hidden="false" customHeight="false" outlineLevel="0" collapsed="false">
      <c r="A1389" s="22" t="n">
        <v>46210</v>
      </c>
      <c r="B1389" s="19" t="s">
        <v>51</v>
      </c>
      <c r="C1389" s="19" t="s">
        <v>12</v>
      </c>
      <c r="D1389" s="19" t="s">
        <v>30</v>
      </c>
      <c r="E1389" s="19" t="s">
        <v>169</v>
      </c>
      <c r="F1389" s="20" t="n">
        <v>700000</v>
      </c>
      <c r="G1389" s="20" t="n">
        <v>4034720</v>
      </c>
    </row>
    <row r="1390" customFormat="false" ht="15" hidden="false" customHeight="false" outlineLevel="0" collapsed="false">
      <c r="A1390" s="22" t="n">
        <v>46210</v>
      </c>
      <c r="B1390" s="19" t="s">
        <v>51</v>
      </c>
      <c r="C1390" s="19" t="s">
        <v>14</v>
      </c>
      <c r="D1390" s="19" t="s">
        <v>40</v>
      </c>
      <c r="E1390" s="19" t="s">
        <v>147</v>
      </c>
      <c r="F1390" s="20" t="n">
        <v>227243</v>
      </c>
      <c r="G1390" s="20" t="n">
        <v>1179440</v>
      </c>
    </row>
    <row r="1391" customFormat="false" ht="15" hidden="false" customHeight="false" outlineLevel="0" collapsed="false">
      <c r="A1391" s="22" t="n">
        <v>46210</v>
      </c>
      <c r="B1391" s="19" t="s">
        <v>51</v>
      </c>
      <c r="C1391" s="19" t="s">
        <v>13</v>
      </c>
      <c r="D1391" s="19" t="s">
        <v>41</v>
      </c>
      <c r="E1391" s="19" t="s">
        <v>167</v>
      </c>
      <c r="F1391" s="20" t="n">
        <v>99319</v>
      </c>
      <c r="G1391" s="20" t="n">
        <v>505000</v>
      </c>
    </row>
    <row r="1392" customFormat="false" ht="15" hidden="false" customHeight="false" outlineLevel="0" collapsed="false">
      <c r="A1392" s="22" t="n">
        <v>46210</v>
      </c>
      <c r="B1392" s="19" t="s">
        <v>51</v>
      </c>
      <c r="C1392" s="19" t="s">
        <v>12</v>
      </c>
      <c r="D1392" s="19" t="s">
        <v>35</v>
      </c>
      <c r="E1392" s="19" t="s">
        <v>122</v>
      </c>
      <c r="F1392" s="20" t="n">
        <v>267283</v>
      </c>
      <c r="G1392" s="20" t="n">
        <v>1096040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4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8" t="s">
        <v>172</v>
      </c>
      <c r="B1" s="18" t="s">
        <v>173</v>
      </c>
      <c r="C1" s="18" t="s">
        <v>174</v>
      </c>
      <c r="D1" s="18" t="s">
        <v>175</v>
      </c>
    </row>
    <row r="2" customFormat="false" ht="15" hidden="false" customHeight="false" outlineLevel="0" collapsed="false">
      <c r="A2" s="23" t="s">
        <v>37</v>
      </c>
      <c r="B2" s="19" t="s">
        <v>37</v>
      </c>
      <c r="C2" s="19" t="s">
        <v>176</v>
      </c>
      <c r="D2" s="23" t="n">
        <v>0.67</v>
      </c>
    </row>
    <row r="3" customFormat="false" ht="15" hidden="false" customHeight="false" outlineLevel="0" collapsed="false">
      <c r="A3" s="23" t="s">
        <v>31</v>
      </c>
      <c r="B3" s="19" t="s">
        <v>177</v>
      </c>
      <c r="C3" s="19" t="s">
        <v>31</v>
      </c>
      <c r="D3" s="23" t="n">
        <v>0.62</v>
      </c>
    </row>
    <row r="4" customFormat="false" ht="15" hidden="false" customHeight="false" outlineLevel="0" collapsed="false">
      <c r="A4" s="23" t="s">
        <v>34</v>
      </c>
      <c r="B4" s="19" t="s">
        <v>178</v>
      </c>
      <c r="C4" s="19" t="s">
        <v>34</v>
      </c>
      <c r="D4" s="23" t="n">
        <v>0.58</v>
      </c>
    </row>
    <row r="5" customFormat="false" ht="15" hidden="false" customHeight="false" outlineLevel="0" collapsed="false">
      <c r="A5" s="23" t="s">
        <v>30</v>
      </c>
      <c r="B5" s="19" t="s">
        <v>179</v>
      </c>
      <c r="C5" s="19" t="s">
        <v>30</v>
      </c>
      <c r="D5" s="23" t="n">
        <v>0.53</v>
      </c>
    </row>
    <row r="6" customFormat="false" ht="15" hidden="false" customHeight="false" outlineLevel="0" collapsed="false">
      <c r="A6" s="23" t="s">
        <v>36</v>
      </c>
      <c r="B6" s="19" t="s">
        <v>36</v>
      </c>
      <c r="C6" s="19" t="s">
        <v>180</v>
      </c>
      <c r="D6" s="23" t="n">
        <v>0.75</v>
      </c>
    </row>
    <row r="7" customFormat="false" ht="15" hidden="false" customHeight="false" outlineLevel="0" collapsed="false">
      <c r="A7" s="23" t="s">
        <v>41</v>
      </c>
      <c r="B7" s="19" t="s">
        <v>41</v>
      </c>
      <c r="C7" s="19" t="s">
        <v>181</v>
      </c>
      <c r="D7" s="23" t="n">
        <v>0.66</v>
      </c>
    </row>
    <row r="8" customFormat="false" ht="15" hidden="false" customHeight="false" outlineLevel="0" collapsed="false">
      <c r="A8" s="23" t="s">
        <v>43</v>
      </c>
      <c r="B8" s="19" t="s">
        <v>43</v>
      </c>
      <c r="C8" s="19" t="s">
        <v>182</v>
      </c>
      <c r="D8" s="23" t="n">
        <v>0.91</v>
      </c>
    </row>
    <row r="9" customFormat="false" ht="15" hidden="false" customHeight="false" outlineLevel="0" collapsed="false">
      <c r="A9" s="23" t="s">
        <v>44</v>
      </c>
      <c r="B9" s="19" t="s">
        <v>183</v>
      </c>
      <c r="C9" s="19" t="s">
        <v>44</v>
      </c>
      <c r="D9" s="23" t="n">
        <v>0.92</v>
      </c>
    </row>
    <row r="10" customFormat="false" ht="15" hidden="false" customHeight="false" outlineLevel="0" collapsed="false">
      <c r="A10" s="23" t="s">
        <v>40</v>
      </c>
      <c r="B10" s="19" t="s">
        <v>115</v>
      </c>
      <c r="C10" s="19" t="s">
        <v>40</v>
      </c>
      <c r="D10" s="23" t="n">
        <v>0.61</v>
      </c>
    </row>
    <row r="11" customFormat="false" ht="15" hidden="false" customHeight="false" outlineLevel="0" collapsed="false">
      <c r="A11" s="23" t="s">
        <v>45</v>
      </c>
      <c r="B11" s="19" t="s">
        <v>184</v>
      </c>
      <c r="C11" s="19" t="s">
        <v>45</v>
      </c>
      <c r="D11" s="23" t="n">
        <v>0.84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2026-07-08T07:12:46Z</dcterms:created>
  <dc:creator>openpyxl</dc:creator>
  <dc:description/>
  <dc:language>en-US</dc:language>
  <cp:lastModifiedBy/>
  <dcterms:modified xsi:type="dcterms:W3CDTF">2026-07-08T07:12:46Z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